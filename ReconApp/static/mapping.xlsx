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peanenergy1-my.sharepoint.com/personal/rln_europeanenergy_com/Documents/Desktop/"/>
    </mc:Choice>
  </mc:AlternateContent>
  <xr:revisionPtr revIDLastSave="3" documentId="8_{BBA8B075-7E76-4589-838A-F899C86E050C}" xr6:coauthVersionLast="47" xr6:coauthVersionMax="47" xr10:uidLastSave="{CEFEB339-0AC2-4B47-9A22-BD844B9807AE}"/>
  <bookViews>
    <workbookView xWindow="38700" yWindow="4005" windowWidth="35535" windowHeight="16875" activeTab="1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account_mapping!$A$1:$Q$1313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13" i="1" l="1"/>
  <c r="M1313" i="1"/>
  <c r="L1313" i="1"/>
  <c r="K1313" i="1"/>
  <c r="I1313" i="1"/>
  <c r="H1313" i="1"/>
  <c r="G1313" i="1"/>
  <c r="F1313" i="1"/>
  <c r="N1312" i="1"/>
  <c r="M1312" i="1"/>
  <c r="L1312" i="1"/>
  <c r="K1312" i="1"/>
  <c r="I1312" i="1"/>
  <c r="H1312" i="1"/>
  <c r="G1312" i="1"/>
  <c r="F1312" i="1"/>
  <c r="N1311" i="1"/>
  <c r="M1311" i="1"/>
  <c r="L1311" i="1"/>
  <c r="K1311" i="1"/>
  <c r="I1311" i="1"/>
  <c r="H1311" i="1"/>
  <c r="G1311" i="1"/>
  <c r="F1311" i="1"/>
  <c r="N1310" i="1"/>
  <c r="M1310" i="1"/>
  <c r="L1310" i="1"/>
  <c r="K1310" i="1"/>
  <c r="I1310" i="1"/>
  <c r="H1310" i="1"/>
  <c r="G1310" i="1"/>
  <c r="F1310" i="1"/>
  <c r="N1309" i="1"/>
  <c r="M1309" i="1"/>
  <c r="L1309" i="1"/>
  <c r="K1309" i="1"/>
  <c r="I1309" i="1"/>
  <c r="H1309" i="1"/>
  <c r="G1309" i="1"/>
  <c r="F1309" i="1"/>
  <c r="N1308" i="1"/>
  <c r="M1308" i="1"/>
  <c r="L1308" i="1"/>
  <c r="K1308" i="1"/>
  <c r="I1308" i="1"/>
  <c r="H1308" i="1"/>
  <c r="G1308" i="1"/>
  <c r="F1308" i="1"/>
  <c r="N1307" i="1"/>
  <c r="M1307" i="1"/>
  <c r="L1307" i="1"/>
  <c r="K1307" i="1"/>
  <c r="I1307" i="1"/>
  <c r="H1307" i="1"/>
  <c r="G1307" i="1"/>
  <c r="F1307" i="1"/>
  <c r="N1306" i="1"/>
  <c r="M1306" i="1"/>
  <c r="L1306" i="1"/>
  <c r="K1306" i="1"/>
  <c r="I1306" i="1"/>
  <c r="H1306" i="1"/>
  <c r="G1306" i="1"/>
  <c r="F1306" i="1"/>
  <c r="N1305" i="1"/>
  <c r="M1305" i="1"/>
  <c r="L1305" i="1"/>
  <c r="K1305" i="1"/>
  <c r="I1305" i="1"/>
  <c r="H1305" i="1"/>
  <c r="G1305" i="1"/>
  <c r="F1305" i="1"/>
  <c r="N1304" i="1"/>
  <c r="M1304" i="1"/>
  <c r="L1304" i="1"/>
  <c r="K1304" i="1"/>
  <c r="I1304" i="1"/>
  <c r="H1304" i="1"/>
  <c r="G1304" i="1"/>
  <c r="F1304" i="1"/>
  <c r="N1303" i="1"/>
  <c r="M1303" i="1"/>
  <c r="L1303" i="1"/>
  <c r="K1303" i="1"/>
  <c r="I1303" i="1"/>
  <c r="H1303" i="1"/>
  <c r="G1303" i="1"/>
  <c r="F1303" i="1"/>
  <c r="N1302" i="1"/>
  <c r="M1302" i="1"/>
  <c r="L1302" i="1"/>
  <c r="K1302" i="1"/>
  <c r="I1302" i="1"/>
  <c r="H1302" i="1"/>
  <c r="G1302" i="1"/>
  <c r="F1302" i="1"/>
  <c r="N1301" i="1"/>
  <c r="M1301" i="1"/>
  <c r="L1301" i="1"/>
  <c r="K1301" i="1"/>
  <c r="I1301" i="1"/>
  <c r="H1301" i="1"/>
  <c r="G1301" i="1"/>
  <c r="F1301" i="1"/>
  <c r="N1300" i="1"/>
  <c r="M1300" i="1"/>
  <c r="L1300" i="1"/>
  <c r="K1300" i="1"/>
  <c r="I1300" i="1"/>
  <c r="H1300" i="1"/>
  <c r="G1300" i="1"/>
  <c r="F1300" i="1"/>
  <c r="N1299" i="1"/>
  <c r="M1299" i="1"/>
  <c r="L1299" i="1"/>
  <c r="K1299" i="1"/>
  <c r="I1299" i="1"/>
  <c r="H1299" i="1"/>
  <c r="G1299" i="1"/>
  <c r="F1299" i="1"/>
  <c r="N1298" i="1"/>
  <c r="M1298" i="1"/>
  <c r="L1298" i="1"/>
  <c r="K1298" i="1"/>
  <c r="I1298" i="1"/>
  <c r="H1298" i="1"/>
  <c r="G1298" i="1"/>
  <c r="F1298" i="1"/>
  <c r="N1297" i="1"/>
  <c r="M1297" i="1"/>
  <c r="L1297" i="1"/>
  <c r="K1297" i="1"/>
  <c r="I1297" i="1"/>
  <c r="H1297" i="1"/>
  <c r="G1297" i="1"/>
  <c r="F1297" i="1"/>
  <c r="N1296" i="1"/>
  <c r="M1296" i="1"/>
  <c r="L1296" i="1"/>
  <c r="K1296" i="1"/>
  <c r="I1296" i="1"/>
  <c r="H1296" i="1"/>
  <c r="G1296" i="1"/>
  <c r="F1296" i="1"/>
  <c r="N1295" i="1"/>
  <c r="M1295" i="1"/>
  <c r="L1295" i="1"/>
  <c r="K1295" i="1"/>
  <c r="I1295" i="1"/>
  <c r="H1295" i="1"/>
  <c r="G1295" i="1"/>
  <c r="F1295" i="1"/>
  <c r="N1294" i="1"/>
  <c r="M1294" i="1"/>
  <c r="L1294" i="1"/>
  <c r="K1294" i="1"/>
  <c r="I1294" i="1"/>
  <c r="H1294" i="1"/>
  <c r="G1294" i="1"/>
  <c r="F1294" i="1"/>
  <c r="N1293" i="1"/>
  <c r="M1293" i="1"/>
  <c r="L1293" i="1"/>
  <c r="K1293" i="1"/>
  <c r="I1293" i="1"/>
  <c r="H1293" i="1"/>
  <c r="G1293" i="1"/>
  <c r="F1293" i="1"/>
  <c r="N1292" i="1"/>
  <c r="M1292" i="1"/>
  <c r="L1292" i="1"/>
  <c r="K1292" i="1"/>
  <c r="I1292" i="1"/>
  <c r="H1292" i="1"/>
  <c r="G1292" i="1"/>
  <c r="F1292" i="1"/>
  <c r="N1291" i="1"/>
  <c r="M1291" i="1"/>
  <c r="L1291" i="1"/>
  <c r="K1291" i="1"/>
  <c r="I1291" i="1"/>
  <c r="H1291" i="1"/>
  <c r="G1291" i="1"/>
  <c r="F1291" i="1"/>
  <c r="N1290" i="1"/>
  <c r="M1290" i="1"/>
  <c r="L1290" i="1"/>
  <c r="K1290" i="1"/>
  <c r="I1290" i="1"/>
  <c r="H1290" i="1"/>
  <c r="G1290" i="1"/>
  <c r="F1290" i="1"/>
  <c r="N1289" i="1"/>
  <c r="M1289" i="1"/>
  <c r="L1289" i="1"/>
  <c r="K1289" i="1"/>
  <c r="I1289" i="1"/>
  <c r="H1289" i="1"/>
  <c r="G1289" i="1"/>
  <c r="F1289" i="1"/>
  <c r="N1288" i="1"/>
  <c r="M1288" i="1"/>
  <c r="L1288" i="1"/>
  <c r="K1288" i="1"/>
  <c r="I1288" i="1"/>
  <c r="H1288" i="1"/>
  <c r="G1288" i="1"/>
  <c r="F1288" i="1"/>
  <c r="N1287" i="1"/>
  <c r="M1287" i="1"/>
  <c r="L1287" i="1"/>
  <c r="K1287" i="1"/>
  <c r="I1287" i="1"/>
  <c r="H1287" i="1"/>
  <c r="G1287" i="1"/>
  <c r="F1287" i="1"/>
  <c r="N1286" i="1"/>
  <c r="M1286" i="1"/>
  <c r="L1286" i="1"/>
  <c r="K1286" i="1"/>
  <c r="I1286" i="1"/>
  <c r="H1286" i="1"/>
  <c r="G1286" i="1"/>
  <c r="F1286" i="1"/>
  <c r="N1285" i="1"/>
  <c r="M1285" i="1"/>
  <c r="L1285" i="1"/>
  <c r="K1285" i="1"/>
  <c r="I1285" i="1"/>
  <c r="H1285" i="1"/>
  <c r="G1285" i="1"/>
  <c r="F1285" i="1"/>
  <c r="N1284" i="1"/>
  <c r="M1284" i="1"/>
  <c r="L1284" i="1"/>
  <c r="K1284" i="1"/>
  <c r="I1284" i="1"/>
  <c r="H1284" i="1"/>
  <c r="G1284" i="1"/>
  <c r="F1284" i="1"/>
  <c r="N1283" i="1"/>
  <c r="M1283" i="1"/>
  <c r="L1283" i="1"/>
  <c r="K1283" i="1"/>
  <c r="I1283" i="1"/>
  <c r="H1283" i="1"/>
  <c r="G1283" i="1"/>
  <c r="F1283" i="1"/>
  <c r="N1282" i="1"/>
  <c r="M1282" i="1"/>
  <c r="L1282" i="1"/>
  <c r="K1282" i="1"/>
  <c r="I1282" i="1"/>
  <c r="H1282" i="1"/>
  <c r="G1282" i="1"/>
  <c r="F1282" i="1"/>
  <c r="N1281" i="1"/>
  <c r="M1281" i="1"/>
  <c r="L1281" i="1"/>
  <c r="K1281" i="1"/>
  <c r="I1281" i="1"/>
  <c r="H1281" i="1"/>
  <c r="G1281" i="1"/>
  <c r="F1281" i="1"/>
  <c r="N1280" i="1"/>
  <c r="M1280" i="1"/>
  <c r="L1280" i="1"/>
  <c r="K1280" i="1"/>
  <c r="I1280" i="1"/>
  <c r="H1280" i="1"/>
  <c r="G1280" i="1"/>
  <c r="F1280" i="1"/>
  <c r="N1279" i="1"/>
  <c r="M1279" i="1"/>
  <c r="L1279" i="1"/>
  <c r="K1279" i="1"/>
  <c r="I1279" i="1"/>
  <c r="H1279" i="1"/>
  <c r="G1279" i="1"/>
  <c r="F1279" i="1"/>
  <c r="N1278" i="1"/>
  <c r="M1278" i="1"/>
  <c r="L1278" i="1"/>
  <c r="K1278" i="1"/>
  <c r="I1278" i="1"/>
  <c r="H1278" i="1"/>
  <c r="G1278" i="1"/>
  <c r="F1278" i="1"/>
  <c r="N1277" i="1"/>
  <c r="M1277" i="1"/>
  <c r="L1277" i="1"/>
  <c r="K1277" i="1"/>
  <c r="I1277" i="1"/>
  <c r="H1277" i="1"/>
  <c r="G1277" i="1"/>
  <c r="F1277" i="1"/>
  <c r="N1276" i="1"/>
  <c r="M1276" i="1"/>
  <c r="L1276" i="1"/>
  <c r="K1276" i="1"/>
  <c r="I1276" i="1"/>
  <c r="H1276" i="1"/>
  <c r="G1276" i="1"/>
  <c r="F1276" i="1"/>
  <c r="N1275" i="1"/>
  <c r="M1275" i="1"/>
  <c r="L1275" i="1"/>
  <c r="K1275" i="1"/>
  <c r="I1275" i="1"/>
  <c r="H1275" i="1"/>
  <c r="G1275" i="1"/>
  <c r="F1275" i="1"/>
  <c r="N1274" i="1"/>
  <c r="M1274" i="1"/>
  <c r="L1274" i="1"/>
  <c r="K1274" i="1"/>
  <c r="I1274" i="1"/>
  <c r="H1274" i="1"/>
  <c r="G1274" i="1"/>
  <c r="F1274" i="1"/>
  <c r="N1273" i="1"/>
  <c r="M1273" i="1"/>
  <c r="L1273" i="1"/>
  <c r="K1273" i="1"/>
  <c r="I1273" i="1"/>
  <c r="H1273" i="1"/>
  <c r="G1273" i="1"/>
  <c r="F1273" i="1"/>
  <c r="N1272" i="1"/>
  <c r="M1272" i="1"/>
  <c r="L1272" i="1"/>
  <c r="K1272" i="1"/>
  <c r="I1272" i="1"/>
  <c r="H1272" i="1"/>
  <c r="G1272" i="1"/>
  <c r="F1272" i="1"/>
  <c r="N1271" i="1"/>
  <c r="M1271" i="1"/>
  <c r="L1271" i="1"/>
  <c r="K1271" i="1"/>
  <c r="I1271" i="1"/>
  <c r="H1271" i="1"/>
  <c r="G1271" i="1"/>
  <c r="F1271" i="1"/>
  <c r="N1270" i="1"/>
  <c r="M1270" i="1"/>
  <c r="L1270" i="1"/>
  <c r="K1270" i="1"/>
  <c r="I1270" i="1"/>
  <c r="H1270" i="1"/>
  <c r="G1270" i="1"/>
  <c r="F1270" i="1"/>
  <c r="N1269" i="1"/>
  <c r="M1269" i="1"/>
  <c r="L1269" i="1"/>
  <c r="K1269" i="1"/>
  <c r="I1269" i="1"/>
  <c r="H1269" i="1"/>
  <c r="G1269" i="1"/>
  <c r="F1269" i="1"/>
  <c r="N1268" i="1"/>
  <c r="M1268" i="1"/>
  <c r="L1268" i="1"/>
  <c r="K1268" i="1"/>
  <c r="I1268" i="1"/>
  <c r="H1268" i="1"/>
  <c r="G1268" i="1"/>
  <c r="F1268" i="1"/>
  <c r="N1267" i="1"/>
  <c r="M1267" i="1"/>
  <c r="L1267" i="1"/>
  <c r="K1267" i="1"/>
  <c r="I1267" i="1"/>
  <c r="H1267" i="1"/>
  <c r="G1267" i="1"/>
  <c r="F1267" i="1"/>
  <c r="N1266" i="1"/>
  <c r="M1266" i="1"/>
  <c r="L1266" i="1"/>
  <c r="K1266" i="1"/>
  <c r="I1266" i="1"/>
  <c r="H1266" i="1"/>
  <c r="G1266" i="1"/>
  <c r="F1266" i="1"/>
  <c r="N1265" i="1"/>
  <c r="M1265" i="1"/>
  <c r="L1265" i="1"/>
  <c r="K1265" i="1"/>
  <c r="I1265" i="1"/>
  <c r="H1265" i="1"/>
  <c r="G1265" i="1"/>
  <c r="F1265" i="1"/>
  <c r="N1264" i="1"/>
  <c r="M1264" i="1"/>
  <c r="L1264" i="1"/>
  <c r="K1264" i="1"/>
  <c r="I1264" i="1"/>
  <c r="H1264" i="1"/>
  <c r="G1264" i="1"/>
  <c r="F1264" i="1"/>
  <c r="N1263" i="1"/>
  <c r="M1263" i="1"/>
  <c r="L1263" i="1"/>
  <c r="K1263" i="1"/>
  <c r="I1263" i="1"/>
  <c r="H1263" i="1"/>
  <c r="G1263" i="1"/>
  <c r="F1263" i="1"/>
  <c r="N1262" i="1"/>
  <c r="M1262" i="1"/>
  <c r="L1262" i="1"/>
  <c r="K1262" i="1"/>
  <c r="I1262" i="1"/>
  <c r="H1262" i="1"/>
  <c r="G1262" i="1"/>
  <c r="F1262" i="1"/>
  <c r="N1261" i="1"/>
  <c r="M1261" i="1"/>
  <c r="L1261" i="1"/>
  <c r="K1261" i="1"/>
  <c r="I1261" i="1"/>
  <c r="H1261" i="1"/>
  <c r="G1261" i="1"/>
  <c r="F1261" i="1"/>
  <c r="N1260" i="1"/>
  <c r="M1260" i="1"/>
  <c r="L1260" i="1"/>
  <c r="K1260" i="1"/>
  <c r="I1260" i="1"/>
  <c r="H1260" i="1"/>
  <c r="G1260" i="1"/>
  <c r="F1260" i="1"/>
  <c r="N1259" i="1"/>
  <c r="M1259" i="1"/>
  <c r="L1259" i="1"/>
  <c r="K1259" i="1"/>
  <c r="I1259" i="1"/>
  <c r="H1259" i="1"/>
  <c r="G1259" i="1"/>
  <c r="F1259" i="1"/>
  <c r="N1258" i="1"/>
  <c r="M1258" i="1"/>
  <c r="L1258" i="1"/>
  <c r="K1258" i="1"/>
  <c r="I1258" i="1"/>
  <c r="H1258" i="1"/>
  <c r="G1258" i="1"/>
  <c r="F1258" i="1"/>
  <c r="N1257" i="1"/>
  <c r="M1257" i="1"/>
  <c r="L1257" i="1"/>
  <c r="K1257" i="1"/>
  <c r="I1257" i="1"/>
  <c r="H1257" i="1"/>
  <c r="G1257" i="1"/>
  <c r="F1257" i="1"/>
  <c r="N1256" i="1"/>
  <c r="M1256" i="1"/>
  <c r="L1256" i="1"/>
  <c r="K1256" i="1"/>
  <c r="I1256" i="1"/>
  <c r="H1256" i="1"/>
  <c r="G1256" i="1"/>
  <c r="F1256" i="1"/>
  <c r="N1255" i="1"/>
  <c r="M1255" i="1"/>
  <c r="L1255" i="1"/>
  <c r="K1255" i="1"/>
  <c r="I1255" i="1"/>
  <c r="H1255" i="1"/>
  <c r="G1255" i="1"/>
  <c r="F1255" i="1"/>
  <c r="N1254" i="1"/>
  <c r="M1254" i="1"/>
  <c r="L1254" i="1"/>
  <c r="K1254" i="1"/>
  <c r="I1254" i="1"/>
  <c r="H1254" i="1"/>
  <c r="G1254" i="1"/>
  <c r="F1254" i="1"/>
  <c r="N1253" i="1"/>
  <c r="M1253" i="1"/>
  <c r="L1253" i="1"/>
  <c r="K1253" i="1"/>
  <c r="I1253" i="1"/>
  <c r="H1253" i="1"/>
  <c r="G1253" i="1"/>
  <c r="F1253" i="1"/>
  <c r="N1252" i="1"/>
  <c r="M1252" i="1"/>
  <c r="L1252" i="1"/>
  <c r="K1252" i="1"/>
  <c r="I1252" i="1"/>
  <c r="H1252" i="1"/>
  <c r="G1252" i="1"/>
  <c r="F1252" i="1"/>
  <c r="N1251" i="1"/>
  <c r="M1251" i="1"/>
  <c r="L1251" i="1"/>
  <c r="K1251" i="1"/>
  <c r="I1251" i="1"/>
  <c r="H1251" i="1"/>
  <c r="G1251" i="1"/>
  <c r="F1251" i="1"/>
  <c r="N1250" i="1"/>
  <c r="M1250" i="1"/>
  <c r="L1250" i="1"/>
  <c r="K1250" i="1"/>
  <c r="I1250" i="1"/>
  <c r="H1250" i="1"/>
  <c r="G1250" i="1"/>
  <c r="F1250" i="1"/>
  <c r="N1249" i="1"/>
  <c r="M1249" i="1"/>
  <c r="L1249" i="1"/>
  <c r="K1249" i="1"/>
  <c r="I1249" i="1"/>
  <c r="H1249" i="1"/>
  <c r="G1249" i="1"/>
  <c r="F1249" i="1"/>
  <c r="N1248" i="1"/>
  <c r="M1248" i="1"/>
  <c r="L1248" i="1"/>
  <c r="K1248" i="1"/>
  <c r="I1248" i="1"/>
  <c r="H1248" i="1"/>
  <c r="G1248" i="1"/>
  <c r="F1248" i="1"/>
  <c r="N1247" i="1"/>
  <c r="M1247" i="1"/>
  <c r="L1247" i="1"/>
  <c r="K1247" i="1"/>
  <c r="I1247" i="1"/>
  <c r="H1247" i="1"/>
  <c r="G1247" i="1"/>
  <c r="F1247" i="1"/>
  <c r="N1246" i="1"/>
  <c r="M1246" i="1"/>
  <c r="L1246" i="1"/>
  <c r="K1246" i="1"/>
  <c r="I1246" i="1"/>
  <c r="H1246" i="1"/>
  <c r="G1246" i="1"/>
  <c r="F1246" i="1"/>
  <c r="N1245" i="1"/>
  <c r="M1245" i="1"/>
  <c r="L1245" i="1"/>
  <c r="K1245" i="1"/>
  <c r="I1245" i="1"/>
  <c r="H1245" i="1"/>
  <c r="G1245" i="1"/>
  <c r="F1245" i="1"/>
  <c r="N1244" i="1"/>
  <c r="M1244" i="1"/>
  <c r="L1244" i="1"/>
  <c r="K1244" i="1"/>
  <c r="I1244" i="1"/>
  <c r="H1244" i="1"/>
  <c r="G1244" i="1"/>
  <c r="F1244" i="1"/>
  <c r="N1243" i="1"/>
  <c r="M1243" i="1"/>
  <c r="L1243" i="1"/>
  <c r="K1243" i="1"/>
  <c r="I1243" i="1"/>
  <c r="H1243" i="1"/>
  <c r="G1243" i="1"/>
  <c r="F1243" i="1"/>
  <c r="N1242" i="1"/>
  <c r="M1242" i="1"/>
  <c r="L1242" i="1"/>
  <c r="K1242" i="1"/>
  <c r="I1242" i="1"/>
  <c r="H1242" i="1"/>
  <c r="G1242" i="1"/>
  <c r="F1242" i="1"/>
  <c r="N1241" i="1"/>
  <c r="M1241" i="1"/>
  <c r="L1241" i="1"/>
  <c r="K1241" i="1"/>
  <c r="I1241" i="1"/>
  <c r="H1241" i="1"/>
  <c r="G1241" i="1"/>
  <c r="F1241" i="1"/>
  <c r="N1240" i="1"/>
  <c r="M1240" i="1"/>
  <c r="L1240" i="1"/>
  <c r="K1240" i="1"/>
  <c r="I1240" i="1"/>
  <c r="H1240" i="1"/>
  <c r="G1240" i="1"/>
  <c r="F1240" i="1"/>
  <c r="N1239" i="1"/>
  <c r="M1239" i="1"/>
  <c r="L1239" i="1"/>
  <c r="K1239" i="1"/>
  <c r="I1239" i="1"/>
  <c r="H1239" i="1"/>
  <c r="G1239" i="1"/>
  <c r="F1239" i="1"/>
  <c r="N1238" i="1"/>
  <c r="M1238" i="1"/>
  <c r="L1238" i="1"/>
  <c r="K1238" i="1"/>
  <c r="I1238" i="1"/>
  <c r="H1238" i="1"/>
  <c r="G1238" i="1"/>
  <c r="F1238" i="1"/>
  <c r="N1237" i="1"/>
  <c r="M1237" i="1"/>
  <c r="L1237" i="1"/>
  <c r="K1237" i="1"/>
  <c r="I1237" i="1"/>
  <c r="H1237" i="1"/>
  <c r="G1237" i="1"/>
  <c r="F1237" i="1"/>
  <c r="N1236" i="1"/>
  <c r="M1236" i="1"/>
  <c r="L1236" i="1"/>
  <c r="K1236" i="1"/>
  <c r="I1236" i="1"/>
  <c r="H1236" i="1"/>
  <c r="G1236" i="1"/>
  <c r="F1236" i="1"/>
  <c r="N1235" i="1"/>
  <c r="M1235" i="1"/>
  <c r="L1235" i="1"/>
  <c r="K1235" i="1"/>
  <c r="I1235" i="1"/>
  <c r="H1235" i="1"/>
  <c r="G1235" i="1"/>
  <c r="F1235" i="1"/>
  <c r="N1234" i="1"/>
  <c r="M1234" i="1"/>
  <c r="L1234" i="1"/>
  <c r="K1234" i="1"/>
  <c r="I1234" i="1"/>
  <c r="H1234" i="1"/>
  <c r="G1234" i="1"/>
  <c r="F1234" i="1"/>
  <c r="N1233" i="1"/>
  <c r="M1233" i="1"/>
  <c r="L1233" i="1"/>
  <c r="K1233" i="1"/>
  <c r="I1233" i="1"/>
  <c r="H1233" i="1"/>
  <c r="G1233" i="1"/>
  <c r="F1233" i="1"/>
  <c r="N1232" i="1"/>
  <c r="M1232" i="1"/>
  <c r="L1232" i="1"/>
  <c r="K1232" i="1"/>
  <c r="I1232" i="1"/>
  <c r="H1232" i="1"/>
  <c r="G1232" i="1"/>
  <c r="F1232" i="1"/>
  <c r="N1231" i="1"/>
  <c r="M1231" i="1"/>
  <c r="L1231" i="1"/>
  <c r="K1231" i="1"/>
  <c r="I1231" i="1"/>
  <c r="H1231" i="1"/>
  <c r="G1231" i="1"/>
  <c r="F1231" i="1"/>
  <c r="N1230" i="1"/>
  <c r="M1230" i="1"/>
  <c r="L1230" i="1"/>
  <c r="K1230" i="1"/>
  <c r="I1230" i="1"/>
  <c r="H1230" i="1"/>
  <c r="G1230" i="1"/>
  <c r="F1230" i="1"/>
  <c r="N1229" i="1"/>
  <c r="M1229" i="1"/>
  <c r="L1229" i="1"/>
  <c r="K1229" i="1"/>
  <c r="I1229" i="1"/>
  <c r="H1229" i="1"/>
  <c r="G1229" i="1"/>
  <c r="F1229" i="1"/>
  <c r="N1228" i="1"/>
  <c r="M1228" i="1"/>
  <c r="L1228" i="1"/>
  <c r="K1228" i="1"/>
  <c r="I1228" i="1"/>
  <c r="H1228" i="1"/>
  <c r="G1228" i="1"/>
  <c r="F1228" i="1"/>
  <c r="N1227" i="1"/>
  <c r="M1227" i="1"/>
  <c r="L1227" i="1"/>
  <c r="K1227" i="1"/>
  <c r="I1227" i="1"/>
  <c r="H1227" i="1"/>
  <c r="G1227" i="1"/>
  <c r="F1227" i="1"/>
  <c r="N1226" i="1"/>
  <c r="M1226" i="1"/>
  <c r="L1226" i="1"/>
  <c r="K1226" i="1"/>
  <c r="I1226" i="1"/>
  <c r="H1226" i="1"/>
  <c r="G1226" i="1"/>
  <c r="F1226" i="1"/>
  <c r="N1225" i="1"/>
  <c r="M1225" i="1"/>
  <c r="L1225" i="1"/>
  <c r="K1225" i="1"/>
  <c r="I1225" i="1"/>
  <c r="H1225" i="1"/>
  <c r="G1225" i="1"/>
  <c r="F1225" i="1"/>
  <c r="N1224" i="1"/>
  <c r="M1224" i="1"/>
  <c r="L1224" i="1"/>
  <c r="K1224" i="1"/>
  <c r="I1224" i="1"/>
  <c r="H1224" i="1"/>
  <c r="G1224" i="1"/>
  <c r="F1224" i="1"/>
  <c r="N1223" i="1"/>
  <c r="M1223" i="1"/>
  <c r="L1223" i="1"/>
  <c r="K1223" i="1"/>
  <c r="I1223" i="1"/>
  <c r="H1223" i="1"/>
  <c r="G1223" i="1"/>
  <c r="F1223" i="1"/>
  <c r="N1222" i="1"/>
  <c r="M1222" i="1"/>
  <c r="L1222" i="1"/>
  <c r="K1222" i="1"/>
  <c r="I1222" i="1"/>
  <c r="H1222" i="1"/>
  <c r="G1222" i="1"/>
  <c r="F1222" i="1"/>
  <c r="N1221" i="1"/>
  <c r="M1221" i="1"/>
  <c r="L1221" i="1"/>
  <c r="K1221" i="1"/>
  <c r="I1221" i="1"/>
  <c r="H1221" i="1"/>
  <c r="G1221" i="1"/>
  <c r="F1221" i="1"/>
  <c r="N1220" i="1"/>
  <c r="M1220" i="1"/>
  <c r="L1220" i="1"/>
  <c r="K1220" i="1"/>
  <c r="I1220" i="1"/>
  <c r="H1220" i="1"/>
  <c r="G1220" i="1"/>
  <c r="F1220" i="1"/>
  <c r="N1219" i="1"/>
  <c r="M1219" i="1"/>
  <c r="L1219" i="1"/>
  <c r="K1219" i="1"/>
  <c r="I1219" i="1"/>
  <c r="H1219" i="1"/>
  <c r="G1219" i="1"/>
  <c r="F1219" i="1"/>
  <c r="N1218" i="1"/>
  <c r="M1218" i="1"/>
  <c r="L1218" i="1"/>
  <c r="K1218" i="1"/>
  <c r="I1218" i="1"/>
  <c r="H1218" i="1"/>
  <c r="G1218" i="1"/>
  <c r="F1218" i="1"/>
  <c r="N1217" i="1"/>
  <c r="M1217" i="1"/>
  <c r="L1217" i="1"/>
  <c r="K1217" i="1"/>
  <c r="I1217" i="1"/>
  <c r="H1217" i="1"/>
  <c r="G1217" i="1"/>
  <c r="F1217" i="1"/>
  <c r="N1216" i="1"/>
  <c r="M1216" i="1"/>
  <c r="L1216" i="1"/>
  <c r="K1216" i="1"/>
  <c r="I1216" i="1"/>
  <c r="H1216" i="1"/>
  <c r="G1216" i="1"/>
  <c r="F1216" i="1"/>
  <c r="N1215" i="1"/>
  <c r="M1215" i="1"/>
  <c r="L1215" i="1"/>
  <c r="K1215" i="1"/>
  <c r="I1215" i="1"/>
  <c r="H1215" i="1"/>
  <c r="G1215" i="1"/>
  <c r="F1215" i="1"/>
  <c r="N1214" i="1"/>
  <c r="M1214" i="1"/>
  <c r="L1214" i="1"/>
  <c r="K1214" i="1"/>
  <c r="I1214" i="1"/>
  <c r="H1214" i="1"/>
  <c r="G1214" i="1"/>
  <c r="F1214" i="1"/>
  <c r="N1213" i="1"/>
  <c r="M1213" i="1"/>
  <c r="L1213" i="1"/>
  <c r="K1213" i="1"/>
  <c r="I1213" i="1"/>
  <c r="H1213" i="1"/>
  <c r="G1213" i="1"/>
  <c r="F1213" i="1"/>
  <c r="N1212" i="1"/>
  <c r="M1212" i="1"/>
  <c r="L1212" i="1"/>
  <c r="K1212" i="1"/>
  <c r="I1212" i="1"/>
  <c r="H1212" i="1"/>
  <c r="G1212" i="1"/>
  <c r="F1212" i="1"/>
  <c r="N1211" i="1"/>
  <c r="M1211" i="1"/>
  <c r="L1211" i="1"/>
  <c r="K1211" i="1"/>
  <c r="I1211" i="1"/>
  <c r="H1211" i="1"/>
  <c r="G1211" i="1"/>
  <c r="F1211" i="1"/>
  <c r="N1210" i="1"/>
  <c r="M1210" i="1"/>
  <c r="L1210" i="1"/>
  <c r="K1210" i="1"/>
  <c r="I1210" i="1"/>
  <c r="H1210" i="1"/>
  <c r="G1210" i="1"/>
  <c r="F1210" i="1"/>
  <c r="N1209" i="1"/>
  <c r="M1209" i="1"/>
  <c r="L1209" i="1"/>
  <c r="K1209" i="1"/>
  <c r="I1209" i="1"/>
  <c r="H1209" i="1"/>
  <c r="G1209" i="1"/>
  <c r="F1209" i="1"/>
  <c r="N1208" i="1"/>
  <c r="M1208" i="1"/>
  <c r="L1208" i="1"/>
  <c r="K1208" i="1"/>
  <c r="I1208" i="1"/>
  <c r="H1208" i="1"/>
  <c r="G1208" i="1"/>
  <c r="F1208" i="1"/>
  <c r="N1207" i="1"/>
  <c r="M1207" i="1"/>
  <c r="L1207" i="1"/>
  <c r="K1207" i="1"/>
  <c r="I1207" i="1"/>
  <c r="H1207" i="1"/>
  <c r="G1207" i="1"/>
  <c r="F1207" i="1"/>
  <c r="N1206" i="1"/>
  <c r="M1206" i="1"/>
  <c r="L1206" i="1"/>
  <c r="K1206" i="1"/>
  <c r="I1206" i="1"/>
  <c r="H1206" i="1"/>
  <c r="G1206" i="1"/>
  <c r="F1206" i="1"/>
  <c r="N1205" i="1"/>
  <c r="M1205" i="1"/>
  <c r="L1205" i="1"/>
  <c r="K1205" i="1"/>
  <c r="I1205" i="1"/>
  <c r="H1205" i="1"/>
  <c r="G1205" i="1"/>
  <c r="F1205" i="1"/>
  <c r="N1204" i="1"/>
  <c r="M1204" i="1"/>
  <c r="L1204" i="1"/>
  <c r="K1204" i="1"/>
  <c r="I1204" i="1"/>
  <c r="H1204" i="1"/>
  <c r="G1204" i="1"/>
  <c r="F1204" i="1"/>
  <c r="N1203" i="1"/>
  <c r="M1203" i="1"/>
  <c r="L1203" i="1"/>
  <c r="K1203" i="1"/>
  <c r="I1203" i="1"/>
  <c r="H1203" i="1"/>
  <c r="G1203" i="1"/>
  <c r="F1203" i="1"/>
  <c r="N1202" i="1"/>
  <c r="M1202" i="1"/>
  <c r="L1202" i="1"/>
  <c r="K1202" i="1"/>
  <c r="I1202" i="1"/>
  <c r="H1202" i="1"/>
  <c r="G1202" i="1"/>
  <c r="F1202" i="1"/>
  <c r="N1201" i="1"/>
  <c r="M1201" i="1"/>
  <c r="L1201" i="1"/>
  <c r="K1201" i="1"/>
  <c r="I1201" i="1"/>
  <c r="H1201" i="1"/>
  <c r="G1201" i="1"/>
  <c r="F1201" i="1"/>
  <c r="N1200" i="1"/>
  <c r="M1200" i="1"/>
  <c r="L1200" i="1"/>
  <c r="K1200" i="1"/>
  <c r="I1200" i="1"/>
  <c r="H1200" i="1"/>
  <c r="G1200" i="1"/>
  <c r="F1200" i="1"/>
  <c r="N1199" i="1"/>
  <c r="M1199" i="1"/>
  <c r="L1199" i="1"/>
  <c r="K1199" i="1"/>
  <c r="I1199" i="1"/>
  <c r="H1199" i="1"/>
  <c r="G1199" i="1"/>
  <c r="F1199" i="1"/>
  <c r="N1198" i="1"/>
  <c r="M1198" i="1"/>
  <c r="L1198" i="1"/>
  <c r="K1198" i="1"/>
  <c r="I1198" i="1"/>
  <c r="H1198" i="1"/>
  <c r="G1198" i="1"/>
  <c r="F1198" i="1"/>
  <c r="N1197" i="1"/>
  <c r="M1197" i="1"/>
  <c r="L1197" i="1"/>
  <c r="K1197" i="1"/>
  <c r="I1197" i="1"/>
  <c r="H1197" i="1"/>
  <c r="G1197" i="1"/>
  <c r="F1197" i="1"/>
  <c r="N1196" i="1"/>
  <c r="M1196" i="1"/>
  <c r="L1196" i="1"/>
  <c r="K1196" i="1"/>
  <c r="I1196" i="1"/>
  <c r="H1196" i="1"/>
  <c r="G1196" i="1"/>
  <c r="F1196" i="1"/>
  <c r="N1195" i="1"/>
  <c r="M1195" i="1"/>
  <c r="L1195" i="1"/>
  <c r="K1195" i="1"/>
  <c r="I1195" i="1"/>
  <c r="H1195" i="1"/>
  <c r="G1195" i="1"/>
  <c r="F1195" i="1"/>
  <c r="N1194" i="1"/>
  <c r="M1194" i="1"/>
  <c r="L1194" i="1"/>
  <c r="K1194" i="1"/>
  <c r="I1194" i="1"/>
  <c r="H1194" i="1"/>
  <c r="G1194" i="1"/>
  <c r="F1194" i="1"/>
  <c r="N1193" i="1"/>
  <c r="M1193" i="1"/>
  <c r="L1193" i="1"/>
  <c r="K1193" i="1"/>
  <c r="I1193" i="1"/>
  <c r="H1193" i="1"/>
  <c r="G1193" i="1"/>
  <c r="F1193" i="1"/>
  <c r="N1192" i="1"/>
  <c r="M1192" i="1"/>
  <c r="L1192" i="1"/>
  <c r="K1192" i="1"/>
  <c r="I1192" i="1"/>
  <c r="H1192" i="1"/>
  <c r="G1192" i="1"/>
  <c r="F1192" i="1"/>
  <c r="N1191" i="1"/>
  <c r="M1191" i="1"/>
  <c r="L1191" i="1"/>
  <c r="K1191" i="1"/>
  <c r="I1191" i="1"/>
  <c r="H1191" i="1"/>
  <c r="G1191" i="1"/>
  <c r="F1191" i="1"/>
  <c r="N1190" i="1"/>
  <c r="M1190" i="1"/>
  <c r="L1190" i="1"/>
  <c r="K1190" i="1"/>
  <c r="I1190" i="1"/>
  <c r="H1190" i="1"/>
  <c r="G1190" i="1"/>
  <c r="F1190" i="1"/>
  <c r="N1189" i="1"/>
  <c r="M1189" i="1"/>
  <c r="L1189" i="1"/>
  <c r="K1189" i="1"/>
  <c r="I1189" i="1"/>
  <c r="H1189" i="1"/>
  <c r="G1189" i="1"/>
  <c r="F1189" i="1"/>
  <c r="N1188" i="1"/>
  <c r="M1188" i="1"/>
  <c r="L1188" i="1"/>
  <c r="K1188" i="1"/>
  <c r="I1188" i="1"/>
  <c r="H1188" i="1"/>
  <c r="G1188" i="1"/>
  <c r="F1188" i="1"/>
  <c r="N1187" i="1"/>
  <c r="M1187" i="1"/>
  <c r="L1187" i="1"/>
  <c r="K1187" i="1"/>
  <c r="I1187" i="1"/>
  <c r="H1187" i="1"/>
  <c r="G1187" i="1"/>
  <c r="F1187" i="1"/>
  <c r="N1186" i="1"/>
  <c r="M1186" i="1"/>
  <c r="L1186" i="1"/>
  <c r="K1186" i="1"/>
  <c r="I1186" i="1"/>
  <c r="H1186" i="1"/>
  <c r="G1186" i="1"/>
  <c r="F1186" i="1"/>
  <c r="N1185" i="1"/>
  <c r="M1185" i="1"/>
  <c r="L1185" i="1"/>
  <c r="K1185" i="1"/>
  <c r="I1185" i="1"/>
  <c r="H1185" i="1"/>
  <c r="G1185" i="1"/>
  <c r="F1185" i="1"/>
  <c r="N1184" i="1"/>
  <c r="M1184" i="1"/>
  <c r="L1184" i="1"/>
  <c r="K1184" i="1"/>
  <c r="I1184" i="1"/>
  <c r="H1184" i="1"/>
  <c r="G1184" i="1"/>
  <c r="F1184" i="1"/>
  <c r="N1183" i="1"/>
  <c r="M1183" i="1"/>
  <c r="L1183" i="1"/>
  <c r="K1183" i="1"/>
  <c r="I1183" i="1"/>
  <c r="H1183" i="1"/>
  <c r="G1183" i="1"/>
  <c r="F1183" i="1"/>
  <c r="N1182" i="1"/>
  <c r="M1182" i="1"/>
  <c r="L1182" i="1"/>
  <c r="K1182" i="1"/>
  <c r="I1182" i="1"/>
  <c r="H1182" i="1"/>
  <c r="G1182" i="1"/>
  <c r="F1182" i="1"/>
  <c r="N1181" i="1"/>
  <c r="M1181" i="1"/>
  <c r="L1181" i="1"/>
  <c r="K1181" i="1"/>
  <c r="I1181" i="1"/>
  <c r="H1181" i="1"/>
  <c r="G1181" i="1"/>
  <c r="F1181" i="1"/>
  <c r="N1180" i="1"/>
  <c r="M1180" i="1"/>
  <c r="L1180" i="1"/>
  <c r="K1180" i="1"/>
  <c r="I1180" i="1"/>
  <c r="H1180" i="1"/>
  <c r="G1180" i="1"/>
  <c r="F1180" i="1"/>
  <c r="N1179" i="1"/>
  <c r="M1179" i="1"/>
  <c r="L1179" i="1"/>
  <c r="K1179" i="1"/>
  <c r="I1179" i="1"/>
  <c r="H1179" i="1"/>
  <c r="G1179" i="1"/>
  <c r="F1179" i="1"/>
  <c r="N1178" i="1"/>
  <c r="M1178" i="1"/>
  <c r="L1178" i="1"/>
  <c r="K1178" i="1"/>
  <c r="I1178" i="1"/>
  <c r="H1178" i="1"/>
  <c r="G1178" i="1"/>
  <c r="F1178" i="1"/>
  <c r="N1177" i="1"/>
  <c r="M1177" i="1"/>
  <c r="L1177" i="1"/>
  <c r="K1177" i="1"/>
  <c r="I1177" i="1"/>
  <c r="H1177" i="1"/>
  <c r="G1177" i="1"/>
  <c r="F1177" i="1"/>
  <c r="N1176" i="1"/>
  <c r="M1176" i="1"/>
  <c r="L1176" i="1"/>
  <c r="K1176" i="1"/>
  <c r="I1176" i="1"/>
  <c r="H1176" i="1"/>
  <c r="G1176" i="1"/>
  <c r="F1176" i="1"/>
  <c r="N1175" i="1"/>
  <c r="M1175" i="1"/>
  <c r="L1175" i="1"/>
  <c r="K1175" i="1"/>
  <c r="I1175" i="1"/>
  <c r="H1175" i="1"/>
  <c r="G1175" i="1"/>
  <c r="F1175" i="1"/>
  <c r="N1174" i="1"/>
  <c r="M1174" i="1"/>
  <c r="L1174" i="1"/>
  <c r="K1174" i="1"/>
  <c r="I1174" i="1"/>
  <c r="H1174" i="1"/>
  <c r="G1174" i="1"/>
  <c r="F1174" i="1"/>
  <c r="N1173" i="1"/>
  <c r="M1173" i="1"/>
  <c r="L1173" i="1"/>
  <c r="K1173" i="1"/>
  <c r="I1173" i="1"/>
  <c r="H1173" i="1"/>
  <c r="G1173" i="1"/>
  <c r="F1173" i="1"/>
  <c r="N1172" i="1"/>
  <c r="M1172" i="1"/>
  <c r="L1172" i="1"/>
  <c r="K1172" i="1"/>
  <c r="I1172" i="1"/>
  <c r="H1172" i="1"/>
  <c r="G1172" i="1"/>
  <c r="F1172" i="1"/>
  <c r="N1171" i="1"/>
  <c r="M1171" i="1"/>
  <c r="L1171" i="1"/>
  <c r="K1171" i="1"/>
  <c r="I1171" i="1"/>
  <c r="H1171" i="1"/>
  <c r="G1171" i="1"/>
  <c r="F1171" i="1"/>
  <c r="N1170" i="1"/>
  <c r="M1170" i="1"/>
  <c r="L1170" i="1"/>
  <c r="K1170" i="1"/>
  <c r="I1170" i="1"/>
  <c r="H1170" i="1"/>
  <c r="G1170" i="1"/>
  <c r="F1170" i="1"/>
  <c r="N1169" i="1"/>
  <c r="M1169" i="1"/>
  <c r="L1169" i="1"/>
  <c r="K1169" i="1"/>
  <c r="I1169" i="1"/>
  <c r="H1169" i="1"/>
  <c r="G1169" i="1"/>
  <c r="F1169" i="1"/>
  <c r="N1168" i="1"/>
  <c r="M1168" i="1"/>
  <c r="L1168" i="1"/>
  <c r="K1168" i="1"/>
  <c r="I1168" i="1"/>
  <c r="H1168" i="1"/>
  <c r="G1168" i="1"/>
  <c r="F1168" i="1"/>
  <c r="N1167" i="1"/>
  <c r="M1167" i="1"/>
  <c r="L1167" i="1"/>
  <c r="K1167" i="1"/>
  <c r="I1167" i="1"/>
  <c r="H1167" i="1"/>
  <c r="G1167" i="1"/>
  <c r="F1167" i="1"/>
  <c r="N1166" i="1"/>
  <c r="M1166" i="1"/>
  <c r="L1166" i="1"/>
  <c r="K1166" i="1"/>
  <c r="I1166" i="1"/>
  <c r="H1166" i="1"/>
  <c r="G1166" i="1"/>
  <c r="F1166" i="1"/>
  <c r="N1165" i="1"/>
  <c r="M1165" i="1"/>
  <c r="L1165" i="1"/>
  <c r="K1165" i="1"/>
  <c r="I1165" i="1"/>
  <c r="H1165" i="1"/>
  <c r="G1165" i="1"/>
  <c r="F1165" i="1"/>
  <c r="N1164" i="1"/>
  <c r="M1164" i="1"/>
  <c r="L1164" i="1"/>
  <c r="K1164" i="1"/>
  <c r="I1164" i="1"/>
  <c r="H1164" i="1"/>
  <c r="G1164" i="1"/>
  <c r="F1164" i="1"/>
  <c r="N1163" i="1"/>
  <c r="M1163" i="1"/>
  <c r="L1163" i="1"/>
  <c r="K1163" i="1"/>
  <c r="I1163" i="1"/>
  <c r="H1163" i="1"/>
  <c r="G1163" i="1"/>
  <c r="F1163" i="1"/>
  <c r="N1162" i="1"/>
  <c r="M1162" i="1"/>
  <c r="L1162" i="1"/>
  <c r="K1162" i="1"/>
  <c r="I1162" i="1"/>
  <c r="H1162" i="1"/>
  <c r="G1162" i="1"/>
  <c r="F1162" i="1"/>
  <c r="N1161" i="1"/>
  <c r="M1161" i="1"/>
  <c r="L1161" i="1"/>
  <c r="K1161" i="1"/>
  <c r="I1161" i="1"/>
  <c r="H1161" i="1"/>
  <c r="G1161" i="1"/>
  <c r="F1161" i="1"/>
  <c r="N1160" i="1"/>
  <c r="M1160" i="1"/>
  <c r="L1160" i="1"/>
  <c r="K1160" i="1"/>
  <c r="I1160" i="1"/>
  <c r="H1160" i="1"/>
  <c r="G1160" i="1"/>
  <c r="F1160" i="1"/>
  <c r="N1159" i="1"/>
  <c r="M1159" i="1"/>
  <c r="L1159" i="1"/>
  <c r="K1159" i="1"/>
  <c r="I1159" i="1"/>
  <c r="H1159" i="1"/>
  <c r="G1159" i="1"/>
  <c r="F1159" i="1"/>
  <c r="N1158" i="1"/>
  <c r="M1158" i="1"/>
  <c r="L1158" i="1"/>
  <c r="K1158" i="1"/>
  <c r="I1158" i="1"/>
  <c r="H1158" i="1"/>
  <c r="G1158" i="1"/>
  <c r="F1158" i="1"/>
  <c r="N1157" i="1"/>
  <c r="M1157" i="1"/>
  <c r="L1157" i="1"/>
  <c r="K1157" i="1"/>
  <c r="I1157" i="1"/>
  <c r="H1157" i="1"/>
  <c r="G1157" i="1"/>
  <c r="F1157" i="1"/>
  <c r="N1156" i="1"/>
  <c r="M1156" i="1"/>
  <c r="L1156" i="1"/>
  <c r="K1156" i="1"/>
  <c r="I1156" i="1"/>
  <c r="H1156" i="1"/>
  <c r="G1156" i="1"/>
  <c r="F1156" i="1"/>
  <c r="N1155" i="1"/>
  <c r="M1155" i="1"/>
  <c r="L1155" i="1"/>
  <c r="K1155" i="1"/>
  <c r="I1155" i="1"/>
  <c r="H1155" i="1"/>
  <c r="G1155" i="1"/>
  <c r="F1155" i="1"/>
  <c r="N1154" i="1"/>
  <c r="M1154" i="1"/>
  <c r="L1154" i="1"/>
  <c r="K1154" i="1"/>
  <c r="I1154" i="1"/>
  <c r="H1154" i="1"/>
  <c r="G1154" i="1"/>
  <c r="F1154" i="1"/>
  <c r="N1153" i="1"/>
  <c r="M1153" i="1"/>
  <c r="L1153" i="1"/>
  <c r="K1153" i="1"/>
  <c r="I1153" i="1"/>
  <c r="H1153" i="1"/>
  <c r="G1153" i="1"/>
  <c r="F1153" i="1"/>
  <c r="N1152" i="1"/>
  <c r="M1152" i="1"/>
  <c r="L1152" i="1"/>
  <c r="K1152" i="1"/>
  <c r="I1152" i="1"/>
  <c r="H1152" i="1"/>
  <c r="G1152" i="1"/>
  <c r="F1152" i="1"/>
  <c r="N1151" i="1"/>
  <c r="M1151" i="1"/>
  <c r="L1151" i="1"/>
  <c r="K1151" i="1"/>
  <c r="I1151" i="1"/>
  <c r="H1151" i="1"/>
  <c r="G1151" i="1"/>
  <c r="F1151" i="1"/>
  <c r="N1150" i="1"/>
  <c r="M1150" i="1"/>
  <c r="L1150" i="1"/>
  <c r="K1150" i="1"/>
  <c r="I1150" i="1"/>
  <c r="H1150" i="1"/>
  <c r="G1150" i="1"/>
  <c r="F1150" i="1"/>
  <c r="N1149" i="1"/>
  <c r="M1149" i="1"/>
  <c r="L1149" i="1"/>
  <c r="K1149" i="1"/>
  <c r="I1149" i="1"/>
  <c r="H1149" i="1"/>
  <c r="G1149" i="1"/>
  <c r="F1149" i="1"/>
  <c r="N1148" i="1"/>
  <c r="M1148" i="1"/>
  <c r="L1148" i="1"/>
  <c r="K1148" i="1"/>
  <c r="I1148" i="1"/>
  <c r="H1148" i="1"/>
  <c r="G1148" i="1"/>
  <c r="F1148" i="1"/>
  <c r="N1147" i="1"/>
  <c r="M1147" i="1"/>
  <c r="L1147" i="1"/>
  <c r="K1147" i="1"/>
  <c r="I1147" i="1"/>
  <c r="H1147" i="1"/>
  <c r="G1147" i="1"/>
  <c r="F1147" i="1"/>
  <c r="N1146" i="1"/>
  <c r="M1146" i="1"/>
  <c r="L1146" i="1"/>
  <c r="K1146" i="1"/>
  <c r="I1146" i="1"/>
  <c r="H1146" i="1"/>
  <c r="G1146" i="1"/>
  <c r="F1146" i="1"/>
  <c r="N1145" i="1"/>
  <c r="M1145" i="1"/>
  <c r="L1145" i="1"/>
  <c r="K1145" i="1"/>
  <c r="I1145" i="1"/>
  <c r="H1145" i="1"/>
  <c r="G1145" i="1"/>
  <c r="F1145" i="1"/>
  <c r="N1144" i="1"/>
  <c r="M1144" i="1"/>
  <c r="L1144" i="1"/>
  <c r="K1144" i="1"/>
  <c r="I1144" i="1"/>
  <c r="H1144" i="1"/>
  <c r="G1144" i="1"/>
  <c r="F1144" i="1"/>
  <c r="N1143" i="1"/>
  <c r="M1143" i="1"/>
  <c r="L1143" i="1"/>
  <c r="K1143" i="1"/>
  <c r="I1143" i="1"/>
  <c r="H1143" i="1"/>
  <c r="G1143" i="1"/>
  <c r="F1143" i="1"/>
  <c r="N1142" i="1"/>
  <c r="M1142" i="1"/>
  <c r="L1142" i="1"/>
  <c r="K1142" i="1"/>
  <c r="I1142" i="1"/>
  <c r="H1142" i="1"/>
  <c r="G1142" i="1"/>
  <c r="F1142" i="1"/>
  <c r="N1141" i="1"/>
  <c r="M1141" i="1"/>
  <c r="L1141" i="1"/>
  <c r="K1141" i="1"/>
  <c r="I1141" i="1"/>
  <c r="H1141" i="1"/>
  <c r="G1141" i="1"/>
  <c r="F1141" i="1"/>
  <c r="N1140" i="1"/>
  <c r="M1140" i="1"/>
  <c r="L1140" i="1"/>
  <c r="K1140" i="1"/>
  <c r="I1140" i="1"/>
  <c r="H1140" i="1"/>
  <c r="G1140" i="1"/>
  <c r="F1140" i="1"/>
  <c r="N1139" i="1"/>
  <c r="M1139" i="1"/>
  <c r="L1139" i="1"/>
  <c r="K1139" i="1"/>
  <c r="I1139" i="1"/>
  <c r="H1139" i="1"/>
  <c r="G1139" i="1"/>
  <c r="F1139" i="1"/>
  <c r="N1138" i="1"/>
  <c r="M1138" i="1"/>
  <c r="L1138" i="1"/>
  <c r="K1138" i="1"/>
  <c r="I1138" i="1"/>
  <c r="H1138" i="1"/>
  <c r="G1138" i="1"/>
  <c r="F1138" i="1"/>
  <c r="N1137" i="1"/>
  <c r="M1137" i="1"/>
  <c r="L1137" i="1"/>
  <c r="K1137" i="1"/>
  <c r="I1137" i="1"/>
  <c r="H1137" i="1"/>
  <c r="G1137" i="1"/>
  <c r="F1137" i="1"/>
  <c r="N1136" i="1"/>
  <c r="M1136" i="1"/>
  <c r="L1136" i="1"/>
  <c r="K1136" i="1"/>
  <c r="I1136" i="1"/>
  <c r="H1136" i="1"/>
  <c r="G1136" i="1"/>
  <c r="F1136" i="1"/>
  <c r="N1135" i="1"/>
  <c r="M1135" i="1"/>
  <c r="L1135" i="1"/>
  <c r="K1135" i="1"/>
  <c r="I1135" i="1"/>
  <c r="H1135" i="1"/>
  <c r="G1135" i="1"/>
  <c r="F1135" i="1"/>
  <c r="N1134" i="1"/>
  <c r="M1134" i="1"/>
  <c r="L1134" i="1"/>
  <c r="K1134" i="1"/>
  <c r="I1134" i="1"/>
  <c r="H1134" i="1"/>
  <c r="G1134" i="1"/>
  <c r="F1134" i="1"/>
  <c r="N1133" i="1"/>
  <c r="M1133" i="1"/>
  <c r="L1133" i="1"/>
  <c r="K1133" i="1"/>
  <c r="I1133" i="1"/>
  <c r="H1133" i="1"/>
  <c r="G1133" i="1"/>
  <c r="F1133" i="1"/>
  <c r="N1132" i="1"/>
  <c r="M1132" i="1"/>
  <c r="L1132" i="1"/>
  <c r="K1132" i="1"/>
  <c r="I1132" i="1"/>
  <c r="H1132" i="1"/>
  <c r="G1132" i="1"/>
  <c r="F1132" i="1"/>
  <c r="N1131" i="1"/>
  <c r="M1131" i="1"/>
  <c r="L1131" i="1"/>
  <c r="K1131" i="1"/>
  <c r="I1131" i="1"/>
  <c r="H1131" i="1"/>
  <c r="G1131" i="1"/>
  <c r="F1131" i="1"/>
  <c r="N1130" i="1"/>
  <c r="M1130" i="1"/>
  <c r="L1130" i="1"/>
  <c r="K1130" i="1"/>
  <c r="I1130" i="1"/>
  <c r="H1130" i="1"/>
  <c r="G1130" i="1"/>
  <c r="F1130" i="1"/>
  <c r="N1129" i="1"/>
  <c r="M1129" i="1"/>
  <c r="L1129" i="1"/>
  <c r="K1129" i="1"/>
  <c r="I1129" i="1"/>
  <c r="H1129" i="1"/>
  <c r="G1129" i="1"/>
  <c r="F1129" i="1"/>
  <c r="N1128" i="1"/>
  <c r="M1128" i="1"/>
  <c r="L1128" i="1"/>
  <c r="K1128" i="1"/>
  <c r="I1128" i="1"/>
  <c r="H1128" i="1"/>
  <c r="G1128" i="1"/>
  <c r="F1128" i="1"/>
  <c r="N1127" i="1"/>
  <c r="M1127" i="1"/>
  <c r="L1127" i="1"/>
  <c r="K1127" i="1"/>
  <c r="I1127" i="1"/>
  <c r="H1127" i="1"/>
  <c r="G1127" i="1"/>
  <c r="F1127" i="1"/>
  <c r="N1126" i="1"/>
  <c r="M1126" i="1"/>
  <c r="L1126" i="1"/>
  <c r="K1126" i="1"/>
  <c r="I1126" i="1"/>
  <c r="H1126" i="1"/>
  <c r="G1126" i="1"/>
  <c r="F1126" i="1"/>
  <c r="N1125" i="1"/>
  <c r="M1125" i="1"/>
  <c r="L1125" i="1"/>
  <c r="K1125" i="1"/>
  <c r="I1125" i="1"/>
  <c r="H1125" i="1"/>
  <c r="G1125" i="1"/>
  <c r="F1125" i="1"/>
  <c r="N1124" i="1"/>
  <c r="M1124" i="1"/>
  <c r="L1124" i="1"/>
  <c r="K1124" i="1"/>
  <c r="I1124" i="1"/>
  <c r="H1124" i="1"/>
  <c r="G1124" i="1"/>
  <c r="F1124" i="1"/>
  <c r="N1123" i="1"/>
  <c r="M1123" i="1"/>
  <c r="L1123" i="1"/>
  <c r="K1123" i="1"/>
  <c r="I1123" i="1"/>
  <c r="H1123" i="1"/>
  <c r="G1123" i="1"/>
  <c r="F1123" i="1"/>
  <c r="N1122" i="1"/>
  <c r="M1122" i="1"/>
  <c r="L1122" i="1"/>
  <c r="K1122" i="1"/>
  <c r="I1122" i="1"/>
  <c r="H1122" i="1"/>
  <c r="G1122" i="1"/>
  <c r="F1122" i="1"/>
  <c r="N1121" i="1"/>
  <c r="M1121" i="1"/>
  <c r="L1121" i="1"/>
  <c r="K1121" i="1"/>
  <c r="I1121" i="1"/>
  <c r="H1121" i="1"/>
  <c r="G1121" i="1"/>
  <c r="F1121" i="1"/>
  <c r="N1120" i="1"/>
  <c r="M1120" i="1"/>
  <c r="L1120" i="1"/>
  <c r="K1120" i="1"/>
  <c r="I1120" i="1"/>
  <c r="H1120" i="1"/>
  <c r="G1120" i="1"/>
  <c r="F1120" i="1"/>
  <c r="N1119" i="1"/>
  <c r="M1119" i="1"/>
  <c r="L1119" i="1"/>
  <c r="K1119" i="1"/>
  <c r="I1119" i="1"/>
  <c r="H1119" i="1"/>
  <c r="G1119" i="1"/>
  <c r="F1119" i="1"/>
  <c r="N1118" i="1"/>
  <c r="M1118" i="1"/>
  <c r="L1118" i="1"/>
  <c r="K1118" i="1"/>
  <c r="I1118" i="1"/>
  <c r="H1118" i="1"/>
  <c r="G1118" i="1"/>
  <c r="F1118" i="1"/>
  <c r="N1117" i="1"/>
  <c r="M1117" i="1"/>
  <c r="L1117" i="1"/>
  <c r="K1117" i="1"/>
  <c r="I1117" i="1"/>
  <c r="H1117" i="1"/>
  <c r="G1117" i="1"/>
  <c r="F1117" i="1"/>
  <c r="N1116" i="1"/>
  <c r="M1116" i="1"/>
  <c r="L1116" i="1"/>
  <c r="K1116" i="1"/>
  <c r="I1116" i="1"/>
  <c r="H1116" i="1"/>
  <c r="G1116" i="1"/>
  <c r="F1116" i="1"/>
  <c r="N1115" i="1"/>
  <c r="M1115" i="1"/>
  <c r="L1115" i="1"/>
  <c r="K1115" i="1"/>
  <c r="I1115" i="1"/>
  <c r="H1115" i="1"/>
  <c r="G1115" i="1"/>
  <c r="F1115" i="1"/>
  <c r="N1114" i="1"/>
  <c r="M1114" i="1"/>
  <c r="L1114" i="1"/>
  <c r="K1114" i="1"/>
  <c r="I1114" i="1"/>
  <c r="H1114" i="1"/>
  <c r="G1114" i="1"/>
  <c r="F1114" i="1"/>
  <c r="N1113" i="1"/>
  <c r="M1113" i="1"/>
  <c r="L1113" i="1"/>
  <c r="K1113" i="1"/>
  <c r="I1113" i="1"/>
  <c r="H1113" i="1"/>
  <c r="G1113" i="1"/>
  <c r="F1113" i="1"/>
  <c r="N1112" i="1"/>
  <c r="M1112" i="1"/>
  <c r="L1112" i="1"/>
  <c r="K1112" i="1"/>
  <c r="I1112" i="1"/>
  <c r="H1112" i="1"/>
  <c r="G1112" i="1"/>
  <c r="F1112" i="1"/>
  <c r="N1111" i="1"/>
  <c r="M1111" i="1"/>
  <c r="L1111" i="1"/>
  <c r="K1111" i="1"/>
  <c r="I1111" i="1"/>
  <c r="H1111" i="1"/>
  <c r="G1111" i="1"/>
  <c r="F1111" i="1"/>
  <c r="N1110" i="1"/>
  <c r="M1110" i="1"/>
  <c r="L1110" i="1"/>
  <c r="K1110" i="1"/>
  <c r="I1110" i="1"/>
  <c r="H1110" i="1"/>
  <c r="G1110" i="1"/>
  <c r="F1110" i="1"/>
  <c r="N1109" i="1"/>
  <c r="M1109" i="1"/>
  <c r="L1109" i="1"/>
  <c r="K1109" i="1"/>
  <c r="I1109" i="1"/>
  <c r="H1109" i="1"/>
  <c r="G1109" i="1"/>
  <c r="F1109" i="1"/>
  <c r="N1108" i="1"/>
  <c r="M1108" i="1"/>
  <c r="L1108" i="1"/>
  <c r="K1108" i="1"/>
  <c r="I1108" i="1"/>
  <c r="H1108" i="1"/>
  <c r="G1108" i="1"/>
  <c r="F1108" i="1"/>
  <c r="N1107" i="1"/>
  <c r="M1107" i="1"/>
  <c r="L1107" i="1"/>
  <c r="K1107" i="1"/>
  <c r="I1107" i="1"/>
  <c r="H1107" i="1"/>
  <c r="G1107" i="1"/>
  <c r="F1107" i="1"/>
  <c r="N1106" i="1"/>
  <c r="M1106" i="1"/>
  <c r="L1106" i="1"/>
  <c r="K1106" i="1"/>
  <c r="I1106" i="1"/>
  <c r="H1106" i="1"/>
  <c r="G1106" i="1"/>
  <c r="F1106" i="1"/>
  <c r="N1105" i="1"/>
  <c r="M1105" i="1"/>
  <c r="L1105" i="1"/>
  <c r="K1105" i="1"/>
  <c r="I1105" i="1"/>
  <c r="H1105" i="1"/>
  <c r="G1105" i="1"/>
  <c r="F1105" i="1"/>
  <c r="N1104" i="1"/>
  <c r="M1104" i="1"/>
  <c r="L1104" i="1"/>
  <c r="K1104" i="1"/>
  <c r="I1104" i="1"/>
  <c r="H1104" i="1"/>
  <c r="G1104" i="1"/>
  <c r="F1104" i="1"/>
  <c r="N1103" i="1"/>
  <c r="M1103" i="1"/>
  <c r="L1103" i="1"/>
  <c r="K1103" i="1"/>
  <c r="I1103" i="1"/>
  <c r="H1103" i="1"/>
  <c r="G1103" i="1"/>
  <c r="F1103" i="1"/>
  <c r="N1102" i="1"/>
  <c r="M1102" i="1"/>
  <c r="L1102" i="1"/>
  <c r="K1102" i="1"/>
  <c r="I1102" i="1"/>
  <c r="H1102" i="1"/>
  <c r="G1102" i="1"/>
  <c r="F1102" i="1"/>
  <c r="N1101" i="1"/>
  <c r="M1101" i="1"/>
  <c r="L1101" i="1"/>
  <c r="K1101" i="1"/>
  <c r="I1101" i="1"/>
  <c r="H1101" i="1"/>
  <c r="G1101" i="1"/>
  <c r="F1101" i="1"/>
  <c r="N1100" i="1"/>
  <c r="M1100" i="1"/>
  <c r="L1100" i="1"/>
  <c r="K1100" i="1"/>
  <c r="I1100" i="1"/>
  <c r="H1100" i="1"/>
  <c r="G1100" i="1"/>
  <c r="F1100" i="1"/>
  <c r="N1099" i="1"/>
  <c r="M1099" i="1"/>
  <c r="L1099" i="1"/>
  <c r="K1099" i="1"/>
  <c r="I1099" i="1"/>
  <c r="H1099" i="1"/>
  <c r="G1099" i="1"/>
  <c r="F1099" i="1"/>
  <c r="N1098" i="1"/>
  <c r="M1098" i="1"/>
  <c r="L1098" i="1"/>
  <c r="K1098" i="1"/>
  <c r="I1098" i="1"/>
  <c r="H1098" i="1"/>
  <c r="G1098" i="1"/>
  <c r="F1098" i="1"/>
  <c r="N1097" i="1"/>
  <c r="M1097" i="1"/>
  <c r="L1097" i="1"/>
  <c r="K1097" i="1"/>
  <c r="I1097" i="1"/>
  <c r="H1097" i="1"/>
  <c r="G1097" i="1"/>
  <c r="F1097" i="1"/>
  <c r="N1096" i="1"/>
  <c r="M1096" i="1"/>
  <c r="L1096" i="1"/>
  <c r="K1096" i="1"/>
  <c r="I1096" i="1"/>
  <c r="H1096" i="1"/>
  <c r="G1096" i="1"/>
  <c r="F1096" i="1"/>
  <c r="N1095" i="1"/>
  <c r="M1095" i="1"/>
  <c r="L1095" i="1"/>
  <c r="K1095" i="1"/>
  <c r="I1095" i="1"/>
  <c r="H1095" i="1"/>
  <c r="G1095" i="1"/>
  <c r="F1095" i="1"/>
  <c r="N1094" i="1"/>
  <c r="M1094" i="1"/>
  <c r="L1094" i="1"/>
  <c r="K1094" i="1"/>
  <c r="I1094" i="1"/>
  <c r="H1094" i="1"/>
  <c r="G1094" i="1"/>
  <c r="F1094" i="1"/>
  <c r="N1093" i="1"/>
  <c r="M1093" i="1"/>
  <c r="L1093" i="1"/>
  <c r="K1093" i="1"/>
  <c r="I1093" i="1"/>
  <c r="H1093" i="1"/>
  <c r="G1093" i="1"/>
  <c r="F1093" i="1"/>
  <c r="N1092" i="1"/>
  <c r="M1092" i="1"/>
  <c r="L1092" i="1"/>
  <c r="K1092" i="1"/>
  <c r="I1092" i="1"/>
  <c r="H1092" i="1"/>
  <c r="G1092" i="1"/>
  <c r="F1092" i="1"/>
  <c r="N1091" i="1"/>
  <c r="M1091" i="1"/>
  <c r="L1091" i="1"/>
  <c r="K1091" i="1"/>
  <c r="I1091" i="1"/>
  <c r="H1091" i="1"/>
  <c r="G1091" i="1"/>
  <c r="F1091" i="1"/>
  <c r="N1090" i="1"/>
  <c r="M1090" i="1"/>
  <c r="L1090" i="1"/>
  <c r="K1090" i="1"/>
  <c r="I1090" i="1"/>
  <c r="H1090" i="1"/>
  <c r="G1090" i="1"/>
  <c r="F1090" i="1"/>
  <c r="N1089" i="1"/>
  <c r="M1089" i="1"/>
  <c r="L1089" i="1"/>
  <c r="K1089" i="1"/>
  <c r="I1089" i="1"/>
  <c r="H1089" i="1"/>
  <c r="G1089" i="1"/>
  <c r="F1089" i="1"/>
  <c r="N1088" i="1"/>
  <c r="M1088" i="1"/>
  <c r="L1088" i="1"/>
  <c r="K1088" i="1"/>
  <c r="I1088" i="1"/>
  <c r="H1088" i="1"/>
  <c r="G1088" i="1"/>
  <c r="F1088" i="1"/>
  <c r="N1087" i="1"/>
  <c r="M1087" i="1"/>
  <c r="L1087" i="1"/>
  <c r="K1087" i="1"/>
  <c r="I1087" i="1"/>
  <c r="H1087" i="1"/>
  <c r="G1087" i="1"/>
  <c r="F1087" i="1"/>
  <c r="N1086" i="1"/>
  <c r="M1086" i="1"/>
  <c r="L1086" i="1"/>
  <c r="K1086" i="1"/>
  <c r="I1086" i="1"/>
  <c r="H1086" i="1"/>
  <c r="G1086" i="1"/>
  <c r="F1086" i="1"/>
  <c r="N1085" i="1"/>
  <c r="M1085" i="1"/>
  <c r="L1085" i="1"/>
  <c r="K1085" i="1"/>
  <c r="I1085" i="1"/>
  <c r="H1085" i="1"/>
  <c r="G1085" i="1"/>
  <c r="F1085" i="1"/>
  <c r="N1084" i="1"/>
  <c r="M1084" i="1"/>
  <c r="L1084" i="1"/>
  <c r="K1084" i="1"/>
  <c r="I1084" i="1"/>
  <c r="H1084" i="1"/>
  <c r="G1084" i="1"/>
  <c r="F1084" i="1"/>
  <c r="N1083" i="1"/>
  <c r="M1083" i="1"/>
  <c r="L1083" i="1"/>
  <c r="K1083" i="1"/>
  <c r="I1083" i="1"/>
  <c r="H1083" i="1"/>
  <c r="G1083" i="1"/>
  <c r="F1083" i="1"/>
  <c r="N1082" i="1"/>
  <c r="M1082" i="1"/>
  <c r="L1082" i="1"/>
  <c r="K1082" i="1"/>
  <c r="I1082" i="1"/>
  <c r="H1082" i="1"/>
  <c r="G1082" i="1"/>
  <c r="F1082" i="1"/>
  <c r="N1081" i="1"/>
  <c r="M1081" i="1"/>
  <c r="L1081" i="1"/>
  <c r="K1081" i="1"/>
  <c r="I1081" i="1"/>
  <c r="H1081" i="1"/>
  <c r="G1081" i="1"/>
  <c r="F1081" i="1"/>
  <c r="N1080" i="1"/>
  <c r="M1080" i="1"/>
  <c r="L1080" i="1"/>
  <c r="K1080" i="1"/>
  <c r="I1080" i="1"/>
  <c r="H1080" i="1"/>
  <c r="G1080" i="1"/>
  <c r="F1080" i="1"/>
  <c r="N1079" i="1"/>
  <c r="M1079" i="1"/>
  <c r="L1079" i="1"/>
  <c r="K1079" i="1"/>
  <c r="I1079" i="1"/>
  <c r="H1079" i="1"/>
  <c r="G1079" i="1"/>
  <c r="F1079" i="1"/>
  <c r="N1078" i="1"/>
  <c r="M1078" i="1"/>
  <c r="L1078" i="1"/>
  <c r="K1078" i="1"/>
  <c r="I1078" i="1"/>
  <c r="H1078" i="1"/>
  <c r="G1078" i="1"/>
  <c r="F1078" i="1"/>
  <c r="N1077" i="1"/>
  <c r="M1077" i="1"/>
  <c r="L1077" i="1"/>
  <c r="K1077" i="1"/>
  <c r="I1077" i="1"/>
  <c r="H1077" i="1"/>
  <c r="G1077" i="1"/>
  <c r="F1077" i="1"/>
  <c r="N1076" i="1"/>
  <c r="M1076" i="1"/>
  <c r="L1076" i="1"/>
  <c r="K1076" i="1"/>
  <c r="I1076" i="1"/>
  <c r="H1076" i="1"/>
  <c r="G1076" i="1"/>
  <c r="F1076" i="1"/>
  <c r="N1075" i="1"/>
  <c r="M1075" i="1"/>
  <c r="L1075" i="1"/>
  <c r="K1075" i="1"/>
  <c r="I1075" i="1"/>
  <c r="H1075" i="1"/>
  <c r="G1075" i="1"/>
  <c r="F1075" i="1"/>
  <c r="N1074" i="1"/>
  <c r="M1074" i="1"/>
  <c r="L1074" i="1"/>
  <c r="K1074" i="1"/>
  <c r="I1074" i="1"/>
  <c r="H1074" i="1"/>
  <c r="G1074" i="1"/>
  <c r="F1074" i="1"/>
  <c r="N1073" i="1"/>
  <c r="M1073" i="1"/>
  <c r="L1073" i="1"/>
  <c r="K1073" i="1"/>
  <c r="I1073" i="1"/>
  <c r="H1073" i="1"/>
  <c r="G1073" i="1"/>
  <c r="F1073" i="1"/>
  <c r="N1072" i="1"/>
  <c r="M1072" i="1"/>
  <c r="L1072" i="1"/>
  <c r="K1072" i="1"/>
  <c r="I1072" i="1"/>
  <c r="H1072" i="1"/>
  <c r="G1072" i="1"/>
  <c r="F1072" i="1"/>
  <c r="N1071" i="1"/>
  <c r="M1071" i="1"/>
  <c r="L1071" i="1"/>
  <c r="K1071" i="1"/>
  <c r="I1071" i="1"/>
  <c r="H1071" i="1"/>
  <c r="G1071" i="1"/>
  <c r="F1071" i="1"/>
  <c r="N1070" i="1"/>
  <c r="M1070" i="1"/>
  <c r="L1070" i="1"/>
  <c r="K1070" i="1"/>
  <c r="I1070" i="1"/>
  <c r="H1070" i="1"/>
  <c r="G1070" i="1"/>
  <c r="F1070" i="1"/>
  <c r="N1069" i="1"/>
  <c r="M1069" i="1"/>
  <c r="L1069" i="1"/>
  <c r="K1069" i="1"/>
  <c r="I1069" i="1"/>
  <c r="H1069" i="1"/>
  <c r="G1069" i="1"/>
  <c r="F1069" i="1"/>
  <c r="N1068" i="1"/>
  <c r="M1068" i="1"/>
  <c r="L1068" i="1"/>
  <c r="K1068" i="1"/>
  <c r="I1068" i="1"/>
  <c r="H1068" i="1"/>
  <c r="G1068" i="1"/>
  <c r="F1068" i="1"/>
  <c r="N1067" i="1"/>
  <c r="M1067" i="1"/>
  <c r="L1067" i="1"/>
  <c r="K1067" i="1"/>
  <c r="I1067" i="1"/>
  <c r="H1067" i="1"/>
  <c r="G1067" i="1"/>
  <c r="F1067" i="1"/>
  <c r="N1066" i="1"/>
  <c r="M1066" i="1"/>
  <c r="L1066" i="1"/>
  <c r="K1066" i="1"/>
  <c r="I1066" i="1"/>
  <c r="H1066" i="1"/>
  <c r="G1066" i="1"/>
  <c r="F1066" i="1"/>
  <c r="N1065" i="1"/>
  <c r="M1065" i="1"/>
  <c r="L1065" i="1"/>
  <c r="K1065" i="1"/>
  <c r="I1065" i="1"/>
  <c r="H1065" i="1"/>
  <c r="G1065" i="1"/>
  <c r="F1065" i="1"/>
  <c r="N1064" i="1"/>
  <c r="M1064" i="1"/>
  <c r="L1064" i="1"/>
  <c r="K1064" i="1"/>
  <c r="I1064" i="1"/>
  <c r="H1064" i="1"/>
  <c r="G1064" i="1"/>
  <c r="F1064" i="1"/>
  <c r="N1063" i="1"/>
  <c r="M1063" i="1"/>
  <c r="L1063" i="1"/>
  <c r="K1063" i="1"/>
  <c r="I1063" i="1"/>
  <c r="H1063" i="1"/>
  <c r="G1063" i="1"/>
  <c r="F1063" i="1"/>
  <c r="N1062" i="1"/>
  <c r="M1062" i="1"/>
  <c r="L1062" i="1"/>
  <c r="K1062" i="1"/>
  <c r="I1062" i="1"/>
  <c r="H1062" i="1"/>
  <c r="G1062" i="1"/>
  <c r="F1062" i="1"/>
  <c r="N1061" i="1"/>
  <c r="M1061" i="1"/>
  <c r="L1061" i="1"/>
  <c r="K1061" i="1"/>
  <c r="I1061" i="1"/>
  <c r="H1061" i="1"/>
  <c r="G1061" i="1"/>
  <c r="F1061" i="1"/>
  <c r="N1060" i="1"/>
  <c r="M1060" i="1"/>
  <c r="L1060" i="1"/>
  <c r="K1060" i="1"/>
  <c r="I1060" i="1"/>
  <c r="H1060" i="1"/>
  <c r="G1060" i="1"/>
  <c r="F1060" i="1"/>
  <c r="N1059" i="1"/>
  <c r="M1059" i="1"/>
  <c r="L1059" i="1"/>
  <c r="K1059" i="1"/>
  <c r="I1059" i="1"/>
  <c r="H1059" i="1"/>
  <c r="G1059" i="1"/>
  <c r="F1059" i="1"/>
  <c r="N1058" i="1"/>
  <c r="M1058" i="1"/>
  <c r="L1058" i="1"/>
  <c r="K1058" i="1"/>
  <c r="I1058" i="1"/>
  <c r="H1058" i="1"/>
  <c r="G1058" i="1"/>
  <c r="F1058" i="1"/>
  <c r="N1057" i="1"/>
  <c r="M1057" i="1"/>
  <c r="L1057" i="1"/>
  <c r="K1057" i="1"/>
  <c r="I1057" i="1"/>
  <c r="H1057" i="1"/>
  <c r="G1057" i="1"/>
  <c r="F1057" i="1"/>
  <c r="N1056" i="1"/>
  <c r="M1056" i="1"/>
  <c r="L1056" i="1"/>
  <c r="K1056" i="1"/>
  <c r="I1056" i="1"/>
  <c r="H1056" i="1"/>
  <c r="G1056" i="1"/>
  <c r="F1056" i="1"/>
  <c r="N1055" i="1"/>
  <c r="M1055" i="1"/>
  <c r="L1055" i="1"/>
  <c r="K1055" i="1"/>
  <c r="I1055" i="1"/>
  <c r="H1055" i="1"/>
  <c r="G1055" i="1"/>
  <c r="F1055" i="1"/>
  <c r="N1054" i="1"/>
  <c r="M1054" i="1"/>
  <c r="L1054" i="1"/>
  <c r="K1054" i="1"/>
  <c r="I1054" i="1"/>
  <c r="H1054" i="1"/>
  <c r="G1054" i="1"/>
  <c r="F1054" i="1"/>
  <c r="N1053" i="1"/>
  <c r="M1053" i="1"/>
  <c r="L1053" i="1"/>
  <c r="K1053" i="1"/>
  <c r="I1053" i="1"/>
  <c r="H1053" i="1"/>
  <c r="G1053" i="1"/>
  <c r="F1053" i="1"/>
  <c r="N1052" i="1"/>
  <c r="M1052" i="1"/>
  <c r="L1052" i="1"/>
  <c r="K1052" i="1"/>
  <c r="I1052" i="1"/>
  <c r="H1052" i="1"/>
  <c r="G1052" i="1"/>
  <c r="F1052" i="1"/>
  <c r="N1051" i="1"/>
  <c r="M1051" i="1"/>
  <c r="L1051" i="1"/>
  <c r="K1051" i="1"/>
  <c r="I1051" i="1"/>
  <c r="H1051" i="1"/>
  <c r="G1051" i="1"/>
  <c r="F1051" i="1"/>
  <c r="N1050" i="1"/>
  <c r="M1050" i="1"/>
  <c r="L1050" i="1"/>
  <c r="K1050" i="1"/>
  <c r="I1050" i="1"/>
  <c r="H1050" i="1"/>
  <c r="G1050" i="1"/>
  <c r="F1050" i="1"/>
  <c r="N1049" i="1"/>
  <c r="M1049" i="1"/>
  <c r="L1049" i="1"/>
  <c r="K1049" i="1"/>
  <c r="I1049" i="1"/>
  <c r="H1049" i="1"/>
  <c r="G1049" i="1"/>
  <c r="F1049" i="1"/>
  <c r="N1048" i="1"/>
  <c r="M1048" i="1"/>
  <c r="L1048" i="1"/>
  <c r="K1048" i="1"/>
  <c r="I1048" i="1"/>
  <c r="H1048" i="1"/>
  <c r="G1048" i="1"/>
  <c r="F1048" i="1"/>
  <c r="N1047" i="1"/>
  <c r="M1047" i="1"/>
  <c r="L1047" i="1"/>
  <c r="K1047" i="1"/>
  <c r="I1047" i="1"/>
  <c r="H1047" i="1"/>
  <c r="G1047" i="1"/>
  <c r="F1047" i="1"/>
  <c r="N1046" i="1"/>
  <c r="M1046" i="1"/>
  <c r="L1046" i="1"/>
  <c r="K1046" i="1"/>
  <c r="I1046" i="1"/>
  <c r="H1046" i="1"/>
  <c r="G1046" i="1"/>
  <c r="F1046" i="1"/>
  <c r="N1045" i="1"/>
  <c r="M1045" i="1"/>
  <c r="L1045" i="1"/>
  <c r="K1045" i="1"/>
  <c r="I1045" i="1"/>
  <c r="H1045" i="1"/>
  <c r="G1045" i="1"/>
  <c r="F1045" i="1"/>
  <c r="N1044" i="1"/>
  <c r="M1044" i="1"/>
  <c r="L1044" i="1"/>
  <c r="K1044" i="1"/>
  <c r="I1044" i="1"/>
  <c r="H1044" i="1"/>
  <c r="G1044" i="1"/>
  <c r="F1044" i="1"/>
  <c r="N1043" i="1"/>
  <c r="M1043" i="1"/>
  <c r="L1043" i="1"/>
  <c r="K1043" i="1"/>
  <c r="I1043" i="1"/>
  <c r="H1043" i="1"/>
  <c r="G1043" i="1"/>
  <c r="F1043" i="1"/>
  <c r="N1042" i="1"/>
  <c r="M1042" i="1"/>
  <c r="L1042" i="1"/>
  <c r="K1042" i="1"/>
  <c r="I1042" i="1"/>
  <c r="H1042" i="1"/>
  <c r="G1042" i="1"/>
  <c r="F1042" i="1"/>
  <c r="N1041" i="1"/>
  <c r="M1041" i="1"/>
  <c r="L1041" i="1"/>
  <c r="K1041" i="1"/>
  <c r="I1041" i="1"/>
  <c r="H1041" i="1"/>
  <c r="G1041" i="1"/>
  <c r="F1041" i="1"/>
  <c r="N1040" i="1"/>
  <c r="M1040" i="1"/>
  <c r="L1040" i="1"/>
  <c r="K1040" i="1"/>
  <c r="I1040" i="1"/>
  <c r="H1040" i="1"/>
  <c r="G1040" i="1"/>
  <c r="F1040" i="1"/>
  <c r="N1039" i="1"/>
  <c r="M1039" i="1"/>
  <c r="L1039" i="1"/>
  <c r="K1039" i="1"/>
  <c r="I1039" i="1"/>
  <c r="H1039" i="1"/>
  <c r="G1039" i="1"/>
  <c r="F1039" i="1"/>
  <c r="N1038" i="1"/>
  <c r="M1038" i="1"/>
  <c r="L1038" i="1"/>
  <c r="K1038" i="1"/>
  <c r="I1038" i="1"/>
  <c r="H1038" i="1"/>
  <c r="G1038" i="1"/>
  <c r="F1038" i="1"/>
  <c r="N1037" i="1"/>
  <c r="M1037" i="1"/>
  <c r="L1037" i="1"/>
  <c r="K1037" i="1"/>
  <c r="I1037" i="1"/>
  <c r="H1037" i="1"/>
  <c r="G1037" i="1"/>
  <c r="F1037" i="1"/>
  <c r="N1036" i="1"/>
  <c r="M1036" i="1"/>
  <c r="L1036" i="1"/>
  <c r="K1036" i="1"/>
  <c r="I1036" i="1"/>
  <c r="H1036" i="1"/>
  <c r="G1036" i="1"/>
  <c r="F1036" i="1"/>
  <c r="N1035" i="1"/>
  <c r="M1035" i="1"/>
  <c r="L1035" i="1"/>
  <c r="K1035" i="1"/>
  <c r="I1035" i="1"/>
  <c r="H1035" i="1"/>
  <c r="G1035" i="1"/>
  <c r="F1035" i="1"/>
  <c r="N1034" i="1"/>
  <c r="M1034" i="1"/>
  <c r="L1034" i="1"/>
  <c r="K1034" i="1"/>
  <c r="I1034" i="1"/>
  <c r="H1034" i="1"/>
  <c r="G1034" i="1"/>
  <c r="F1034" i="1"/>
  <c r="N1033" i="1"/>
  <c r="M1033" i="1"/>
  <c r="L1033" i="1"/>
  <c r="K1033" i="1"/>
  <c r="I1033" i="1"/>
  <c r="H1033" i="1"/>
  <c r="G1033" i="1"/>
  <c r="F1033" i="1"/>
  <c r="N1032" i="1"/>
  <c r="M1032" i="1"/>
  <c r="L1032" i="1"/>
  <c r="K1032" i="1"/>
  <c r="I1032" i="1"/>
  <c r="H1032" i="1"/>
  <c r="G1032" i="1"/>
  <c r="F1032" i="1"/>
  <c r="N1031" i="1"/>
  <c r="M1031" i="1"/>
  <c r="L1031" i="1"/>
  <c r="K1031" i="1"/>
  <c r="I1031" i="1"/>
  <c r="H1031" i="1"/>
  <c r="G1031" i="1"/>
  <c r="F1031" i="1"/>
  <c r="N1030" i="1"/>
  <c r="M1030" i="1"/>
  <c r="L1030" i="1"/>
  <c r="K1030" i="1"/>
  <c r="I1030" i="1"/>
  <c r="H1030" i="1"/>
  <c r="G1030" i="1"/>
  <c r="F1030" i="1"/>
  <c r="N1029" i="1"/>
  <c r="M1029" i="1"/>
  <c r="L1029" i="1"/>
  <c r="K1029" i="1"/>
  <c r="I1029" i="1"/>
  <c r="H1029" i="1"/>
  <c r="G1029" i="1"/>
  <c r="F1029" i="1"/>
  <c r="N1028" i="1"/>
  <c r="M1028" i="1"/>
  <c r="L1028" i="1"/>
  <c r="K1028" i="1"/>
  <c r="I1028" i="1"/>
  <c r="H1028" i="1"/>
  <c r="G1028" i="1"/>
  <c r="F1028" i="1"/>
  <c r="N1027" i="1"/>
  <c r="M1027" i="1"/>
  <c r="L1027" i="1"/>
  <c r="K1027" i="1"/>
  <c r="I1027" i="1"/>
  <c r="H1027" i="1"/>
  <c r="G1027" i="1"/>
  <c r="F1027" i="1"/>
  <c r="N1026" i="1"/>
  <c r="M1026" i="1"/>
  <c r="L1026" i="1"/>
  <c r="K1026" i="1"/>
  <c r="I1026" i="1"/>
  <c r="H1026" i="1"/>
  <c r="G1026" i="1"/>
  <c r="F1026" i="1"/>
  <c r="N1025" i="1"/>
  <c r="M1025" i="1"/>
  <c r="L1025" i="1"/>
  <c r="K1025" i="1"/>
  <c r="I1025" i="1"/>
  <c r="H1025" i="1"/>
  <c r="G1025" i="1"/>
  <c r="F1025" i="1"/>
  <c r="N1024" i="1"/>
  <c r="M1024" i="1"/>
  <c r="L1024" i="1"/>
  <c r="K1024" i="1"/>
  <c r="I1024" i="1"/>
  <c r="H1024" i="1"/>
  <c r="G1024" i="1"/>
  <c r="F1024" i="1"/>
  <c r="N1023" i="1"/>
  <c r="M1023" i="1"/>
  <c r="L1023" i="1"/>
  <c r="K1023" i="1"/>
  <c r="I1023" i="1"/>
  <c r="H1023" i="1"/>
  <c r="G1023" i="1"/>
  <c r="F1023" i="1"/>
  <c r="N1022" i="1"/>
  <c r="M1022" i="1"/>
  <c r="L1022" i="1"/>
  <c r="K1022" i="1"/>
  <c r="I1022" i="1"/>
  <c r="H1022" i="1"/>
  <c r="G1022" i="1"/>
  <c r="F1022" i="1"/>
  <c r="N1021" i="1"/>
  <c r="M1021" i="1"/>
  <c r="L1021" i="1"/>
  <c r="K1021" i="1"/>
  <c r="I1021" i="1"/>
  <c r="H1021" i="1"/>
  <c r="G1021" i="1"/>
  <c r="F1021" i="1"/>
  <c r="N1020" i="1"/>
  <c r="M1020" i="1"/>
  <c r="L1020" i="1"/>
  <c r="K1020" i="1"/>
  <c r="I1020" i="1"/>
  <c r="H1020" i="1"/>
  <c r="G1020" i="1"/>
  <c r="F1020" i="1"/>
  <c r="N1019" i="1"/>
  <c r="M1019" i="1"/>
  <c r="L1019" i="1"/>
  <c r="K1019" i="1"/>
  <c r="I1019" i="1"/>
  <c r="H1019" i="1"/>
  <c r="G1019" i="1"/>
  <c r="F1019" i="1"/>
  <c r="N1018" i="1"/>
  <c r="M1018" i="1"/>
  <c r="L1018" i="1"/>
  <c r="K1018" i="1"/>
  <c r="I1018" i="1"/>
  <c r="H1018" i="1"/>
  <c r="G1018" i="1"/>
  <c r="F1018" i="1"/>
  <c r="N1017" i="1"/>
  <c r="M1017" i="1"/>
  <c r="L1017" i="1"/>
  <c r="K1017" i="1"/>
  <c r="I1017" i="1"/>
  <c r="H1017" i="1"/>
  <c r="G1017" i="1"/>
  <c r="F1017" i="1"/>
  <c r="N1016" i="1"/>
  <c r="M1016" i="1"/>
  <c r="L1016" i="1"/>
  <c r="K1016" i="1"/>
  <c r="I1016" i="1"/>
  <c r="H1016" i="1"/>
  <c r="G1016" i="1"/>
  <c r="F1016" i="1"/>
  <c r="N1015" i="1"/>
  <c r="M1015" i="1"/>
  <c r="L1015" i="1"/>
  <c r="K1015" i="1"/>
  <c r="I1015" i="1"/>
  <c r="H1015" i="1"/>
  <c r="G1015" i="1"/>
  <c r="F1015" i="1"/>
  <c r="N1014" i="1"/>
  <c r="M1014" i="1"/>
  <c r="L1014" i="1"/>
  <c r="K1014" i="1"/>
  <c r="I1014" i="1"/>
  <c r="H1014" i="1"/>
  <c r="G1014" i="1"/>
  <c r="F1014" i="1"/>
  <c r="N1013" i="1"/>
  <c r="M1013" i="1"/>
  <c r="L1013" i="1"/>
  <c r="K1013" i="1"/>
  <c r="I1013" i="1"/>
  <c r="H1013" i="1"/>
  <c r="G1013" i="1"/>
  <c r="F1013" i="1"/>
  <c r="N1012" i="1"/>
  <c r="M1012" i="1"/>
  <c r="L1012" i="1"/>
  <c r="K1012" i="1"/>
  <c r="I1012" i="1"/>
  <c r="H1012" i="1"/>
  <c r="G1012" i="1"/>
  <c r="F1012" i="1"/>
  <c r="N1011" i="1"/>
  <c r="M1011" i="1"/>
  <c r="L1011" i="1"/>
  <c r="K1011" i="1"/>
  <c r="I1011" i="1"/>
  <c r="H1011" i="1"/>
  <c r="G1011" i="1"/>
  <c r="F1011" i="1"/>
  <c r="N1010" i="1"/>
  <c r="M1010" i="1"/>
  <c r="L1010" i="1"/>
  <c r="K1010" i="1"/>
  <c r="I1010" i="1"/>
  <c r="H1010" i="1"/>
  <c r="G1010" i="1"/>
  <c r="F1010" i="1"/>
  <c r="N1009" i="1"/>
  <c r="M1009" i="1"/>
  <c r="L1009" i="1"/>
  <c r="K1009" i="1"/>
  <c r="I1009" i="1"/>
  <c r="H1009" i="1"/>
  <c r="G1009" i="1"/>
  <c r="F1009" i="1"/>
  <c r="N1008" i="1"/>
  <c r="M1008" i="1"/>
  <c r="L1008" i="1"/>
  <c r="K1008" i="1"/>
  <c r="I1008" i="1"/>
  <c r="H1008" i="1"/>
  <c r="G1008" i="1"/>
  <c r="F1008" i="1"/>
  <c r="N1007" i="1"/>
  <c r="M1007" i="1"/>
  <c r="L1007" i="1"/>
  <c r="K1007" i="1"/>
  <c r="I1007" i="1"/>
  <c r="H1007" i="1"/>
  <c r="G1007" i="1"/>
  <c r="F1007" i="1"/>
  <c r="N1006" i="1"/>
  <c r="M1006" i="1"/>
  <c r="L1006" i="1"/>
  <c r="K1006" i="1"/>
  <c r="I1006" i="1"/>
  <c r="H1006" i="1"/>
  <c r="G1006" i="1"/>
  <c r="F1006" i="1"/>
  <c r="N1005" i="1"/>
  <c r="M1005" i="1"/>
  <c r="L1005" i="1"/>
  <c r="K1005" i="1"/>
  <c r="I1005" i="1"/>
  <c r="H1005" i="1"/>
  <c r="G1005" i="1"/>
  <c r="F1005" i="1"/>
  <c r="N1004" i="1"/>
  <c r="M1004" i="1"/>
  <c r="L1004" i="1"/>
  <c r="K1004" i="1"/>
  <c r="I1004" i="1"/>
  <c r="H1004" i="1"/>
  <c r="G1004" i="1"/>
  <c r="F1004" i="1"/>
  <c r="N1003" i="1"/>
  <c r="M1003" i="1"/>
  <c r="L1003" i="1"/>
  <c r="K1003" i="1"/>
  <c r="I1003" i="1"/>
  <c r="H1003" i="1"/>
  <c r="G1003" i="1"/>
  <c r="F1003" i="1"/>
  <c r="N1002" i="1"/>
  <c r="M1002" i="1"/>
  <c r="L1002" i="1"/>
  <c r="K1002" i="1"/>
  <c r="I1002" i="1"/>
  <c r="H1002" i="1"/>
  <c r="G1002" i="1"/>
  <c r="F1002" i="1"/>
  <c r="N1001" i="1"/>
  <c r="M1001" i="1"/>
  <c r="L1001" i="1"/>
  <c r="K1001" i="1"/>
  <c r="I1001" i="1"/>
  <c r="H1001" i="1"/>
  <c r="G1001" i="1"/>
  <c r="F1001" i="1"/>
  <c r="N1000" i="1"/>
  <c r="M1000" i="1"/>
  <c r="L1000" i="1"/>
  <c r="K1000" i="1"/>
  <c r="I1000" i="1"/>
  <c r="H1000" i="1"/>
  <c r="G1000" i="1"/>
  <c r="F1000" i="1"/>
  <c r="N999" i="1"/>
  <c r="M999" i="1"/>
  <c r="L999" i="1"/>
  <c r="K999" i="1"/>
  <c r="I999" i="1"/>
  <c r="H999" i="1"/>
  <c r="G999" i="1"/>
  <c r="F999" i="1"/>
  <c r="N998" i="1"/>
  <c r="M998" i="1"/>
  <c r="L998" i="1"/>
  <c r="K998" i="1"/>
  <c r="I998" i="1"/>
  <c r="H998" i="1"/>
  <c r="G998" i="1"/>
  <c r="F998" i="1"/>
  <c r="N997" i="1"/>
  <c r="M997" i="1"/>
  <c r="L997" i="1"/>
  <c r="K997" i="1"/>
  <c r="I997" i="1"/>
  <c r="H997" i="1"/>
  <c r="G997" i="1"/>
  <c r="F997" i="1"/>
  <c r="N996" i="1"/>
  <c r="M996" i="1"/>
  <c r="L996" i="1"/>
  <c r="K996" i="1"/>
  <c r="I996" i="1"/>
  <c r="H996" i="1"/>
  <c r="G996" i="1"/>
  <c r="F996" i="1"/>
  <c r="N995" i="1"/>
  <c r="M995" i="1"/>
  <c r="L995" i="1"/>
  <c r="K995" i="1"/>
  <c r="I995" i="1"/>
  <c r="H995" i="1"/>
  <c r="G995" i="1"/>
  <c r="F995" i="1"/>
  <c r="N994" i="1"/>
  <c r="M994" i="1"/>
  <c r="L994" i="1"/>
  <c r="K994" i="1"/>
  <c r="I994" i="1"/>
  <c r="H994" i="1"/>
  <c r="G994" i="1"/>
  <c r="F994" i="1"/>
  <c r="N993" i="1"/>
  <c r="M993" i="1"/>
  <c r="L993" i="1"/>
  <c r="K993" i="1"/>
  <c r="I993" i="1"/>
  <c r="H993" i="1"/>
  <c r="G993" i="1"/>
  <c r="F993" i="1"/>
  <c r="N992" i="1"/>
  <c r="M992" i="1"/>
  <c r="L992" i="1"/>
  <c r="K992" i="1"/>
  <c r="I992" i="1"/>
  <c r="H992" i="1"/>
  <c r="G992" i="1"/>
  <c r="F992" i="1"/>
  <c r="N991" i="1"/>
  <c r="M991" i="1"/>
  <c r="L991" i="1"/>
  <c r="K991" i="1"/>
  <c r="I991" i="1"/>
  <c r="H991" i="1"/>
  <c r="G991" i="1"/>
  <c r="F991" i="1"/>
  <c r="N990" i="1"/>
  <c r="M990" i="1"/>
  <c r="L990" i="1"/>
  <c r="K990" i="1"/>
  <c r="I990" i="1"/>
  <c r="H990" i="1"/>
  <c r="G990" i="1"/>
  <c r="F990" i="1"/>
  <c r="N989" i="1"/>
  <c r="M989" i="1"/>
  <c r="L989" i="1"/>
  <c r="K989" i="1"/>
  <c r="I989" i="1"/>
  <c r="H989" i="1"/>
  <c r="G989" i="1"/>
  <c r="F989" i="1"/>
  <c r="N988" i="1"/>
  <c r="M988" i="1"/>
  <c r="L988" i="1"/>
  <c r="K988" i="1"/>
  <c r="I988" i="1"/>
  <c r="H988" i="1"/>
  <c r="G988" i="1"/>
  <c r="F988" i="1"/>
  <c r="N987" i="1"/>
  <c r="M987" i="1"/>
  <c r="L987" i="1"/>
  <c r="K987" i="1"/>
  <c r="I987" i="1"/>
  <c r="H987" i="1"/>
  <c r="G987" i="1"/>
  <c r="F987" i="1"/>
  <c r="N986" i="1"/>
  <c r="M986" i="1"/>
  <c r="L986" i="1"/>
  <c r="K986" i="1"/>
  <c r="I986" i="1"/>
  <c r="H986" i="1"/>
  <c r="G986" i="1"/>
  <c r="F986" i="1"/>
  <c r="N985" i="1"/>
  <c r="M985" i="1"/>
  <c r="L985" i="1"/>
  <c r="K985" i="1"/>
  <c r="I985" i="1"/>
  <c r="H985" i="1"/>
  <c r="G985" i="1"/>
  <c r="F985" i="1"/>
  <c r="N984" i="1"/>
  <c r="M984" i="1"/>
  <c r="L984" i="1"/>
  <c r="K984" i="1"/>
  <c r="I984" i="1"/>
  <c r="H984" i="1"/>
  <c r="G984" i="1"/>
  <c r="F984" i="1"/>
  <c r="N983" i="1"/>
  <c r="M983" i="1"/>
  <c r="L983" i="1"/>
  <c r="K983" i="1"/>
  <c r="I983" i="1"/>
  <c r="H983" i="1"/>
  <c r="G983" i="1"/>
  <c r="F983" i="1"/>
  <c r="N982" i="1"/>
  <c r="M982" i="1"/>
  <c r="L982" i="1"/>
  <c r="K982" i="1"/>
  <c r="I982" i="1"/>
  <c r="H982" i="1"/>
  <c r="G982" i="1"/>
  <c r="F982" i="1"/>
  <c r="N981" i="1"/>
  <c r="M981" i="1"/>
  <c r="L981" i="1"/>
  <c r="K981" i="1"/>
  <c r="I981" i="1"/>
  <c r="H981" i="1"/>
  <c r="G981" i="1"/>
  <c r="F981" i="1"/>
  <c r="N980" i="1"/>
  <c r="M980" i="1"/>
  <c r="L980" i="1"/>
  <c r="K980" i="1"/>
  <c r="I980" i="1"/>
  <c r="H980" i="1"/>
  <c r="G980" i="1"/>
  <c r="F980" i="1"/>
  <c r="N979" i="1"/>
  <c r="M979" i="1"/>
  <c r="L979" i="1"/>
  <c r="K979" i="1"/>
  <c r="I979" i="1"/>
  <c r="H979" i="1"/>
  <c r="G979" i="1"/>
  <c r="F979" i="1"/>
  <c r="N978" i="1"/>
  <c r="M978" i="1"/>
  <c r="L978" i="1"/>
  <c r="K978" i="1"/>
  <c r="I978" i="1"/>
  <c r="H978" i="1"/>
  <c r="G978" i="1"/>
  <c r="F978" i="1"/>
  <c r="N977" i="1"/>
  <c r="M977" i="1"/>
  <c r="L977" i="1"/>
  <c r="K977" i="1"/>
  <c r="I977" i="1"/>
  <c r="H977" i="1"/>
  <c r="G977" i="1"/>
  <c r="F977" i="1"/>
  <c r="N976" i="1"/>
  <c r="M976" i="1"/>
  <c r="L976" i="1"/>
  <c r="K976" i="1"/>
  <c r="I976" i="1"/>
  <c r="H976" i="1"/>
  <c r="G976" i="1"/>
  <c r="F976" i="1"/>
  <c r="N975" i="1"/>
  <c r="M975" i="1"/>
  <c r="L975" i="1"/>
  <c r="K975" i="1"/>
  <c r="I975" i="1"/>
  <c r="H975" i="1"/>
  <c r="G975" i="1"/>
  <c r="F975" i="1"/>
  <c r="N974" i="1"/>
  <c r="M974" i="1"/>
  <c r="L974" i="1"/>
  <c r="K974" i="1"/>
  <c r="I974" i="1"/>
  <c r="H974" i="1"/>
  <c r="G974" i="1"/>
  <c r="F974" i="1"/>
  <c r="N973" i="1"/>
  <c r="M973" i="1"/>
  <c r="L973" i="1"/>
  <c r="K973" i="1"/>
  <c r="I973" i="1"/>
  <c r="H973" i="1"/>
  <c r="G973" i="1"/>
  <c r="F973" i="1"/>
  <c r="N972" i="1"/>
  <c r="M972" i="1"/>
  <c r="L972" i="1"/>
  <c r="K972" i="1"/>
  <c r="I972" i="1"/>
  <c r="H972" i="1"/>
  <c r="G972" i="1"/>
  <c r="F972" i="1"/>
  <c r="N971" i="1"/>
  <c r="M971" i="1"/>
  <c r="L971" i="1"/>
  <c r="K971" i="1"/>
  <c r="I971" i="1"/>
  <c r="H971" i="1"/>
  <c r="G971" i="1"/>
  <c r="F971" i="1"/>
  <c r="N970" i="1"/>
  <c r="M970" i="1"/>
  <c r="L970" i="1"/>
  <c r="K970" i="1"/>
  <c r="I970" i="1"/>
  <c r="H970" i="1"/>
  <c r="G970" i="1"/>
  <c r="F970" i="1"/>
  <c r="N969" i="1"/>
  <c r="M969" i="1"/>
  <c r="L969" i="1"/>
  <c r="K969" i="1"/>
  <c r="I969" i="1"/>
  <c r="H969" i="1"/>
  <c r="G969" i="1"/>
  <c r="F969" i="1"/>
  <c r="N968" i="1"/>
  <c r="M968" i="1"/>
  <c r="L968" i="1"/>
  <c r="K968" i="1"/>
  <c r="I968" i="1"/>
  <c r="H968" i="1"/>
  <c r="G968" i="1"/>
  <c r="F968" i="1"/>
  <c r="N967" i="1"/>
  <c r="M967" i="1"/>
  <c r="L967" i="1"/>
  <c r="K967" i="1"/>
  <c r="I967" i="1"/>
  <c r="H967" i="1"/>
  <c r="G967" i="1"/>
  <c r="F967" i="1"/>
  <c r="N966" i="1"/>
  <c r="M966" i="1"/>
  <c r="L966" i="1"/>
  <c r="K966" i="1"/>
  <c r="I966" i="1"/>
  <c r="H966" i="1"/>
  <c r="G966" i="1"/>
  <c r="F966" i="1"/>
  <c r="N965" i="1"/>
  <c r="M965" i="1"/>
  <c r="L965" i="1"/>
  <c r="K965" i="1"/>
  <c r="I965" i="1"/>
  <c r="H965" i="1"/>
  <c r="G965" i="1"/>
  <c r="F965" i="1"/>
  <c r="N964" i="1"/>
  <c r="M964" i="1"/>
  <c r="L964" i="1"/>
  <c r="K964" i="1"/>
  <c r="I964" i="1"/>
  <c r="H964" i="1"/>
  <c r="G964" i="1"/>
  <c r="F964" i="1"/>
  <c r="N963" i="1"/>
  <c r="M963" i="1"/>
  <c r="L963" i="1"/>
  <c r="K963" i="1"/>
  <c r="I963" i="1"/>
  <c r="H963" i="1"/>
  <c r="G963" i="1"/>
  <c r="F963" i="1"/>
  <c r="N962" i="1"/>
  <c r="M962" i="1"/>
  <c r="L962" i="1"/>
  <c r="K962" i="1"/>
  <c r="I962" i="1"/>
  <c r="H962" i="1"/>
  <c r="G962" i="1"/>
  <c r="F962" i="1"/>
  <c r="N961" i="1"/>
  <c r="M961" i="1"/>
  <c r="L961" i="1"/>
  <c r="K961" i="1"/>
  <c r="I961" i="1"/>
  <c r="H961" i="1"/>
  <c r="G961" i="1"/>
  <c r="F961" i="1"/>
  <c r="N960" i="1"/>
  <c r="M960" i="1"/>
  <c r="L960" i="1"/>
  <c r="K960" i="1"/>
  <c r="I960" i="1"/>
  <c r="H960" i="1"/>
  <c r="G960" i="1"/>
  <c r="F960" i="1"/>
  <c r="N959" i="1"/>
  <c r="M959" i="1"/>
  <c r="L959" i="1"/>
  <c r="K959" i="1"/>
  <c r="I959" i="1"/>
  <c r="H959" i="1"/>
  <c r="G959" i="1"/>
  <c r="F959" i="1"/>
  <c r="N958" i="1"/>
  <c r="M958" i="1"/>
  <c r="L958" i="1"/>
  <c r="K958" i="1"/>
  <c r="I958" i="1"/>
  <c r="H958" i="1"/>
  <c r="G958" i="1"/>
  <c r="F958" i="1"/>
  <c r="N957" i="1"/>
  <c r="M957" i="1"/>
  <c r="L957" i="1"/>
  <c r="K957" i="1"/>
  <c r="I957" i="1"/>
  <c r="H957" i="1"/>
  <c r="G957" i="1"/>
  <c r="F957" i="1"/>
  <c r="N956" i="1"/>
  <c r="M956" i="1"/>
  <c r="L956" i="1"/>
  <c r="K956" i="1"/>
  <c r="I956" i="1"/>
  <c r="H956" i="1"/>
  <c r="G956" i="1"/>
  <c r="F956" i="1"/>
  <c r="N955" i="1"/>
  <c r="M955" i="1"/>
  <c r="L955" i="1"/>
  <c r="K955" i="1"/>
  <c r="I955" i="1"/>
  <c r="H955" i="1"/>
  <c r="G955" i="1"/>
  <c r="F955" i="1"/>
  <c r="N954" i="1"/>
  <c r="M954" i="1"/>
  <c r="L954" i="1"/>
  <c r="K954" i="1"/>
  <c r="I954" i="1"/>
  <c r="H954" i="1"/>
  <c r="G954" i="1"/>
  <c r="F954" i="1"/>
  <c r="N953" i="1"/>
  <c r="M953" i="1"/>
  <c r="L953" i="1"/>
  <c r="K953" i="1"/>
  <c r="I953" i="1"/>
  <c r="H953" i="1"/>
  <c r="G953" i="1"/>
  <c r="F953" i="1"/>
  <c r="N952" i="1"/>
  <c r="M952" i="1"/>
  <c r="L952" i="1"/>
  <c r="K952" i="1"/>
  <c r="I952" i="1"/>
  <c r="H952" i="1"/>
  <c r="G952" i="1"/>
  <c r="F952" i="1"/>
  <c r="N951" i="1"/>
  <c r="M951" i="1"/>
  <c r="L951" i="1"/>
  <c r="K951" i="1"/>
  <c r="I951" i="1"/>
  <c r="H951" i="1"/>
  <c r="G951" i="1"/>
  <c r="F951" i="1"/>
  <c r="N950" i="1"/>
  <c r="M950" i="1"/>
  <c r="L950" i="1"/>
  <c r="K950" i="1"/>
  <c r="I950" i="1"/>
  <c r="H950" i="1"/>
  <c r="G950" i="1"/>
  <c r="F950" i="1"/>
  <c r="N949" i="1"/>
  <c r="M949" i="1"/>
  <c r="L949" i="1"/>
  <c r="K949" i="1"/>
  <c r="I949" i="1"/>
  <c r="H949" i="1"/>
  <c r="G949" i="1"/>
  <c r="F949" i="1"/>
  <c r="N948" i="1"/>
  <c r="M948" i="1"/>
  <c r="L948" i="1"/>
  <c r="K948" i="1"/>
  <c r="I948" i="1"/>
  <c r="H948" i="1"/>
  <c r="G948" i="1"/>
  <c r="F948" i="1"/>
  <c r="N947" i="1"/>
  <c r="M947" i="1"/>
  <c r="L947" i="1"/>
  <c r="K947" i="1"/>
  <c r="I947" i="1"/>
  <c r="H947" i="1"/>
  <c r="G947" i="1"/>
  <c r="F947" i="1"/>
  <c r="N946" i="1"/>
  <c r="M946" i="1"/>
  <c r="L946" i="1"/>
  <c r="K946" i="1"/>
  <c r="I946" i="1"/>
  <c r="H946" i="1"/>
  <c r="G946" i="1"/>
  <c r="F946" i="1"/>
  <c r="N945" i="1"/>
  <c r="M945" i="1"/>
  <c r="L945" i="1"/>
  <c r="K945" i="1"/>
  <c r="I945" i="1"/>
  <c r="H945" i="1"/>
  <c r="G945" i="1"/>
  <c r="F945" i="1"/>
  <c r="N944" i="1"/>
  <c r="M944" i="1"/>
  <c r="L944" i="1"/>
  <c r="K944" i="1"/>
  <c r="I944" i="1"/>
  <c r="H944" i="1"/>
  <c r="G944" i="1"/>
  <c r="F944" i="1"/>
  <c r="N943" i="1"/>
  <c r="M943" i="1"/>
  <c r="L943" i="1"/>
  <c r="K943" i="1"/>
  <c r="I943" i="1"/>
  <c r="H943" i="1"/>
  <c r="G943" i="1"/>
  <c r="F943" i="1"/>
  <c r="N942" i="1"/>
  <c r="M942" i="1"/>
  <c r="L942" i="1"/>
  <c r="K942" i="1"/>
  <c r="I942" i="1"/>
  <c r="H942" i="1"/>
  <c r="G942" i="1"/>
  <c r="F942" i="1"/>
  <c r="N941" i="1"/>
  <c r="M941" i="1"/>
  <c r="L941" i="1"/>
  <c r="K941" i="1"/>
  <c r="I941" i="1"/>
  <c r="H941" i="1"/>
  <c r="G941" i="1"/>
  <c r="F941" i="1"/>
  <c r="N940" i="1"/>
  <c r="M940" i="1"/>
  <c r="L940" i="1"/>
  <c r="K940" i="1"/>
  <c r="I940" i="1"/>
  <c r="H940" i="1"/>
  <c r="G940" i="1"/>
  <c r="F940" i="1"/>
  <c r="N939" i="1"/>
  <c r="M939" i="1"/>
  <c r="L939" i="1"/>
  <c r="K939" i="1"/>
  <c r="I939" i="1"/>
  <c r="H939" i="1"/>
  <c r="G939" i="1"/>
  <c r="F939" i="1"/>
  <c r="N938" i="1"/>
  <c r="M938" i="1"/>
  <c r="L938" i="1"/>
  <c r="K938" i="1"/>
  <c r="I938" i="1"/>
  <c r="H938" i="1"/>
  <c r="G938" i="1"/>
  <c r="F938" i="1"/>
  <c r="N937" i="1"/>
  <c r="M937" i="1"/>
  <c r="L937" i="1"/>
  <c r="K937" i="1"/>
  <c r="I937" i="1"/>
  <c r="H937" i="1"/>
  <c r="G937" i="1"/>
  <c r="F937" i="1"/>
  <c r="N936" i="1"/>
  <c r="M936" i="1"/>
  <c r="L936" i="1"/>
  <c r="K936" i="1"/>
  <c r="I936" i="1"/>
  <c r="H936" i="1"/>
  <c r="G936" i="1"/>
  <c r="F936" i="1"/>
  <c r="N935" i="1"/>
  <c r="M935" i="1"/>
  <c r="L935" i="1"/>
  <c r="K935" i="1"/>
  <c r="I935" i="1"/>
  <c r="H935" i="1"/>
  <c r="G935" i="1"/>
  <c r="F935" i="1"/>
  <c r="N934" i="1"/>
  <c r="M934" i="1"/>
  <c r="L934" i="1"/>
  <c r="K934" i="1"/>
  <c r="I934" i="1"/>
  <c r="H934" i="1"/>
  <c r="G934" i="1"/>
  <c r="F934" i="1"/>
  <c r="N933" i="1"/>
  <c r="M933" i="1"/>
  <c r="L933" i="1"/>
  <c r="K933" i="1"/>
  <c r="I933" i="1"/>
  <c r="H933" i="1"/>
  <c r="G933" i="1"/>
  <c r="F933" i="1"/>
  <c r="N932" i="1"/>
  <c r="M932" i="1"/>
  <c r="L932" i="1"/>
  <c r="K932" i="1"/>
  <c r="I932" i="1"/>
  <c r="H932" i="1"/>
  <c r="G932" i="1"/>
  <c r="F932" i="1"/>
  <c r="N931" i="1"/>
  <c r="M931" i="1"/>
  <c r="L931" i="1"/>
  <c r="K931" i="1"/>
  <c r="I931" i="1"/>
  <c r="H931" i="1"/>
  <c r="G931" i="1"/>
  <c r="F931" i="1"/>
  <c r="N930" i="1"/>
  <c r="M930" i="1"/>
  <c r="L930" i="1"/>
  <c r="K930" i="1"/>
  <c r="I930" i="1"/>
  <c r="H930" i="1"/>
  <c r="G930" i="1"/>
  <c r="F930" i="1"/>
  <c r="N929" i="1"/>
  <c r="M929" i="1"/>
  <c r="L929" i="1"/>
  <c r="K929" i="1"/>
  <c r="I929" i="1"/>
  <c r="H929" i="1"/>
  <c r="G929" i="1"/>
  <c r="F929" i="1"/>
  <c r="N928" i="1"/>
  <c r="M928" i="1"/>
  <c r="L928" i="1"/>
  <c r="K928" i="1"/>
  <c r="I928" i="1"/>
  <c r="H928" i="1"/>
  <c r="G928" i="1"/>
  <c r="F928" i="1"/>
  <c r="N927" i="1"/>
  <c r="M927" i="1"/>
  <c r="L927" i="1"/>
  <c r="K927" i="1"/>
  <c r="I927" i="1"/>
  <c r="H927" i="1"/>
  <c r="G927" i="1"/>
  <c r="F927" i="1"/>
  <c r="N926" i="1"/>
  <c r="M926" i="1"/>
  <c r="L926" i="1"/>
  <c r="K926" i="1"/>
  <c r="I926" i="1"/>
  <c r="H926" i="1"/>
  <c r="G926" i="1"/>
  <c r="F926" i="1"/>
  <c r="N925" i="1"/>
  <c r="M925" i="1"/>
  <c r="L925" i="1"/>
  <c r="K925" i="1"/>
  <c r="I925" i="1"/>
  <c r="H925" i="1"/>
  <c r="G925" i="1"/>
  <c r="F925" i="1"/>
  <c r="N924" i="1"/>
  <c r="M924" i="1"/>
  <c r="L924" i="1"/>
  <c r="K924" i="1"/>
  <c r="I924" i="1"/>
  <c r="H924" i="1"/>
  <c r="G924" i="1"/>
  <c r="F924" i="1"/>
  <c r="N923" i="1"/>
  <c r="M923" i="1"/>
  <c r="L923" i="1"/>
  <c r="K923" i="1"/>
  <c r="I923" i="1"/>
  <c r="H923" i="1"/>
  <c r="G923" i="1"/>
  <c r="F923" i="1"/>
  <c r="N922" i="1"/>
  <c r="M922" i="1"/>
  <c r="L922" i="1"/>
  <c r="K922" i="1"/>
  <c r="I922" i="1"/>
  <c r="H922" i="1"/>
  <c r="G922" i="1"/>
  <c r="F922" i="1"/>
  <c r="N921" i="1"/>
  <c r="M921" i="1"/>
  <c r="L921" i="1"/>
  <c r="K921" i="1"/>
  <c r="I921" i="1"/>
  <c r="H921" i="1"/>
  <c r="G921" i="1"/>
  <c r="F921" i="1"/>
  <c r="N920" i="1"/>
  <c r="M920" i="1"/>
  <c r="L920" i="1"/>
  <c r="K920" i="1"/>
  <c r="I920" i="1"/>
  <c r="H920" i="1"/>
  <c r="G920" i="1"/>
  <c r="F920" i="1"/>
  <c r="N919" i="1"/>
  <c r="M919" i="1"/>
  <c r="L919" i="1"/>
  <c r="K919" i="1"/>
  <c r="I919" i="1"/>
  <c r="H919" i="1"/>
  <c r="G919" i="1"/>
  <c r="F919" i="1"/>
  <c r="N918" i="1"/>
  <c r="M918" i="1"/>
  <c r="L918" i="1"/>
  <c r="K918" i="1"/>
  <c r="I918" i="1"/>
  <c r="H918" i="1"/>
  <c r="G918" i="1"/>
  <c r="F918" i="1"/>
  <c r="N917" i="1"/>
  <c r="M917" i="1"/>
  <c r="L917" i="1"/>
  <c r="K917" i="1"/>
  <c r="I917" i="1"/>
  <c r="H917" i="1"/>
  <c r="G917" i="1"/>
  <c r="F917" i="1"/>
  <c r="N916" i="1"/>
  <c r="M916" i="1"/>
  <c r="L916" i="1"/>
  <c r="K916" i="1"/>
  <c r="I916" i="1"/>
  <c r="H916" i="1"/>
  <c r="G916" i="1"/>
  <c r="F916" i="1"/>
  <c r="N915" i="1"/>
  <c r="M915" i="1"/>
  <c r="L915" i="1"/>
  <c r="K915" i="1"/>
  <c r="I915" i="1"/>
  <c r="H915" i="1"/>
  <c r="G915" i="1"/>
  <c r="F915" i="1"/>
  <c r="N914" i="1"/>
  <c r="M914" i="1"/>
  <c r="L914" i="1"/>
  <c r="K914" i="1"/>
  <c r="I914" i="1"/>
  <c r="H914" i="1"/>
  <c r="G914" i="1"/>
  <c r="F914" i="1"/>
  <c r="N913" i="1"/>
  <c r="M913" i="1"/>
  <c r="L913" i="1"/>
  <c r="K913" i="1"/>
  <c r="I913" i="1"/>
  <c r="H913" i="1"/>
  <c r="G913" i="1"/>
  <c r="F913" i="1"/>
  <c r="N912" i="1"/>
  <c r="M912" i="1"/>
  <c r="L912" i="1"/>
  <c r="K912" i="1"/>
  <c r="I912" i="1"/>
  <c r="H912" i="1"/>
  <c r="G912" i="1"/>
  <c r="F912" i="1"/>
  <c r="N911" i="1"/>
  <c r="M911" i="1"/>
  <c r="L911" i="1"/>
  <c r="K911" i="1"/>
  <c r="I911" i="1"/>
  <c r="H911" i="1"/>
  <c r="G911" i="1"/>
  <c r="F911" i="1"/>
  <c r="N910" i="1"/>
  <c r="M910" i="1"/>
  <c r="L910" i="1"/>
  <c r="K910" i="1"/>
  <c r="I910" i="1"/>
  <c r="H910" i="1"/>
  <c r="G910" i="1"/>
  <c r="F910" i="1"/>
  <c r="N909" i="1"/>
  <c r="M909" i="1"/>
  <c r="L909" i="1"/>
  <c r="K909" i="1"/>
  <c r="I909" i="1"/>
  <c r="H909" i="1"/>
  <c r="G909" i="1"/>
  <c r="F909" i="1"/>
  <c r="N908" i="1"/>
  <c r="M908" i="1"/>
  <c r="L908" i="1"/>
  <c r="K908" i="1"/>
  <c r="I908" i="1"/>
  <c r="H908" i="1"/>
  <c r="G908" i="1"/>
  <c r="F908" i="1"/>
  <c r="N907" i="1"/>
  <c r="M907" i="1"/>
  <c r="L907" i="1"/>
  <c r="K907" i="1"/>
  <c r="I907" i="1"/>
  <c r="H907" i="1"/>
  <c r="G907" i="1"/>
  <c r="F907" i="1"/>
  <c r="N906" i="1"/>
  <c r="M906" i="1"/>
  <c r="L906" i="1"/>
  <c r="K906" i="1"/>
  <c r="I906" i="1"/>
  <c r="H906" i="1"/>
  <c r="G906" i="1"/>
  <c r="F906" i="1"/>
  <c r="N905" i="1"/>
  <c r="M905" i="1"/>
  <c r="L905" i="1"/>
  <c r="K905" i="1"/>
  <c r="I905" i="1"/>
  <c r="H905" i="1"/>
  <c r="G905" i="1"/>
  <c r="F905" i="1"/>
  <c r="N904" i="1"/>
  <c r="M904" i="1"/>
  <c r="L904" i="1"/>
  <c r="K904" i="1"/>
  <c r="I904" i="1"/>
  <c r="H904" i="1"/>
  <c r="G904" i="1"/>
  <c r="F904" i="1"/>
  <c r="N903" i="1"/>
  <c r="M903" i="1"/>
  <c r="L903" i="1"/>
  <c r="K903" i="1"/>
  <c r="I903" i="1"/>
  <c r="H903" i="1"/>
  <c r="G903" i="1"/>
  <c r="F903" i="1"/>
  <c r="N902" i="1"/>
  <c r="M902" i="1"/>
  <c r="L902" i="1"/>
  <c r="K902" i="1"/>
  <c r="I902" i="1"/>
  <c r="H902" i="1"/>
  <c r="G902" i="1"/>
  <c r="F902" i="1"/>
  <c r="N901" i="1"/>
  <c r="M901" i="1"/>
  <c r="L901" i="1"/>
  <c r="K901" i="1"/>
  <c r="I901" i="1"/>
  <c r="H901" i="1"/>
  <c r="G901" i="1"/>
  <c r="F901" i="1"/>
  <c r="N900" i="1"/>
  <c r="M900" i="1"/>
  <c r="L900" i="1"/>
  <c r="K900" i="1"/>
  <c r="I900" i="1"/>
  <c r="H900" i="1"/>
  <c r="G900" i="1"/>
  <c r="F900" i="1"/>
  <c r="N899" i="1"/>
  <c r="M899" i="1"/>
  <c r="L899" i="1"/>
  <c r="K899" i="1"/>
  <c r="I899" i="1"/>
  <c r="H899" i="1"/>
  <c r="G899" i="1"/>
  <c r="F899" i="1"/>
  <c r="N898" i="1"/>
  <c r="M898" i="1"/>
  <c r="L898" i="1"/>
  <c r="K898" i="1"/>
  <c r="I898" i="1"/>
  <c r="H898" i="1"/>
  <c r="G898" i="1"/>
  <c r="F898" i="1"/>
  <c r="N897" i="1"/>
  <c r="M897" i="1"/>
  <c r="L897" i="1"/>
  <c r="K897" i="1"/>
  <c r="I897" i="1"/>
  <c r="H897" i="1"/>
  <c r="G897" i="1"/>
  <c r="F897" i="1"/>
  <c r="N896" i="1"/>
  <c r="M896" i="1"/>
  <c r="L896" i="1"/>
  <c r="K896" i="1"/>
  <c r="I896" i="1"/>
  <c r="H896" i="1"/>
  <c r="G896" i="1"/>
  <c r="F896" i="1"/>
  <c r="N895" i="1"/>
  <c r="M895" i="1"/>
  <c r="L895" i="1"/>
  <c r="K895" i="1"/>
  <c r="I895" i="1"/>
  <c r="H895" i="1"/>
  <c r="G895" i="1"/>
  <c r="F895" i="1"/>
  <c r="N894" i="1"/>
  <c r="M894" i="1"/>
  <c r="L894" i="1"/>
  <c r="K894" i="1"/>
  <c r="I894" i="1"/>
  <c r="H894" i="1"/>
  <c r="G894" i="1"/>
  <c r="F894" i="1"/>
  <c r="N893" i="1"/>
  <c r="M893" i="1"/>
  <c r="L893" i="1"/>
  <c r="K893" i="1"/>
  <c r="I893" i="1"/>
  <c r="H893" i="1"/>
  <c r="G893" i="1"/>
  <c r="F893" i="1"/>
  <c r="N892" i="1"/>
  <c r="M892" i="1"/>
  <c r="L892" i="1"/>
  <c r="K892" i="1"/>
  <c r="I892" i="1"/>
  <c r="H892" i="1"/>
  <c r="G892" i="1"/>
  <c r="F892" i="1"/>
  <c r="N891" i="1"/>
  <c r="M891" i="1"/>
  <c r="L891" i="1"/>
  <c r="K891" i="1"/>
  <c r="I891" i="1"/>
  <c r="H891" i="1"/>
  <c r="G891" i="1"/>
  <c r="F891" i="1"/>
  <c r="N890" i="1"/>
  <c r="M890" i="1"/>
  <c r="L890" i="1"/>
  <c r="K890" i="1"/>
  <c r="I890" i="1"/>
  <c r="H890" i="1"/>
  <c r="G890" i="1"/>
  <c r="F890" i="1"/>
  <c r="N889" i="1"/>
  <c r="M889" i="1"/>
  <c r="L889" i="1"/>
  <c r="K889" i="1"/>
  <c r="I889" i="1"/>
  <c r="H889" i="1"/>
  <c r="G889" i="1"/>
  <c r="F889" i="1"/>
  <c r="N888" i="1"/>
  <c r="M888" i="1"/>
  <c r="L888" i="1"/>
  <c r="K888" i="1"/>
  <c r="I888" i="1"/>
  <c r="H888" i="1"/>
  <c r="G888" i="1"/>
  <c r="F888" i="1"/>
  <c r="N887" i="1"/>
  <c r="M887" i="1"/>
  <c r="L887" i="1"/>
  <c r="K887" i="1"/>
  <c r="I887" i="1"/>
  <c r="H887" i="1"/>
  <c r="G887" i="1"/>
  <c r="F887" i="1"/>
  <c r="N886" i="1"/>
  <c r="M886" i="1"/>
  <c r="L886" i="1"/>
  <c r="K886" i="1"/>
  <c r="I886" i="1"/>
  <c r="H886" i="1"/>
  <c r="G886" i="1"/>
  <c r="F886" i="1"/>
  <c r="N885" i="1"/>
  <c r="M885" i="1"/>
  <c r="L885" i="1"/>
  <c r="K885" i="1"/>
  <c r="I885" i="1"/>
  <c r="H885" i="1"/>
  <c r="G885" i="1"/>
  <c r="F885" i="1"/>
  <c r="N884" i="1"/>
  <c r="M884" i="1"/>
  <c r="L884" i="1"/>
  <c r="K884" i="1"/>
  <c r="I884" i="1"/>
  <c r="H884" i="1"/>
  <c r="G884" i="1"/>
  <c r="F884" i="1"/>
  <c r="N883" i="1"/>
  <c r="M883" i="1"/>
  <c r="L883" i="1"/>
  <c r="K883" i="1"/>
  <c r="I883" i="1"/>
  <c r="H883" i="1"/>
  <c r="G883" i="1"/>
  <c r="F883" i="1"/>
  <c r="N882" i="1"/>
  <c r="M882" i="1"/>
  <c r="L882" i="1"/>
  <c r="K882" i="1"/>
  <c r="I882" i="1"/>
  <c r="H882" i="1"/>
  <c r="G882" i="1"/>
  <c r="F882" i="1"/>
  <c r="N881" i="1"/>
  <c r="M881" i="1"/>
  <c r="L881" i="1"/>
  <c r="K881" i="1"/>
  <c r="I881" i="1"/>
  <c r="H881" i="1"/>
  <c r="G881" i="1"/>
  <c r="F881" i="1"/>
  <c r="N880" i="1"/>
  <c r="M880" i="1"/>
  <c r="L880" i="1"/>
  <c r="K880" i="1"/>
  <c r="I880" i="1"/>
  <c r="H880" i="1"/>
  <c r="G880" i="1"/>
  <c r="F880" i="1"/>
  <c r="N879" i="1"/>
  <c r="M879" i="1"/>
  <c r="L879" i="1"/>
  <c r="K879" i="1"/>
  <c r="I879" i="1"/>
  <c r="H879" i="1"/>
  <c r="G879" i="1"/>
  <c r="F879" i="1"/>
  <c r="N878" i="1"/>
  <c r="M878" i="1"/>
  <c r="L878" i="1"/>
  <c r="K878" i="1"/>
  <c r="I878" i="1"/>
  <c r="H878" i="1"/>
  <c r="G878" i="1"/>
  <c r="F878" i="1"/>
  <c r="N877" i="1"/>
  <c r="M877" i="1"/>
  <c r="L877" i="1"/>
  <c r="K877" i="1"/>
  <c r="I877" i="1"/>
  <c r="H877" i="1"/>
  <c r="G877" i="1"/>
  <c r="F877" i="1"/>
  <c r="N876" i="1"/>
  <c r="M876" i="1"/>
  <c r="L876" i="1"/>
  <c r="K876" i="1"/>
  <c r="I876" i="1"/>
  <c r="H876" i="1"/>
  <c r="G876" i="1"/>
  <c r="F876" i="1"/>
  <c r="N875" i="1"/>
  <c r="M875" i="1"/>
  <c r="L875" i="1"/>
  <c r="K875" i="1"/>
  <c r="I875" i="1"/>
  <c r="H875" i="1"/>
  <c r="G875" i="1"/>
  <c r="F875" i="1"/>
  <c r="N874" i="1"/>
  <c r="M874" i="1"/>
  <c r="L874" i="1"/>
  <c r="K874" i="1"/>
  <c r="I874" i="1"/>
  <c r="H874" i="1"/>
  <c r="G874" i="1"/>
  <c r="F874" i="1"/>
  <c r="N873" i="1"/>
  <c r="M873" i="1"/>
  <c r="L873" i="1"/>
  <c r="K873" i="1"/>
  <c r="I873" i="1"/>
  <c r="H873" i="1"/>
  <c r="G873" i="1"/>
  <c r="F873" i="1"/>
  <c r="N872" i="1"/>
  <c r="M872" i="1"/>
  <c r="L872" i="1"/>
  <c r="K872" i="1"/>
  <c r="I872" i="1"/>
  <c r="H872" i="1"/>
  <c r="G872" i="1"/>
  <c r="F872" i="1"/>
  <c r="N871" i="1"/>
  <c r="M871" i="1"/>
  <c r="L871" i="1"/>
  <c r="K871" i="1"/>
  <c r="I871" i="1"/>
  <c r="H871" i="1"/>
  <c r="G871" i="1"/>
  <c r="F871" i="1"/>
  <c r="N870" i="1"/>
  <c r="M870" i="1"/>
  <c r="L870" i="1"/>
  <c r="K870" i="1"/>
  <c r="I870" i="1"/>
  <c r="H870" i="1"/>
  <c r="G870" i="1"/>
  <c r="F870" i="1"/>
  <c r="N869" i="1"/>
  <c r="M869" i="1"/>
  <c r="L869" i="1"/>
  <c r="K869" i="1"/>
  <c r="I869" i="1"/>
  <c r="H869" i="1"/>
  <c r="G869" i="1"/>
  <c r="F869" i="1"/>
  <c r="N868" i="1"/>
  <c r="M868" i="1"/>
  <c r="L868" i="1"/>
  <c r="K868" i="1"/>
  <c r="I868" i="1"/>
  <c r="H868" i="1"/>
  <c r="G868" i="1"/>
  <c r="F868" i="1"/>
  <c r="N867" i="1"/>
  <c r="M867" i="1"/>
  <c r="L867" i="1"/>
  <c r="K867" i="1"/>
  <c r="I867" i="1"/>
  <c r="H867" i="1"/>
  <c r="G867" i="1"/>
  <c r="F867" i="1"/>
  <c r="N866" i="1"/>
  <c r="M866" i="1"/>
  <c r="L866" i="1"/>
  <c r="K866" i="1"/>
  <c r="I866" i="1"/>
  <c r="H866" i="1"/>
  <c r="G866" i="1"/>
  <c r="F866" i="1"/>
  <c r="N865" i="1"/>
  <c r="M865" i="1"/>
  <c r="L865" i="1"/>
  <c r="K865" i="1"/>
  <c r="I865" i="1"/>
  <c r="H865" i="1"/>
  <c r="G865" i="1"/>
  <c r="F865" i="1"/>
  <c r="N864" i="1"/>
  <c r="M864" i="1"/>
  <c r="L864" i="1"/>
  <c r="K864" i="1"/>
  <c r="I864" i="1"/>
  <c r="H864" i="1"/>
  <c r="G864" i="1"/>
  <c r="F864" i="1"/>
  <c r="N863" i="1"/>
  <c r="M863" i="1"/>
  <c r="L863" i="1"/>
  <c r="K863" i="1"/>
  <c r="I863" i="1"/>
  <c r="H863" i="1"/>
  <c r="G863" i="1"/>
  <c r="F863" i="1"/>
  <c r="N862" i="1"/>
  <c r="M862" i="1"/>
  <c r="L862" i="1"/>
  <c r="K862" i="1"/>
  <c r="I862" i="1"/>
  <c r="H862" i="1"/>
  <c r="G862" i="1"/>
  <c r="F862" i="1"/>
  <c r="N861" i="1"/>
  <c r="M861" i="1"/>
  <c r="L861" i="1"/>
  <c r="K861" i="1"/>
  <c r="I861" i="1"/>
  <c r="H861" i="1"/>
  <c r="G861" i="1"/>
  <c r="F861" i="1"/>
  <c r="N860" i="1"/>
  <c r="M860" i="1"/>
  <c r="L860" i="1"/>
  <c r="K860" i="1"/>
  <c r="I860" i="1"/>
  <c r="H860" i="1"/>
  <c r="G860" i="1"/>
  <c r="F860" i="1"/>
  <c r="N859" i="1"/>
  <c r="M859" i="1"/>
  <c r="L859" i="1"/>
  <c r="K859" i="1"/>
  <c r="I859" i="1"/>
  <c r="H859" i="1"/>
  <c r="G859" i="1"/>
  <c r="F859" i="1"/>
  <c r="N858" i="1"/>
  <c r="M858" i="1"/>
  <c r="L858" i="1"/>
  <c r="K858" i="1"/>
  <c r="I858" i="1"/>
  <c r="H858" i="1"/>
  <c r="G858" i="1"/>
  <c r="F858" i="1"/>
  <c r="N857" i="1"/>
  <c r="M857" i="1"/>
  <c r="L857" i="1"/>
  <c r="K857" i="1"/>
  <c r="I857" i="1"/>
  <c r="H857" i="1"/>
  <c r="G857" i="1"/>
  <c r="F857" i="1"/>
  <c r="N856" i="1"/>
  <c r="M856" i="1"/>
  <c r="L856" i="1"/>
  <c r="K856" i="1"/>
  <c r="I856" i="1"/>
  <c r="H856" i="1"/>
  <c r="G856" i="1"/>
  <c r="F856" i="1"/>
  <c r="N855" i="1"/>
  <c r="M855" i="1"/>
  <c r="L855" i="1"/>
  <c r="K855" i="1"/>
  <c r="I855" i="1"/>
  <c r="H855" i="1"/>
  <c r="G855" i="1"/>
  <c r="F855" i="1"/>
  <c r="N854" i="1"/>
  <c r="M854" i="1"/>
  <c r="L854" i="1"/>
  <c r="K854" i="1"/>
  <c r="I854" i="1"/>
  <c r="H854" i="1"/>
  <c r="G854" i="1"/>
  <c r="F854" i="1"/>
  <c r="N853" i="1"/>
  <c r="M853" i="1"/>
  <c r="L853" i="1"/>
  <c r="K853" i="1"/>
  <c r="I853" i="1"/>
  <c r="H853" i="1"/>
  <c r="G853" i="1"/>
  <c r="F853" i="1"/>
  <c r="N852" i="1"/>
  <c r="M852" i="1"/>
  <c r="L852" i="1"/>
  <c r="K852" i="1"/>
  <c r="I852" i="1"/>
  <c r="H852" i="1"/>
  <c r="G852" i="1"/>
  <c r="F852" i="1"/>
  <c r="N851" i="1"/>
  <c r="M851" i="1"/>
  <c r="L851" i="1"/>
  <c r="K851" i="1"/>
  <c r="I851" i="1"/>
  <c r="H851" i="1"/>
  <c r="G851" i="1"/>
  <c r="F851" i="1"/>
  <c r="N850" i="1"/>
  <c r="M850" i="1"/>
  <c r="L850" i="1"/>
  <c r="K850" i="1"/>
  <c r="I850" i="1"/>
  <c r="H850" i="1"/>
  <c r="G850" i="1"/>
  <c r="F850" i="1"/>
  <c r="N849" i="1"/>
  <c r="M849" i="1"/>
  <c r="L849" i="1"/>
  <c r="K849" i="1"/>
  <c r="I849" i="1"/>
  <c r="H849" i="1"/>
  <c r="G849" i="1"/>
  <c r="F849" i="1"/>
  <c r="N848" i="1"/>
  <c r="M848" i="1"/>
  <c r="L848" i="1"/>
  <c r="K848" i="1"/>
  <c r="I848" i="1"/>
  <c r="H848" i="1"/>
  <c r="G848" i="1"/>
  <c r="F848" i="1"/>
  <c r="N847" i="1"/>
  <c r="M847" i="1"/>
  <c r="L847" i="1"/>
  <c r="K847" i="1"/>
  <c r="I847" i="1"/>
  <c r="H847" i="1"/>
  <c r="G847" i="1"/>
  <c r="F847" i="1"/>
  <c r="N846" i="1"/>
  <c r="M846" i="1"/>
  <c r="L846" i="1"/>
  <c r="K846" i="1"/>
  <c r="I846" i="1"/>
  <c r="H846" i="1"/>
  <c r="G846" i="1"/>
  <c r="F846" i="1"/>
  <c r="N845" i="1"/>
  <c r="M845" i="1"/>
  <c r="L845" i="1"/>
  <c r="K845" i="1"/>
  <c r="I845" i="1"/>
  <c r="H845" i="1"/>
  <c r="G845" i="1"/>
  <c r="F845" i="1"/>
  <c r="N844" i="1"/>
  <c r="M844" i="1"/>
  <c r="L844" i="1"/>
  <c r="K844" i="1"/>
  <c r="I844" i="1"/>
  <c r="H844" i="1"/>
  <c r="G844" i="1"/>
  <c r="F844" i="1"/>
  <c r="N843" i="1"/>
  <c r="M843" i="1"/>
  <c r="L843" i="1"/>
  <c r="K843" i="1"/>
  <c r="I843" i="1"/>
  <c r="H843" i="1"/>
  <c r="G843" i="1"/>
  <c r="F843" i="1"/>
  <c r="N842" i="1"/>
  <c r="M842" i="1"/>
  <c r="L842" i="1"/>
  <c r="K842" i="1"/>
  <c r="I842" i="1"/>
  <c r="H842" i="1"/>
  <c r="G842" i="1"/>
  <c r="F842" i="1"/>
  <c r="N841" i="1"/>
  <c r="M841" i="1"/>
  <c r="L841" i="1"/>
  <c r="K841" i="1"/>
  <c r="I841" i="1"/>
  <c r="H841" i="1"/>
  <c r="G841" i="1"/>
  <c r="F841" i="1"/>
  <c r="N840" i="1"/>
  <c r="M840" i="1"/>
  <c r="L840" i="1"/>
  <c r="K840" i="1"/>
  <c r="I840" i="1"/>
  <c r="H840" i="1"/>
  <c r="G840" i="1"/>
  <c r="F840" i="1"/>
  <c r="N839" i="1"/>
  <c r="M839" i="1"/>
  <c r="L839" i="1"/>
  <c r="K839" i="1"/>
  <c r="I839" i="1"/>
  <c r="H839" i="1"/>
  <c r="G839" i="1"/>
  <c r="F839" i="1"/>
  <c r="N838" i="1"/>
  <c r="M838" i="1"/>
  <c r="L838" i="1"/>
  <c r="K838" i="1"/>
  <c r="I838" i="1"/>
  <c r="H838" i="1"/>
  <c r="G838" i="1"/>
  <c r="F838" i="1"/>
  <c r="N837" i="1"/>
  <c r="M837" i="1"/>
  <c r="L837" i="1"/>
  <c r="K837" i="1"/>
  <c r="I837" i="1"/>
  <c r="H837" i="1"/>
  <c r="G837" i="1"/>
  <c r="F837" i="1"/>
  <c r="N836" i="1"/>
  <c r="M836" i="1"/>
  <c r="L836" i="1"/>
  <c r="K836" i="1"/>
  <c r="I836" i="1"/>
  <c r="H836" i="1"/>
  <c r="G836" i="1"/>
  <c r="F836" i="1"/>
  <c r="N835" i="1"/>
  <c r="M835" i="1"/>
  <c r="L835" i="1"/>
  <c r="K835" i="1"/>
  <c r="I835" i="1"/>
  <c r="H835" i="1"/>
  <c r="G835" i="1"/>
  <c r="F835" i="1"/>
  <c r="N834" i="1"/>
  <c r="M834" i="1"/>
  <c r="L834" i="1"/>
  <c r="K834" i="1"/>
  <c r="I834" i="1"/>
  <c r="H834" i="1"/>
  <c r="G834" i="1"/>
  <c r="F834" i="1"/>
  <c r="N833" i="1"/>
  <c r="M833" i="1"/>
  <c r="L833" i="1"/>
  <c r="K833" i="1"/>
  <c r="I833" i="1"/>
  <c r="H833" i="1"/>
  <c r="G833" i="1"/>
  <c r="F833" i="1"/>
  <c r="N832" i="1"/>
  <c r="M832" i="1"/>
  <c r="L832" i="1"/>
  <c r="K832" i="1"/>
  <c r="I832" i="1"/>
  <c r="H832" i="1"/>
  <c r="G832" i="1"/>
  <c r="F832" i="1"/>
  <c r="N831" i="1"/>
  <c r="M831" i="1"/>
  <c r="L831" i="1"/>
  <c r="K831" i="1"/>
  <c r="I831" i="1"/>
  <c r="H831" i="1"/>
  <c r="G831" i="1"/>
  <c r="F831" i="1"/>
  <c r="N830" i="1"/>
  <c r="M830" i="1"/>
  <c r="L830" i="1"/>
  <c r="K830" i="1"/>
  <c r="I830" i="1"/>
  <c r="H830" i="1"/>
  <c r="G830" i="1"/>
  <c r="F830" i="1"/>
  <c r="N829" i="1"/>
  <c r="M829" i="1"/>
  <c r="L829" i="1"/>
  <c r="K829" i="1"/>
  <c r="I829" i="1"/>
  <c r="H829" i="1"/>
  <c r="G829" i="1"/>
  <c r="F829" i="1"/>
  <c r="N828" i="1"/>
  <c r="M828" i="1"/>
  <c r="L828" i="1"/>
  <c r="K828" i="1"/>
  <c r="I828" i="1"/>
  <c r="H828" i="1"/>
  <c r="G828" i="1"/>
  <c r="F828" i="1"/>
  <c r="N827" i="1"/>
  <c r="M827" i="1"/>
  <c r="L827" i="1"/>
  <c r="K827" i="1"/>
  <c r="I827" i="1"/>
  <c r="H827" i="1"/>
  <c r="G827" i="1"/>
  <c r="F827" i="1"/>
  <c r="N826" i="1"/>
  <c r="M826" i="1"/>
  <c r="L826" i="1"/>
  <c r="K826" i="1"/>
  <c r="I826" i="1"/>
  <c r="H826" i="1"/>
  <c r="G826" i="1"/>
  <c r="F826" i="1"/>
  <c r="N825" i="1"/>
  <c r="M825" i="1"/>
  <c r="L825" i="1"/>
  <c r="K825" i="1"/>
  <c r="I825" i="1"/>
  <c r="H825" i="1"/>
  <c r="G825" i="1"/>
  <c r="F825" i="1"/>
  <c r="N824" i="1"/>
  <c r="M824" i="1"/>
  <c r="L824" i="1"/>
  <c r="K824" i="1"/>
  <c r="I824" i="1"/>
  <c r="H824" i="1"/>
  <c r="G824" i="1"/>
  <c r="F824" i="1"/>
  <c r="N823" i="1"/>
  <c r="M823" i="1"/>
  <c r="L823" i="1"/>
  <c r="K823" i="1"/>
  <c r="I823" i="1"/>
  <c r="H823" i="1"/>
  <c r="G823" i="1"/>
  <c r="F823" i="1"/>
  <c r="N822" i="1"/>
  <c r="M822" i="1"/>
  <c r="L822" i="1"/>
  <c r="K822" i="1"/>
  <c r="I822" i="1"/>
  <c r="H822" i="1"/>
  <c r="G822" i="1"/>
  <c r="F822" i="1"/>
  <c r="N821" i="1"/>
  <c r="M821" i="1"/>
  <c r="L821" i="1"/>
  <c r="K821" i="1"/>
  <c r="I821" i="1"/>
  <c r="H821" i="1"/>
  <c r="G821" i="1"/>
  <c r="F821" i="1"/>
  <c r="N820" i="1"/>
  <c r="M820" i="1"/>
  <c r="L820" i="1"/>
  <c r="K820" i="1"/>
  <c r="I820" i="1"/>
  <c r="H820" i="1"/>
  <c r="G820" i="1"/>
  <c r="F820" i="1"/>
  <c r="N819" i="1"/>
  <c r="M819" i="1"/>
  <c r="L819" i="1"/>
  <c r="K819" i="1"/>
  <c r="I819" i="1"/>
  <c r="H819" i="1"/>
  <c r="G819" i="1"/>
  <c r="F819" i="1"/>
  <c r="N818" i="1"/>
  <c r="M818" i="1"/>
  <c r="L818" i="1"/>
  <c r="K818" i="1"/>
  <c r="I818" i="1"/>
  <c r="H818" i="1"/>
  <c r="G818" i="1"/>
  <c r="F818" i="1"/>
  <c r="N817" i="1"/>
  <c r="M817" i="1"/>
  <c r="L817" i="1"/>
  <c r="K817" i="1"/>
  <c r="I817" i="1"/>
  <c r="H817" i="1"/>
  <c r="G817" i="1"/>
  <c r="F817" i="1"/>
  <c r="N816" i="1"/>
  <c r="M816" i="1"/>
  <c r="L816" i="1"/>
  <c r="K816" i="1"/>
  <c r="I816" i="1"/>
  <c r="H816" i="1"/>
  <c r="G816" i="1"/>
  <c r="F816" i="1"/>
  <c r="N815" i="1"/>
  <c r="M815" i="1"/>
  <c r="L815" i="1"/>
  <c r="K815" i="1"/>
  <c r="I815" i="1"/>
  <c r="H815" i="1"/>
  <c r="G815" i="1"/>
  <c r="F815" i="1"/>
  <c r="N814" i="1"/>
  <c r="M814" i="1"/>
  <c r="L814" i="1"/>
  <c r="K814" i="1"/>
  <c r="I814" i="1"/>
  <c r="H814" i="1"/>
  <c r="G814" i="1"/>
  <c r="F814" i="1"/>
  <c r="N813" i="1"/>
  <c r="M813" i="1"/>
  <c r="L813" i="1"/>
  <c r="K813" i="1"/>
  <c r="I813" i="1"/>
  <c r="H813" i="1"/>
  <c r="G813" i="1"/>
  <c r="F813" i="1"/>
  <c r="N812" i="1"/>
  <c r="M812" i="1"/>
  <c r="L812" i="1"/>
  <c r="K812" i="1"/>
  <c r="I812" i="1"/>
  <c r="H812" i="1"/>
  <c r="G812" i="1"/>
  <c r="F812" i="1"/>
  <c r="N811" i="1"/>
  <c r="M811" i="1"/>
  <c r="L811" i="1"/>
  <c r="K811" i="1"/>
  <c r="I811" i="1"/>
  <c r="H811" i="1"/>
  <c r="G811" i="1"/>
  <c r="F811" i="1"/>
  <c r="N810" i="1"/>
  <c r="M810" i="1"/>
  <c r="L810" i="1"/>
  <c r="K810" i="1"/>
  <c r="I810" i="1"/>
  <c r="H810" i="1"/>
  <c r="G810" i="1"/>
  <c r="F810" i="1"/>
  <c r="N809" i="1"/>
  <c r="M809" i="1"/>
  <c r="L809" i="1"/>
  <c r="K809" i="1"/>
  <c r="I809" i="1"/>
  <c r="H809" i="1"/>
  <c r="G809" i="1"/>
  <c r="F809" i="1"/>
  <c r="N808" i="1"/>
  <c r="M808" i="1"/>
  <c r="L808" i="1"/>
  <c r="K808" i="1"/>
  <c r="I808" i="1"/>
  <c r="H808" i="1"/>
  <c r="G808" i="1"/>
  <c r="F808" i="1"/>
  <c r="N807" i="1"/>
  <c r="M807" i="1"/>
  <c r="L807" i="1"/>
  <c r="K807" i="1"/>
  <c r="I807" i="1"/>
  <c r="H807" i="1"/>
  <c r="G807" i="1"/>
  <c r="F807" i="1"/>
  <c r="N806" i="1"/>
  <c r="M806" i="1"/>
  <c r="L806" i="1"/>
  <c r="K806" i="1"/>
  <c r="I806" i="1"/>
  <c r="H806" i="1"/>
  <c r="G806" i="1"/>
  <c r="F806" i="1"/>
  <c r="N805" i="1"/>
  <c r="M805" i="1"/>
  <c r="L805" i="1"/>
  <c r="K805" i="1"/>
  <c r="I805" i="1"/>
  <c r="H805" i="1"/>
  <c r="G805" i="1"/>
  <c r="F805" i="1"/>
  <c r="N804" i="1"/>
  <c r="M804" i="1"/>
  <c r="L804" i="1"/>
  <c r="K804" i="1"/>
  <c r="I804" i="1"/>
  <c r="H804" i="1"/>
  <c r="G804" i="1"/>
  <c r="F804" i="1"/>
  <c r="N803" i="1"/>
  <c r="M803" i="1"/>
  <c r="L803" i="1"/>
  <c r="K803" i="1"/>
  <c r="I803" i="1"/>
  <c r="H803" i="1"/>
  <c r="G803" i="1"/>
  <c r="F803" i="1"/>
  <c r="N802" i="1"/>
  <c r="M802" i="1"/>
  <c r="L802" i="1"/>
  <c r="K802" i="1"/>
  <c r="I802" i="1"/>
  <c r="H802" i="1"/>
  <c r="G802" i="1"/>
  <c r="F802" i="1"/>
  <c r="N801" i="1"/>
  <c r="M801" i="1"/>
  <c r="L801" i="1"/>
  <c r="K801" i="1"/>
  <c r="I801" i="1"/>
  <c r="H801" i="1"/>
  <c r="G801" i="1"/>
  <c r="F801" i="1"/>
  <c r="N800" i="1"/>
  <c r="M800" i="1"/>
  <c r="L800" i="1"/>
  <c r="K800" i="1"/>
  <c r="I800" i="1"/>
  <c r="H800" i="1"/>
  <c r="G800" i="1"/>
  <c r="F800" i="1"/>
  <c r="N799" i="1"/>
  <c r="M799" i="1"/>
  <c r="L799" i="1"/>
  <c r="K799" i="1"/>
  <c r="I799" i="1"/>
  <c r="H799" i="1"/>
  <c r="G799" i="1"/>
  <c r="F799" i="1"/>
  <c r="N798" i="1"/>
  <c r="M798" i="1"/>
  <c r="L798" i="1"/>
  <c r="K798" i="1"/>
  <c r="I798" i="1"/>
  <c r="H798" i="1"/>
  <c r="G798" i="1"/>
  <c r="F798" i="1"/>
  <c r="N797" i="1"/>
  <c r="M797" i="1"/>
  <c r="L797" i="1"/>
  <c r="K797" i="1"/>
  <c r="I797" i="1"/>
  <c r="H797" i="1"/>
  <c r="G797" i="1"/>
  <c r="F797" i="1"/>
  <c r="N796" i="1"/>
  <c r="M796" i="1"/>
  <c r="L796" i="1"/>
  <c r="K796" i="1"/>
  <c r="I796" i="1"/>
  <c r="H796" i="1"/>
  <c r="G796" i="1"/>
  <c r="F796" i="1"/>
  <c r="N795" i="1"/>
  <c r="M795" i="1"/>
  <c r="L795" i="1"/>
  <c r="K795" i="1"/>
  <c r="I795" i="1"/>
  <c r="H795" i="1"/>
  <c r="G795" i="1"/>
  <c r="F795" i="1"/>
  <c r="N794" i="1"/>
  <c r="M794" i="1"/>
  <c r="L794" i="1"/>
  <c r="K794" i="1"/>
  <c r="I794" i="1"/>
  <c r="H794" i="1"/>
  <c r="G794" i="1"/>
  <c r="F794" i="1"/>
  <c r="N793" i="1"/>
  <c r="M793" i="1"/>
  <c r="L793" i="1"/>
  <c r="K793" i="1"/>
  <c r="I793" i="1"/>
  <c r="H793" i="1"/>
  <c r="G793" i="1"/>
  <c r="F793" i="1"/>
  <c r="N792" i="1"/>
  <c r="M792" i="1"/>
  <c r="L792" i="1"/>
  <c r="K792" i="1"/>
  <c r="I792" i="1"/>
  <c r="H792" i="1"/>
  <c r="G792" i="1"/>
  <c r="F792" i="1"/>
  <c r="N791" i="1"/>
  <c r="M791" i="1"/>
  <c r="L791" i="1"/>
  <c r="K791" i="1"/>
  <c r="I791" i="1"/>
  <c r="H791" i="1"/>
  <c r="G791" i="1"/>
  <c r="F791" i="1"/>
  <c r="N790" i="1"/>
  <c r="M790" i="1"/>
  <c r="L790" i="1"/>
  <c r="K790" i="1"/>
  <c r="I790" i="1"/>
  <c r="H790" i="1"/>
  <c r="G790" i="1"/>
  <c r="F790" i="1"/>
  <c r="N789" i="1"/>
  <c r="M789" i="1"/>
  <c r="L789" i="1"/>
  <c r="K789" i="1"/>
  <c r="I789" i="1"/>
  <c r="H789" i="1"/>
  <c r="G789" i="1"/>
  <c r="F789" i="1"/>
  <c r="N788" i="1"/>
  <c r="M788" i="1"/>
  <c r="L788" i="1"/>
  <c r="K788" i="1"/>
  <c r="I788" i="1"/>
  <c r="H788" i="1"/>
  <c r="G788" i="1"/>
  <c r="F788" i="1"/>
  <c r="N787" i="1"/>
  <c r="M787" i="1"/>
  <c r="L787" i="1"/>
  <c r="K787" i="1"/>
  <c r="I787" i="1"/>
  <c r="H787" i="1"/>
  <c r="G787" i="1"/>
  <c r="F787" i="1"/>
  <c r="N786" i="1"/>
  <c r="M786" i="1"/>
  <c r="L786" i="1"/>
  <c r="K786" i="1"/>
  <c r="I786" i="1"/>
  <c r="H786" i="1"/>
  <c r="G786" i="1"/>
  <c r="F786" i="1"/>
  <c r="N785" i="1"/>
  <c r="M785" i="1"/>
  <c r="L785" i="1"/>
  <c r="K785" i="1"/>
  <c r="I785" i="1"/>
  <c r="H785" i="1"/>
  <c r="G785" i="1"/>
  <c r="F785" i="1"/>
  <c r="N784" i="1"/>
  <c r="M784" i="1"/>
  <c r="L784" i="1"/>
  <c r="K784" i="1"/>
  <c r="I784" i="1"/>
  <c r="H784" i="1"/>
  <c r="G784" i="1"/>
  <c r="F784" i="1"/>
  <c r="N783" i="1"/>
  <c r="M783" i="1"/>
  <c r="L783" i="1"/>
  <c r="K783" i="1"/>
  <c r="I783" i="1"/>
  <c r="H783" i="1"/>
  <c r="G783" i="1"/>
  <c r="F783" i="1"/>
  <c r="N782" i="1"/>
  <c r="M782" i="1"/>
  <c r="L782" i="1"/>
  <c r="K782" i="1"/>
  <c r="I782" i="1"/>
  <c r="H782" i="1"/>
  <c r="G782" i="1"/>
  <c r="F782" i="1"/>
  <c r="N781" i="1"/>
  <c r="M781" i="1"/>
  <c r="L781" i="1"/>
  <c r="K781" i="1"/>
  <c r="I781" i="1"/>
  <c r="H781" i="1"/>
  <c r="G781" i="1"/>
  <c r="F781" i="1"/>
  <c r="N780" i="1"/>
  <c r="M780" i="1"/>
  <c r="L780" i="1"/>
  <c r="K780" i="1"/>
  <c r="I780" i="1"/>
  <c r="H780" i="1"/>
  <c r="G780" i="1"/>
  <c r="F780" i="1"/>
  <c r="N779" i="1"/>
  <c r="M779" i="1"/>
  <c r="L779" i="1"/>
  <c r="K779" i="1"/>
  <c r="I779" i="1"/>
  <c r="H779" i="1"/>
  <c r="G779" i="1"/>
  <c r="F779" i="1"/>
  <c r="N778" i="1"/>
  <c r="M778" i="1"/>
  <c r="L778" i="1"/>
  <c r="K778" i="1"/>
  <c r="I778" i="1"/>
  <c r="H778" i="1"/>
  <c r="G778" i="1"/>
  <c r="F778" i="1"/>
  <c r="N777" i="1"/>
  <c r="M777" i="1"/>
  <c r="L777" i="1"/>
  <c r="K777" i="1"/>
  <c r="I777" i="1"/>
  <c r="H777" i="1"/>
  <c r="G777" i="1"/>
  <c r="F777" i="1"/>
  <c r="N776" i="1"/>
  <c r="M776" i="1"/>
  <c r="L776" i="1"/>
  <c r="K776" i="1"/>
  <c r="I776" i="1"/>
  <c r="H776" i="1"/>
  <c r="G776" i="1"/>
  <c r="F776" i="1"/>
  <c r="N775" i="1"/>
  <c r="M775" i="1"/>
  <c r="L775" i="1"/>
  <c r="K775" i="1"/>
  <c r="I775" i="1"/>
  <c r="H775" i="1"/>
  <c r="G775" i="1"/>
  <c r="F775" i="1"/>
  <c r="N774" i="1"/>
  <c r="M774" i="1"/>
  <c r="L774" i="1"/>
  <c r="K774" i="1"/>
  <c r="I774" i="1"/>
  <c r="H774" i="1"/>
  <c r="G774" i="1"/>
  <c r="F774" i="1"/>
  <c r="N773" i="1"/>
  <c r="M773" i="1"/>
  <c r="L773" i="1"/>
  <c r="K773" i="1"/>
  <c r="I773" i="1"/>
  <c r="H773" i="1"/>
  <c r="G773" i="1"/>
  <c r="F773" i="1"/>
  <c r="N772" i="1"/>
  <c r="M772" i="1"/>
  <c r="L772" i="1"/>
  <c r="K772" i="1"/>
  <c r="I772" i="1"/>
  <c r="H772" i="1"/>
  <c r="G772" i="1"/>
  <c r="F772" i="1"/>
  <c r="N771" i="1"/>
  <c r="M771" i="1"/>
  <c r="L771" i="1"/>
  <c r="K771" i="1"/>
  <c r="I771" i="1"/>
  <c r="H771" i="1"/>
  <c r="G771" i="1"/>
  <c r="F771" i="1"/>
  <c r="N770" i="1"/>
  <c r="M770" i="1"/>
  <c r="L770" i="1"/>
  <c r="K770" i="1"/>
  <c r="I770" i="1"/>
  <c r="H770" i="1"/>
  <c r="G770" i="1"/>
  <c r="F770" i="1"/>
  <c r="N769" i="1"/>
  <c r="M769" i="1"/>
  <c r="L769" i="1"/>
  <c r="K769" i="1"/>
  <c r="I769" i="1"/>
  <c r="H769" i="1"/>
  <c r="G769" i="1"/>
  <c r="F769" i="1"/>
  <c r="N768" i="1"/>
  <c r="M768" i="1"/>
  <c r="L768" i="1"/>
  <c r="K768" i="1"/>
  <c r="I768" i="1"/>
  <c r="H768" i="1"/>
  <c r="G768" i="1"/>
  <c r="F768" i="1"/>
  <c r="N767" i="1"/>
  <c r="M767" i="1"/>
  <c r="L767" i="1"/>
  <c r="K767" i="1"/>
  <c r="I767" i="1"/>
  <c r="H767" i="1"/>
  <c r="G767" i="1"/>
  <c r="F767" i="1"/>
  <c r="N766" i="1"/>
  <c r="M766" i="1"/>
  <c r="L766" i="1"/>
  <c r="K766" i="1"/>
  <c r="I766" i="1"/>
  <c r="H766" i="1"/>
  <c r="G766" i="1"/>
  <c r="F766" i="1"/>
  <c r="N765" i="1"/>
  <c r="M765" i="1"/>
  <c r="L765" i="1"/>
  <c r="K765" i="1"/>
  <c r="I765" i="1"/>
  <c r="H765" i="1"/>
  <c r="G765" i="1"/>
  <c r="F765" i="1"/>
  <c r="N764" i="1"/>
  <c r="M764" i="1"/>
  <c r="L764" i="1"/>
  <c r="K764" i="1"/>
  <c r="I764" i="1"/>
  <c r="H764" i="1"/>
  <c r="G764" i="1"/>
  <c r="F764" i="1"/>
  <c r="N763" i="1"/>
  <c r="M763" i="1"/>
  <c r="L763" i="1"/>
  <c r="K763" i="1"/>
  <c r="I763" i="1"/>
  <c r="H763" i="1"/>
  <c r="G763" i="1"/>
  <c r="F763" i="1"/>
  <c r="N762" i="1"/>
  <c r="M762" i="1"/>
  <c r="L762" i="1"/>
  <c r="K762" i="1"/>
  <c r="I762" i="1"/>
  <c r="H762" i="1"/>
  <c r="G762" i="1"/>
  <c r="F762" i="1"/>
  <c r="N761" i="1"/>
  <c r="M761" i="1"/>
  <c r="L761" i="1"/>
  <c r="K761" i="1"/>
  <c r="I761" i="1"/>
  <c r="H761" i="1"/>
  <c r="G761" i="1"/>
  <c r="F761" i="1"/>
  <c r="N760" i="1"/>
  <c r="M760" i="1"/>
  <c r="L760" i="1"/>
  <c r="K760" i="1"/>
  <c r="I760" i="1"/>
  <c r="H760" i="1"/>
  <c r="G760" i="1"/>
  <c r="F760" i="1"/>
  <c r="N759" i="1"/>
  <c r="M759" i="1"/>
  <c r="L759" i="1"/>
  <c r="K759" i="1"/>
  <c r="I759" i="1"/>
  <c r="H759" i="1"/>
  <c r="G759" i="1"/>
  <c r="F759" i="1"/>
  <c r="N758" i="1"/>
  <c r="M758" i="1"/>
  <c r="L758" i="1"/>
  <c r="K758" i="1"/>
  <c r="I758" i="1"/>
  <c r="H758" i="1"/>
  <c r="G758" i="1"/>
  <c r="F758" i="1"/>
  <c r="N757" i="1"/>
  <c r="M757" i="1"/>
  <c r="L757" i="1"/>
  <c r="K757" i="1"/>
  <c r="I757" i="1"/>
  <c r="H757" i="1"/>
  <c r="G757" i="1"/>
  <c r="F757" i="1"/>
  <c r="N756" i="1"/>
  <c r="M756" i="1"/>
  <c r="L756" i="1"/>
  <c r="K756" i="1"/>
  <c r="I756" i="1"/>
  <c r="H756" i="1"/>
  <c r="G756" i="1"/>
  <c r="F756" i="1"/>
  <c r="N755" i="1"/>
  <c r="M755" i="1"/>
  <c r="L755" i="1"/>
  <c r="K755" i="1"/>
  <c r="I755" i="1"/>
  <c r="H755" i="1"/>
  <c r="G755" i="1"/>
  <c r="F755" i="1"/>
  <c r="N754" i="1"/>
  <c r="M754" i="1"/>
  <c r="L754" i="1"/>
  <c r="K754" i="1"/>
  <c r="I754" i="1"/>
  <c r="H754" i="1"/>
  <c r="G754" i="1"/>
  <c r="F754" i="1"/>
  <c r="N753" i="1"/>
  <c r="M753" i="1"/>
  <c r="L753" i="1"/>
  <c r="K753" i="1"/>
  <c r="I753" i="1"/>
  <c r="H753" i="1"/>
  <c r="G753" i="1"/>
  <c r="F753" i="1"/>
  <c r="N752" i="1"/>
  <c r="M752" i="1"/>
  <c r="L752" i="1"/>
  <c r="K752" i="1"/>
  <c r="I752" i="1"/>
  <c r="H752" i="1"/>
  <c r="G752" i="1"/>
  <c r="F752" i="1"/>
  <c r="N751" i="1"/>
  <c r="M751" i="1"/>
  <c r="L751" i="1"/>
  <c r="K751" i="1"/>
  <c r="I751" i="1"/>
  <c r="H751" i="1"/>
  <c r="G751" i="1"/>
  <c r="F751" i="1"/>
  <c r="N750" i="1"/>
  <c r="M750" i="1"/>
  <c r="L750" i="1"/>
  <c r="K750" i="1"/>
  <c r="I750" i="1"/>
  <c r="H750" i="1"/>
  <c r="G750" i="1"/>
  <c r="F750" i="1"/>
  <c r="N749" i="1"/>
  <c r="M749" i="1"/>
  <c r="L749" i="1"/>
  <c r="K749" i="1"/>
  <c r="I749" i="1"/>
  <c r="H749" i="1"/>
  <c r="G749" i="1"/>
  <c r="F749" i="1"/>
  <c r="N748" i="1"/>
  <c r="M748" i="1"/>
  <c r="L748" i="1"/>
  <c r="K748" i="1"/>
  <c r="I748" i="1"/>
  <c r="H748" i="1"/>
  <c r="G748" i="1"/>
  <c r="F748" i="1"/>
  <c r="N747" i="1"/>
  <c r="M747" i="1"/>
  <c r="L747" i="1"/>
  <c r="K747" i="1"/>
  <c r="I747" i="1"/>
  <c r="H747" i="1"/>
  <c r="G747" i="1"/>
  <c r="F747" i="1"/>
  <c r="N746" i="1"/>
  <c r="M746" i="1"/>
  <c r="L746" i="1"/>
  <c r="K746" i="1"/>
  <c r="I746" i="1"/>
  <c r="H746" i="1"/>
  <c r="G746" i="1"/>
  <c r="F746" i="1"/>
  <c r="N745" i="1"/>
  <c r="M745" i="1"/>
  <c r="L745" i="1"/>
  <c r="K745" i="1"/>
  <c r="I745" i="1"/>
  <c r="H745" i="1"/>
  <c r="G745" i="1"/>
  <c r="F745" i="1"/>
  <c r="N744" i="1"/>
  <c r="M744" i="1"/>
  <c r="L744" i="1"/>
  <c r="K744" i="1"/>
  <c r="I744" i="1"/>
  <c r="H744" i="1"/>
  <c r="G744" i="1"/>
  <c r="F744" i="1"/>
  <c r="N743" i="1"/>
  <c r="M743" i="1"/>
  <c r="L743" i="1"/>
  <c r="K743" i="1"/>
  <c r="I743" i="1"/>
  <c r="H743" i="1"/>
  <c r="G743" i="1"/>
  <c r="F743" i="1"/>
  <c r="N742" i="1"/>
  <c r="M742" i="1"/>
  <c r="L742" i="1"/>
  <c r="K742" i="1"/>
  <c r="I742" i="1"/>
  <c r="H742" i="1"/>
  <c r="G742" i="1"/>
  <c r="F742" i="1"/>
  <c r="N741" i="1"/>
  <c r="M741" i="1"/>
  <c r="L741" i="1"/>
  <c r="K741" i="1"/>
  <c r="I741" i="1"/>
  <c r="H741" i="1"/>
  <c r="G741" i="1"/>
  <c r="F741" i="1"/>
  <c r="N740" i="1"/>
  <c r="M740" i="1"/>
  <c r="L740" i="1"/>
  <c r="K740" i="1"/>
  <c r="I740" i="1"/>
  <c r="H740" i="1"/>
  <c r="G740" i="1"/>
  <c r="F740" i="1"/>
  <c r="N739" i="1"/>
  <c r="M739" i="1"/>
  <c r="L739" i="1"/>
  <c r="K739" i="1"/>
  <c r="I739" i="1"/>
  <c r="H739" i="1"/>
  <c r="G739" i="1"/>
  <c r="F739" i="1"/>
  <c r="N738" i="1"/>
  <c r="M738" i="1"/>
  <c r="L738" i="1"/>
  <c r="K738" i="1"/>
  <c r="I738" i="1"/>
  <c r="H738" i="1"/>
  <c r="G738" i="1"/>
  <c r="F738" i="1"/>
  <c r="N737" i="1"/>
  <c r="M737" i="1"/>
  <c r="L737" i="1"/>
  <c r="K737" i="1"/>
  <c r="I737" i="1"/>
  <c r="H737" i="1"/>
  <c r="G737" i="1"/>
  <c r="F737" i="1"/>
  <c r="N736" i="1"/>
  <c r="M736" i="1"/>
  <c r="L736" i="1"/>
  <c r="K736" i="1"/>
  <c r="I736" i="1"/>
  <c r="H736" i="1"/>
  <c r="G736" i="1"/>
  <c r="F736" i="1"/>
  <c r="N735" i="1"/>
  <c r="M735" i="1"/>
  <c r="L735" i="1"/>
  <c r="K735" i="1"/>
  <c r="I735" i="1"/>
  <c r="H735" i="1"/>
  <c r="G735" i="1"/>
  <c r="F735" i="1"/>
  <c r="N734" i="1"/>
  <c r="M734" i="1"/>
  <c r="L734" i="1"/>
  <c r="K734" i="1"/>
  <c r="I734" i="1"/>
  <c r="H734" i="1"/>
  <c r="G734" i="1"/>
  <c r="F734" i="1"/>
  <c r="N733" i="1"/>
  <c r="M733" i="1"/>
  <c r="L733" i="1"/>
  <c r="K733" i="1"/>
  <c r="I733" i="1"/>
  <c r="H733" i="1"/>
  <c r="G733" i="1"/>
  <c r="F733" i="1"/>
  <c r="N732" i="1"/>
  <c r="M732" i="1"/>
  <c r="L732" i="1"/>
  <c r="K732" i="1"/>
  <c r="I732" i="1"/>
  <c r="H732" i="1"/>
  <c r="G732" i="1"/>
  <c r="F732" i="1"/>
  <c r="N731" i="1"/>
  <c r="M731" i="1"/>
  <c r="L731" i="1"/>
  <c r="K731" i="1"/>
  <c r="I731" i="1"/>
  <c r="H731" i="1"/>
  <c r="G731" i="1"/>
  <c r="F731" i="1"/>
  <c r="N730" i="1"/>
  <c r="M730" i="1"/>
  <c r="L730" i="1"/>
  <c r="K730" i="1"/>
  <c r="I730" i="1"/>
  <c r="H730" i="1"/>
  <c r="G730" i="1"/>
  <c r="F730" i="1"/>
  <c r="N729" i="1"/>
  <c r="M729" i="1"/>
  <c r="L729" i="1"/>
  <c r="K729" i="1"/>
  <c r="I729" i="1"/>
  <c r="H729" i="1"/>
  <c r="G729" i="1"/>
  <c r="F729" i="1"/>
  <c r="N728" i="1"/>
  <c r="M728" i="1"/>
  <c r="L728" i="1"/>
  <c r="K728" i="1"/>
  <c r="I728" i="1"/>
  <c r="H728" i="1"/>
  <c r="G728" i="1"/>
  <c r="F728" i="1"/>
  <c r="N727" i="1"/>
  <c r="M727" i="1"/>
  <c r="L727" i="1"/>
  <c r="K727" i="1"/>
  <c r="I727" i="1"/>
  <c r="H727" i="1"/>
  <c r="G727" i="1"/>
  <c r="F727" i="1"/>
  <c r="N726" i="1"/>
  <c r="M726" i="1"/>
  <c r="L726" i="1"/>
  <c r="K726" i="1"/>
  <c r="I726" i="1"/>
  <c r="H726" i="1"/>
  <c r="G726" i="1"/>
  <c r="F726" i="1"/>
  <c r="N725" i="1"/>
  <c r="M725" i="1"/>
  <c r="L725" i="1"/>
  <c r="K725" i="1"/>
  <c r="I725" i="1"/>
  <c r="H725" i="1"/>
  <c r="G725" i="1"/>
  <c r="F725" i="1"/>
  <c r="N724" i="1"/>
  <c r="M724" i="1"/>
  <c r="L724" i="1"/>
  <c r="K724" i="1"/>
  <c r="I724" i="1"/>
  <c r="H724" i="1"/>
  <c r="G724" i="1"/>
  <c r="F724" i="1"/>
  <c r="N723" i="1"/>
  <c r="M723" i="1"/>
  <c r="L723" i="1"/>
  <c r="K723" i="1"/>
  <c r="I723" i="1"/>
  <c r="H723" i="1"/>
  <c r="G723" i="1"/>
  <c r="F723" i="1"/>
  <c r="N722" i="1"/>
  <c r="M722" i="1"/>
  <c r="L722" i="1"/>
  <c r="K722" i="1"/>
  <c r="I722" i="1"/>
  <c r="H722" i="1"/>
  <c r="G722" i="1"/>
  <c r="F722" i="1"/>
  <c r="N721" i="1"/>
  <c r="M721" i="1"/>
  <c r="L721" i="1"/>
  <c r="K721" i="1"/>
  <c r="I721" i="1"/>
  <c r="H721" i="1"/>
  <c r="G721" i="1"/>
  <c r="F721" i="1"/>
  <c r="N720" i="1"/>
  <c r="M720" i="1"/>
  <c r="L720" i="1"/>
  <c r="K720" i="1"/>
  <c r="I720" i="1"/>
  <c r="H720" i="1"/>
  <c r="G720" i="1"/>
  <c r="F720" i="1"/>
  <c r="N719" i="1"/>
  <c r="M719" i="1"/>
  <c r="L719" i="1"/>
  <c r="K719" i="1"/>
  <c r="I719" i="1"/>
  <c r="H719" i="1"/>
  <c r="G719" i="1"/>
  <c r="F719" i="1"/>
  <c r="N718" i="1"/>
  <c r="M718" i="1"/>
  <c r="L718" i="1"/>
  <c r="K718" i="1"/>
  <c r="I718" i="1"/>
  <c r="H718" i="1"/>
  <c r="G718" i="1"/>
  <c r="F718" i="1"/>
  <c r="N717" i="1"/>
  <c r="M717" i="1"/>
  <c r="L717" i="1"/>
  <c r="K717" i="1"/>
  <c r="I717" i="1"/>
  <c r="H717" i="1"/>
  <c r="G717" i="1"/>
  <c r="F717" i="1"/>
  <c r="N716" i="1"/>
  <c r="M716" i="1"/>
  <c r="L716" i="1"/>
  <c r="K716" i="1"/>
  <c r="I716" i="1"/>
  <c r="H716" i="1"/>
  <c r="G716" i="1"/>
  <c r="F716" i="1"/>
  <c r="N715" i="1"/>
  <c r="M715" i="1"/>
  <c r="L715" i="1"/>
  <c r="K715" i="1"/>
  <c r="I715" i="1"/>
  <c r="H715" i="1"/>
  <c r="G715" i="1"/>
  <c r="F715" i="1"/>
  <c r="N714" i="1"/>
  <c r="M714" i="1"/>
  <c r="L714" i="1"/>
  <c r="K714" i="1"/>
  <c r="I714" i="1"/>
  <c r="H714" i="1"/>
  <c r="G714" i="1"/>
  <c r="F714" i="1"/>
  <c r="N713" i="1"/>
  <c r="M713" i="1"/>
  <c r="L713" i="1"/>
  <c r="K713" i="1"/>
  <c r="I713" i="1"/>
  <c r="H713" i="1"/>
  <c r="G713" i="1"/>
  <c r="F713" i="1"/>
  <c r="N712" i="1"/>
  <c r="M712" i="1"/>
  <c r="L712" i="1"/>
  <c r="K712" i="1"/>
  <c r="I712" i="1"/>
  <c r="H712" i="1"/>
  <c r="G712" i="1"/>
  <c r="F712" i="1"/>
  <c r="N711" i="1"/>
  <c r="M711" i="1"/>
  <c r="L711" i="1"/>
  <c r="K711" i="1"/>
  <c r="I711" i="1"/>
  <c r="H711" i="1"/>
  <c r="G711" i="1"/>
  <c r="F711" i="1"/>
  <c r="N710" i="1"/>
  <c r="M710" i="1"/>
  <c r="L710" i="1"/>
  <c r="K710" i="1"/>
  <c r="I710" i="1"/>
  <c r="H710" i="1"/>
  <c r="G710" i="1"/>
  <c r="F710" i="1"/>
  <c r="N709" i="1"/>
  <c r="M709" i="1"/>
  <c r="L709" i="1"/>
  <c r="K709" i="1"/>
  <c r="I709" i="1"/>
  <c r="H709" i="1"/>
  <c r="G709" i="1"/>
  <c r="F709" i="1"/>
  <c r="N708" i="1"/>
  <c r="M708" i="1"/>
  <c r="L708" i="1"/>
  <c r="K708" i="1"/>
  <c r="I708" i="1"/>
  <c r="H708" i="1"/>
  <c r="G708" i="1"/>
  <c r="F708" i="1"/>
  <c r="N707" i="1"/>
  <c r="M707" i="1"/>
  <c r="L707" i="1"/>
  <c r="K707" i="1"/>
  <c r="I707" i="1"/>
  <c r="H707" i="1"/>
  <c r="G707" i="1"/>
  <c r="F707" i="1"/>
  <c r="N706" i="1"/>
  <c r="M706" i="1"/>
  <c r="L706" i="1"/>
  <c r="K706" i="1"/>
  <c r="I706" i="1"/>
  <c r="H706" i="1"/>
  <c r="G706" i="1"/>
  <c r="F706" i="1"/>
  <c r="N705" i="1"/>
  <c r="M705" i="1"/>
  <c r="L705" i="1"/>
  <c r="K705" i="1"/>
  <c r="I705" i="1"/>
  <c r="H705" i="1"/>
  <c r="G705" i="1"/>
  <c r="F705" i="1"/>
  <c r="N704" i="1"/>
  <c r="M704" i="1"/>
  <c r="L704" i="1"/>
  <c r="K704" i="1"/>
  <c r="I704" i="1"/>
  <c r="H704" i="1"/>
  <c r="G704" i="1"/>
  <c r="F704" i="1"/>
  <c r="N703" i="1"/>
  <c r="M703" i="1"/>
  <c r="L703" i="1"/>
  <c r="K703" i="1"/>
  <c r="I703" i="1"/>
  <c r="H703" i="1"/>
  <c r="G703" i="1"/>
  <c r="F703" i="1"/>
  <c r="N702" i="1"/>
  <c r="M702" i="1"/>
  <c r="L702" i="1"/>
  <c r="K702" i="1"/>
  <c r="I702" i="1"/>
  <c r="H702" i="1"/>
  <c r="G702" i="1"/>
  <c r="F702" i="1"/>
  <c r="N701" i="1"/>
  <c r="M701" i="1"/>
  <c r="L701" i="1"/>
  <c r="K701" i="1"/>
  <c r="I701" i="1"/>
  <c r="H701" i="1"/>
  <c r="G701" i="1"/>
  <c r="F701" i="1"/>
  <c r="N700" i="1"/>
  <c r="M700" i="1"/>
  <c r="L700" i="1"/>
  <c r="K700" i="1"/>
  <c r="I700" i="1"/>
  <c r="H700" i="1"/>
  <c r="G700" i="1"/>
  <c r="F700" i="1"/>
  <c r="N699" i="1"/>
  <c r="M699" i="1"/>
  <c r="L699" i="1"/>
  <c r="K699" i="1"/>
  <c r="I699" i="1"/>
  <c r="H699" i="1"/>
  <c r="G699" i="1"/>
  <c r="F699" i="1"/>
  <c r="N698" i="1"/>
  <c r="M698" i="1"/>
  <c r="L698" i="1"/>
  <c r="K698" i="1"/>
  <c r="I698" i="1"/>
  <c r="H698" i="1"/>
  <c r="G698" i="1"/>
  <c r="F698" i="1"/>
  <c r="N697" i="1"/>
  <c r="M697" i="1"/>
  <c r="L697" i="1"/>
  <c r="K697" i="1"/>
  <c r="I697" i="1"/>
  <c r="H697" i="1"/>
  <c r="G697" i="1"/>
  <c r="F697" i="1"/>
  <c r="N696" i="1"/>
  <c r="M696" i="1"/>
  <c r="L696" i="1"/>
  <c r="K696" i="1"/>
  <c r="I696" i="1"/>
  <c r="H696" i="1"/>
  <c r="G696" i="1"/>
  <c r="F696" i="1"/>
  <c r="N695" i="1"/>
  <c r="M695" i="1"/>
  <c r="L695" i="1"/>
  <c r="K695" i="1"/>
  <c r="I695" i="1"/>
  <c r="H695" i="1"/>
  <c r="G695" i="1"/>
  <c r="F695" i="1"/>
  <c r="N694" i="1"/>
  <c r="M694" i="1"/>
  <c r="L694" i="1"/>
  <c r="K694" i="1"/>
  <c r="I694" i="1"/>
  <c r="H694" i="1"/>
  <c r="G694" i="1"/>
  <c r="F694" i="1"/>
  <c r="N693" i="1"/>
  <c r="M693" i="1"/>
  <c r="L693" i="1"/>
  <c r="K693" i="1"/>
  <c r="I693" i="1"/>
  <c r="H693" i="1"/>
  <c r="G693" i="1"/>
  <c r="F693" i="1"/>
  <c r="N692" i="1"/>
  <c r="M692" i="1"/>
  <c r="L692" i="1"/>
  <c r="K692" i="1"/>
  <c r="I692" i="1"/>
  <c r="H692" i="1"/>
  <c r="G692" i="1"/>
  <c r="F692" i="1"/>
  <c r="N691" i="1"/>
  <c r="M691" i="1"/>
  <c r="L691" i="1"/>
  <c r="K691" i="1"/>
  <c r="I691" i="1"/>
  <c r="H691" i="1"/>
  <c r="G691" i="1"/>
  <c r="F691" i="1"/>
  <c r="N690" i="1"/>
  <c r="M690" i="1"/>
  <c r="L690" i="1"/>
  <c r="K690" i="1"/>
  <c r="I690" i="1"/>
  <c r="H690" i="1"/>
  <c r="G690" i="1"/>
  <c r="F690" i="1"/>
  <c r="N689" i="1"/>
  <c r="M689" i="1"/>
  <c r="L689" i="1"/>
  <c r="K689" i="1"/>
  <c r="I689" i="1"/>
  <c r="H689" i="1"/>
  <c r="G689" i="1"/>
  <c r="F689" i="1"/>
  <c r="N688" i="1"/>
  <c r="M688" i="1"/>
  <c r="L688" i="1"/>
  <c r="K688" i="1"/>
  <c r="I688" i="1"/>
  <c r="H688" i="1"/>
  <c r="G688" i="1"/>
  <c r="F688" i="1"/>
  <c r="N687" i="1"/>
  <c r="M687" i="1"/>
  <c r="L687" i="1"/>
  <c r="K687" i="1"/>
  <c r="I687" i="1"/>
  <c r="H687" i="1"/>
  <c r="G687" i="1"/>
  <c r="F687" i="1"/>
  <c r="N686" i="1"/>
  <c r="M686" i="1"/>
  <c r="L686" i="1"/>
  <c r="K686" i="1"/>
  <c r="I686" i="1"/>
  <c r="H686" i="1"/>
  <c r="G686" i="1"/>
  <c r="F686" i="1"/>
  <c r="N685" i="1"/>
  <c r="M685" i="1"/>
  <c r="L685" i="1"/>
  <c r="K685" i="1"/>
  <c r="I685" i="1"/>
  <c r="H685" i="1"/>
  <c r="G685" i="1"/>
  <c r="F685" i="1"/>
  <c r="N684" i="1"/>
  <c r="M684" i="1"/>
  <c r="L684" i="1"/>
  <c r="K684" i="1"/>
  <c r="I684" i="1"/>
  <c r="H684" i="1"/>
  <c r="G684" i="1"/>
  <c r="F684" i="1"/>
  <c r="N683" i="1"/>
  <c r="M683" i="1"/>
  <c r="L683" i="1"/>
  <c r="K683" i="1"/>
  <c r="I683" i="1"/>
  <c r="H683" i="1"/>
  <c r="G683" i="1"/>
  <c r="F683" i="1"/>
  <c r="N682" i="1"/>
  <c r="M682" i="1"/>
  <c r="L682" i="1"/>
  <c r="K682" i="1"/>
  <c r="I682" i="1"/>
  <c r="H682" i="1"/>
  <c r="G682" i="1"/>
  <c r="F682" i="1"/>
  <c r="N681" i="1"/>
  <c r="M681" i="1"/>
  <c r="L681" i="1"/>
  <c r="K681" i="1"/>
  <c r="I681" i="1"/>
  <c r="H681" i="1"/>
  <c r="G681" i="1"/>
  <c r="F681" i="1"/>
  <c r="N680" i="1"/>
  <c r="M680" i="1"/>
  <c r="L680" i="1"/>
  <c r="K680" i="1"/>
  <c r="I680" i="1"/>
  <c r="H680" i="1"/>
  <c r="G680" i="1"/>
  <c r="F680" i="1"/>
  <c r="N679" i="1"/>
  <c r="M679" i="1"/>
  <c r="L679" i="1"/>
  <c r="K679" i="1"/>
  <c r="I679" i="1"/>
  <c r="H679" i="1"/>
  <c r="G679" i="1"/>
  <c r="F679" i="1"/>
  <c r="N678" i="1"/>
  <c r="M678" i="1"/>
  <c r="L678" i="1"/>
  <c r="K678" i="1"/>
  <c r="I678" i="1"/>
  <c r="H678" i="1"/>
  <c r="G678" i="1"/>
  <c r="F678" i="1"/>
  <c r="N677" i="1"/>
  <c r="M677" i="1"/>
  <c r="L677" i="1"/>
  <c r="K677" i="1"/>
  <c r="I677" i="1"/>
  <c r="H677" i="1"/>
  <c r="G677" i="1"/>
  <c r="F677" i="1"/>
  <c r="N676" i="1"/>
  <c r="M676" i="1"/>
  <c r="L676" i="1"/>
  <c r="K676" i="1"/>
  <c r="I676" i="1"/>
  <c r="H676" i="1"/>
  <c r="G676" i="1"/>
  <c r="F676" i="1"/>
  <c r="N675" i="1"/>
  <c r="M675" i="1"/>
  <c r="L675" i="1"/>
  <c r="K675" i="1"/>
  <c r="I675" i="1"/>
  <c r="H675" i="1"/>
  <c r="G675" i="1"/>
  <c r="F675" i="1"/>
  <c r="N674" i="1"/>
  <c r="M674" i="1"/>
  <c r="L674" i="1"/>
  <c r="K674" i="1"/>
  <c r="I674" i="1"/>
  <c r="H674" i="1"/>
  <c r="G674" i="1"/>
  <c r="F674" i="1"/>
  <c r="N673" i="1"/>
  <c r="M673" i="1"/>
  <c r="L673" i="1"/>
  <c r="K673" i="1"/>
  <c r="I673" i="1"/>
  <c r="H673" i="1"/>
  <c r="G673" i="1"/>
  <c r="F673" i="1"/>
  <c r="N672" i="1"/>
  <c r="M672" i="1"/>
  <c r="L672" i="1"/>
  <c r="K672" i="1"/>
  <c r="I672" i="1"/>
  <c r="H672" i="1"/>
  <c r="G672" i="1"/>
  <c r="F672" i="1"/>
  <c r="N671" i="1"/>
  <c r="M671" i="1"/>
  <c r="L671" i="1"/>
  <c r="K671" i="1"/>
  <c r="I671" i="1"/>
  <c r="H671" i="1"/>
  <c r="G671" i="1"/>
  <c r="F671" i="1"/>
  <c r="N670" i="1"/>
  <c r="M670" i="1"/>
  <c r="L670" i="1"/>
  <c r="K670" i="1"/>
  <c r="I670" i="1"/>
  <c r="H670" i="1"/>
  <c r="G670" i="1"/>
  <c r="F670" i="1"/>
  <c r="N669" i="1"/>
  <c r="M669" i="1"/>
  <c r="L669" i="1"/>
  <c r="K669" i="1"/>
  <c r="I669" i="1"/>
  <c r="H669" i="1"/>
  <c r="G669" i="1"/>
  <c r="F669" i="1"/>
  <c r="N668" i="1"/>
  <c r="M668" i="1"/>
  <c r="L668" i="1"/>
  <c r="K668" i="1"/>
  <c r="I668" i="1"/>
  <c r="H668" i="1"/>
  <c r="G668" i="1"/>
  <c r="F668" i="1"/>
  <c r="N667" i="1"/>
  <c r="M667" i="1"/>
  <c r="L667" i="1"/>
  <c r="K667" i="1"/>
  <c r="I667" i="1"/>
  <c r="H667" i="1"/>
  <c r="G667" i="1"/>
  <c r="F667" i="1"/>
  <c r="N666" i="1"/>
  <c r="M666" i="1"/>
  <c r="L666" i="1"/>
  <c r="K666" i="1"/>
  <c r="I666" i="1"/>
  <c r="H666" i="1"/>
  <c r="G666" i="1"/>
  <c r="F666" i="1"/>
  <c r="N665" i="1"/>
  <c r="M665" i="1"/>
  <c r="L665" i="1"/>
  <c r="K665" i="1"/>
  <c r="I665" i="1"/>
  <c r="H665" i="1"/>
  <c r="G665" i="1"/>
  <c r="F665" i="1"/>
  <c r="N664" i="1"/>
  <c r="M664" i="1"/>
  <c r="L664" i="1"/>
  <c r="K664" i="1"/>
  <c r="I664" i="1"/>
  <c r="H664" i="1"/>
  <c r="G664" i="1"/>
  <c r="F664" i="1"/>
  <c r="N663" i="1"/>
  <c r="M663" i="1"/>
  <c r="L663" i="1"/>
  <c r="K663" i="1"/>
  <c r="I663" i="1"/>
  <c r="H663" i="1"/>
  <c r="G663" i="1"/>
  <c r="F663" i="1"/>
  <c r="N662" i="1"/>
  <c r="M662" i="1"/>
  <c r="L662" i="1"/>
  <c r="K662" i="1"/>
  <c r="I662" i="1"/>
  <c r="H662" i="1"/>
  <c r="G662" i="1"/>
  <c r="F662" i="1"/>
  <c r="N661" i="1"/>
  <c r="M661" i="1"/>
  <c r="L661" i="1"/>
  <c r="K661" i="1"/>
  <c r="I661" i="1"/>
  <c r="H661" i="1"/>
  <c r="G661" i="1"/>
  <c r="F661" i="1"/>
  <c r="N660" i="1"/>
  <c r="M660" i="1"/>
  <c r="L660" i="1"/>
  <c r="K660" i="1"/>
  <c r="I660" i="1"/>
  <c r="H660" i="1"/>
  <c r="G660" i="1"/>
  <c r="F660" i="1"/>
  <c r="N659" i="1"/>
  <c r="M659" i="1"/>
  <c r="L659" i="1"/>
  <c r="K659" i="1"/>
  <c r="I659" i="1"/>
  <c r="H659" i="1"/>
  <c r="G659" i="1"/>
  <c r="F659" i="1"/>
  <c r="N658" i="1"/>
  <c r="M658" i="1"/>
  <c r="L658" i="1"/>
  <c r="K658" i="1"/>
  <c r="I658" i="1"/>
  <c r="H658" i="1"/>
  <c r="G658" i="1"/>
  <c r="F658" i="1"/>
  <c r="N657" i="1"/>
  <c r="M657" i="1"/>
  <c r="L657" i="1"/>
  <c r="K657" i="1"/>
  <c r="I657" i="1"/>
  <c r="H657" i="1"/>
  <c r="G657" i="1"/>
  <c r="F657" i="1"/>
  <c r="N656" i="1"/>
  <c r="M656" i="1"/>
  <c r="L656" i="1"/>
  <c r="K656" i="1"/>
  <c r="I656" i="1"/>
  <c r="H656" i="1"/>
  <c r="G656" i="1"/>
  <c r="F656" i="1"/>
  <c r="N655" i="1"/>
  <c r="M655" i="1"/>
  <c r="L655" i="1"/>
  <c r="K655" i="1"/>
  <c r="I655" i="1"/>
  <c r="H655" i="1"/>
  <c r="G655" i="1"/>
  <c r="F655" i="1"/>
  <c r="N654" i="1"/>
  <c r="M654" i="1"/>
  <c r="L654" i="1"/>
  <c r="K654" i="1"/>
  <c r="I654" i="1"/>
  <c r="H654" i="1"/>
  <c r="G654" i="1"/>
  <c r="F654" i="1"/>
  <c r="N653" i="1"/>
  <c r="M653" i="1"/>
  <c r="L653" i="1"/>
  <c r="K653" i="1"/>
  <c r="I653" i="1"/>
  <c r="H653" i="1"/>
  <c r="G653" i="1"/>
  <c r="F653" i="1"/>
  <c r="N652" i="1"/>
  <c r="M652" i="1"/>
  <c r="L652" i="1"/>
  <c r="K652" i="1"/>
  <c r="I652" i="1"/>
  <c r="H652" i="1"/>
  <c r="G652" i="1"/>
  <c r="F652" i="1"/>
  <c r="N651" i="1"/>
  <c r="M651" i="1"/>
  <c r="L651" i="1"/>
  <c r="K651" i="1"/>
  <c r="I651" i="1"/>
  <c r="H651" i="1"/>
  <c r="G651" i="1"/>
  <c r="F651" i="1"/>
  <c r="N650" i="1"/>
  <c r="M650" i="1"/>
  <c r="L650" i="1"/>
  <c r="K650" i="1"/>
  <c r="I650" i="1"/>
  <c r="H650" i="1"/>
  <c r="G650" i="1"/>
  <c r="F650" i="1"/>
  <c r="N649" i="1"/>
  <c r="M649" i="1"/>
  <c r="L649" i="1"/>
  <c r="K649" i="1"/>
  <c r="I649" i="1"/>
  <c r="H649" i="1"/>
  <c r="G649" i="1"/>
  <c r="F649" i="1"/>
  <c r="N648" i="1"/>
  <c r="M648" i="1"/>
  <c r="L648" i="1"/>
  <c r="K648" i="1"/>
  <c r="I648" i="1"/>
  <c r="H648" i="1"/>
  <c r="G648" i="1"/>
  <c r="F648" i="1"/>
  <c r="N647" i="1"/>
  <c r="M647" i="1"/>
  <c r="L647" i="1"/>
  <c r="K647" i="1"/>
  <c r="I647" i="1"/>
  <c r="H647" i="1"/>
  <c r="G647" i="1"/>
  <c r="F647" i="1"/>
  <c r="N646" i="1"/>
  <c r="M646" i="1"/>
  <c r="L646" i="1"/>
  <c r="K646" i="1"/>
  <c r="I646" i="1"/>
  <c r="H646" i="1"/>
  <c r="G646" i="1"/>
  <c r="F646" i="1"/>
  <c r="N645" i="1"/>
  <c r="M645" i="1"/>
  <c r="L645" i="1"/>
  <c r="K645" i="1"/>
  <c r="I645" i="1"/>
  <c r="H645" i="1"/>
  <c r="G645" i="1"/>
  <c r="F645" i="1"/>
  <c r="N644" i="1"/>
  <c r="M644" i="1"/>
  <c r="L644" i="1"/>
  <c r="K644" i="1"/>
  <c r="I644" i="1"/>
  <c r="H644" i="1"/>
  <c r="G644" i="1"/>
  <c r="F644" i="1"/>
  <c r="N643" i="1"/>
  <c r="M643" i="1"/>
  <c r="L643" i="1"/>
  <c r="K643" i="1"/>
  <c r="I643" i="1"/>
  <c r="H643" i="1"/>
  <c r="G643" i="1"/>
  <c r="F643" i="1"/>
  <c r="N642" i="1"/>
  <c r="M642" i="1"/>
  <c r="L642" i="1"/>
  <c r="K642" i="1"/>
  <c r="I642" i="1"/>
  <c r="H642" i="1"/>
  <c r="G642" i="1"/>
  <c r="F642" i="1"/>
  <c r="N641" i="1"/>
  <c r="M641" i="1"/>
  <c r="L641" i="1"/>
  <c r="K641" i="1"/>
  <c r="I641" i="1"/>
  <c r="H641" i="1"/>
  <c r="G641" i="1"/>
  <c r="F641" i="1"/>
  <c r="N640" i="1"/>
  <c r="M640" i="1"/>
  <c r="L640" i="1"/>
  <c r="K640" i="1"/>
  <c r="I640" i="1"/>
  <c r="H640" i="1"/>
  <c r="G640" i="1"/>
  <c r="F640" i="1"/>
  <c r="N639" i="1"/>
  <c r="M639" i="1"/>
  <c r="L639" i="1"/>
  <c r="K639" i="1"/>
  <c r="I639" i="1"/>
  <c r="H639" i="1"/>
  <c r="G639" i="1"/>
  <c r="F639" i="1"/>
  <c r="N638" i="1"/>
  <c r="M638" i="1"/>
  <c r="L638" i="1"/>
  <c r="K638" i="1"/>
  <c r="I638" i="1"/>
  <c r="H638" i="1"/>
  <c r="G638" i="1"/>
  <c r="F638" i="1"/>
  <c r="N637" i="1"/>
  <c r="M637" i="1"/>
  <c r="L637" i="1"/>
  <c r="K637" i="1"/>
  <c r="I637" i="1"/>
  <c r="H637" i="1"/>
  <c r="G637" i="1"/>
  <c r="F637" i="1"/>
  <c r="N636" i="1"/>
  <c r="M636" i="1"/>
  <c r="L636" i="1"/>
  <c r="K636" i="1"/>
  <c r="I636" i="1"/>
  <c r="H636" i="1"/>
  <c r="G636" i="1"/>
  <c r="F636" i="1"/>
  <c r="N635" i="1"/>
  <c r="M635" i="1"/>
  <c r="L635" i="1"/>
  <c r="K635" i="1"/>
  <c r="I635" i="1"/>
  <c r="H635" i="1"/>
  <c r="G635" i="1"/>
  <c r="F635" i="1"/>
  <c r="N634" i="1"/>
  <c r="M634" i="1"/>
  <c r="L634" i="1"/>
  <c r="K634" i="1"/>
  <c r="I634" i="1"/>
  <c r="H634" i="1"/>
  <c r="G634" i="1"/>
  <c r="F634" i="1"/>
  <c r="N633" i="1"/>
  <c r="M633" i="1"/>
  <c r="L633" i="1"/>
  <c r="K633" i="1"/>
  <c r="I633" i="1"/>
  <c r="H633" i="1"/>
  <c r="G633" i="1"/>
  <c r="F633" i="1"/>
  <c r="N632" i="1"/>
  <c r="M632" i="1"/>
  <c r="L632" i="1"/>
  <c r="K632" i="1"/>
  <c r="I632" i="1"/>
  <c r="H632" i="1"/>
  <c r="G632" i="1"/>
  <c r="F632" i="1"/>
  <c r="N631" i="1"/>
  <c r="M631" i="1"/>
  <c r="L631" i="1"/>
  <c r="K631" i="1"/>
  <c r="I631" i="1"/>
  <c r="H631" i="1"/>
  <c r="G631" i="1"/>
  <c r="F631" i="1"/>
  <c r="N630" i="1"/>
  <c r="M630" i="1"/>
  <c r="L630" i="1"/>
  <c r="K630" i="1"/>
  <c r="I630" i="1"/>
  <c r="H630" i="1"/>
  <c r="G630" i="1"/>
  <c r="F630" i="1"/>
  <c r="N629" i="1"/>
  <c r="M629" i="1"/>
  <c r="L629" i="1"/>
  <c r="K629" i="1"/>
  <c r="I629" i="1"/>
  <c r="H629" i="1"/>
  <c r="G629" i="1"/>
  <c r="F629" i="1"/>
  <c r="N628" i="1"/>
  <c r="M628" i="1"/>
  <c r="L628" i="1"/>
  <c r="K628" i="1"/>
  <c r="I628" i="1"/>
  <c r="H628" i="1"/>
  <c r="G628" i="1"/>
  <c r="F628" i="1"/>
  <c r="N627" i="1"/>
  <c r="M627" i="1"/>
  <c r="L627" i="1"/>
  <c r="K627" i="1"/>
  <c r="I627" i="1"/>
  <c r="H627" i="1"/>
  <c r="G627" i="1"/>
  <c r="F627" i="1"/>
  <c r="N626" i="1"/>
  <c r="M626" i="1"/>
  <c r="L626" i="1"/>
  <c r="K626" i="1"/>
  <c r="I626" i="1"/>
  <c r="H626" i="1"/>
  <c r="G626" i="1"/>
  <c r="F626" i="1"/>
  <c r="N625" i="1"/>
  <c r="M625" i="1"/>
  <c r="L625" i="1"/>
  <c r="K625" i="1"/>
  <c r="I625" i="1"/>
  <c r="H625" i="1"/>
  <c r="G625" i="1"/>
  <c r="F625" i="1"/>
  <c r="N624" i="1"/>
  <c r="M624" i="1"/>
  <c r="L624" i="1"/>
  <c r="K624" i="1"/>
  <c r="I624" i="1"/>
  <c r="H624" i="1"/>
  <c r="G624" i="1"/>
  <c r="F624" i="1"/>
  <c r="N623" i="1"/>
  <c r="M623" i="1"/>
  <c r="L623" i="1"/>
  <c r="K623" i="1"/>
  <c r="I623" i="1"/>
  <c r="H623" i="1"/>
  <c r="G623" i="1"/>
  <c r="F623" i="1"/>
  <c r="N622" i="1"/>
  <c r="M622" i="1"/>
  <c r="L622" i="1"/>
  <c r="K622" i="1"/>
  <c r="I622" i="1"/>
  <c r="H622" i="1"/>
  <c r="G622" i="1"/>
  <c r="F622" i="1"/>
  <c r="N621" i="1"/>
  <c r="M621" i="1"/>
  <c r="L621" i="1"/>
  <c r="K621" i="1"/>
  <c r="I621" i="1"/>
  <c r="H621" i="1"/>
  <c r="G621" i="1"/>
  <c r="F621" i="1"/>
  <c r="N620" i="1"/>
  <c r="M620" i="1"/>
  <c r="L620" i="1"/>
  <c r="K620" i="1"/>
  <c r="I620" i="1"/>
  <c r="H620" i="1"/>
  <c r="G620" i="1"/>
  <c r="F620" i="1"/>
  <c r="N619" i="1"/>
  <c r="M619" i="1"/>
  <c r="L619" i="1"/>
  <c r="K619" i="1"/>
  <c r="I619" i="1"/>
  <c r="H619" i="1"/>
  <c r="G619" i="1"/>
  <c r="F619" i="1"/>
  <c r="N618" i="1"/>
  <c r="M618" i="1"/>
  <c r="L618" i="1"/>
  <c r="K618" i="1"/>
  <c r="I618" i="1"/>
  <c r="H618" i="1"/>
  <c r="G618" i="1"/>
  <c r="F618" i="1"/>
  <c r="N617" i="1"/>
  <c r="M617" i="1"/>
  <c r="L617" i="1"/>
  <c r="K617" i="1"/>
  <c r="I617" i="1"/>
  <c r="H617" i="1"/>
  <c r="G617" i="1"/>
  <c r="F617" i="1"/>
  <c r="N616" i="1"/>
  <c r="M616" i="1"/>
  <c r="L616" i="1"/>
  <c r="K616" i="1"/>
  <c r="I616" i="1"/>
  <c r="H616" i="1"/>
  <c r="G616" i="1"/>
  <c r="F616" i="1"/>
  <c r="N615" i="1"/>
  <c r="M615" i="1"/>
  <c r="L615" i="1"/>
  <c r="K615" i="1"/>
  <c r="I615" i="1"/>
  <c r="H615" i="1"/>
  <c r="G615" i="1"/>
  <c r="F615" i="1"/>
  <c r="N614" i="1"/>
  <c r="M614" i="1"/>
  <c r="L614" i="1"/>
  <c r="K614" i="1"/>
  <c r="I614" i="1"/>
  <c r="H614" i="1"/>
  <c r="G614" i="1"/>
  <c r="F614" i="1"/>
  <c r="N613" i="1"/>
  <c r="M613" i="1"/>
  <c r="L613" i="1"/>
  <c r="K613" i="1"/>
  <c r="I613" i="1"/>
  <c r="H613" i="1"/>
  <c r="G613" i="1"/>
  <c r="F613" i="1"/>
  <c r="N612" i="1"/>
  <c r="M612" i="1"/>
  <c r="L612" i="1"/>
  <c r="K612" i="1"/>
  <c r="I612" i="1"/>
  <c r="H612" i="1"/>
  <c r="G612" i="1"/>
  <c r="F612" i="1"/>
  <c r="N611" i="1"/>
  <c r="M611" i="1"/>
  <c r="L611" i="1"/>
  <c r="K611" i="1"/>
  <c r="I611" i="1"/>
  <c r="H611" i="1"/>
  <c r="G611" i="1"/>
  <c r="F611" i="1"/>
  <c r="N610" i="1"/>
  <c r="M610" i="1"/>
  <c r="L610" i="1"/>
  <c r="K610" i="1"/>
  <c r="I610" i="1"/>
  <c r="H610" i="1"/>
  <c r="G610" i="1"/>
  <c r="F610" i="1"/>
  <c r="N609" i="1"/>
  <c r="M609" i="1"/>
  <c r="L609" i="1"/>
  <c r="K609" i="1"/>
  <c r="I609" i="1"/>
  <c r="H609" i="1"/>
  <c r="G609" i="1"/>
  <c r="F609" i="1"/>
  <c r="N608" i="1"/>
  <c r="M608" i="1"/>
  <c r="L608" i="1"/>
  <c r="K608" i="1"/>
  <c r="I608" i="1"/>
  <c r="H608" i="1"/>
  <c r="G608" i="1"/>
  <c r="F608" i="1"/>
  <c r="N607" i="1"/>
  <c r="M607" i="1"/>
  <c r="L607" i="1"/>
  <c r="K607" i="1"/>
  <c r="I607" i="1"/>
  <c r="H607" i="1"/>
  <c r="G607" i="1"/>
  <c r="F607" i="1"/>
  <c r="N606" i="1"/>
  <c r="M606" i="1"/>
  <c r="L606" i="1"/>
  <c r="K606" i="1"/>
  <c r="I606" i="1"/>
  <c r="H606" i="1"/>
  <c r="G606" i="1"/>
  <c r="F606" i="1"/>
  <c r="N605" i="1"/>
  <c r="M605" i="1"/>
  <c r="L605" i="1"/>
  <c r="K605" i="1"/>
  <c r="I605" i="1"/>
  <c r="H605" i="1"/>
  <c r="G605" i="1"/>
  <c r="F605" i="1"/>
  <c r="N604" i="1"/>
  <c r="M604" i="1"/>
  <c r="L604" i="1"/>
  <c r="K604" i="1"/>
  <c r="I604" i="1"/>
  <c r="H604" i="1"/>
  <c r="G604" i="1"/>
  <c r="F604" i="1"/>
  <c r="N603" i="1"/>
  <c r="M603" i="1"/>
  <c r="L603" i="1"/>
  <c r="K603" i="1"/>
  <c r="I603" i="1"/>
  <c r="H603" i="1"/>
  <c r="G603" i="1"/>
  <c r="F603" i="1"/>
  <c r="N602" i="1"/>
  <c r="M602" i="1"/>
  <c r="L602" i="1"/>
  <c r="K602" i="1"/>
  <c r="I602" i="1"/>
  <c r="H602" i="1"/>
  <c r="G602" i="1"/>
  <c r="F602" i="1"/>
  <c r="N601" i="1"/>
  <c r="M601" i="1"/>
  <c r="L601" i="1"/>
  <c r="K601" i="1"/>
  <c r="I601" i="1"/>
  <c r="H601" i="1"/>
  <c r="G601" i="1"/>
  <c r="F601" i="1"/>
  <c r="N600" i="1"/>
  <c r="M600" i="1"/>
  <c r="L600" i="1"/>
  <c r="K600" i="1"/>
  <c r="I600" i="1"/>
  <c r="H600" i="1"/>
  <c r="G600" i="1"/>
  <c r="F600" i="1"/>
  <c r="N599" i="1"/>
  <c r="M599" i="1"/>
  <c r="L599" i="1"/>
  <c r="K599" i="1"/>
  <c r="I599" i="1"/>
  <c r="H599" i="1"/>
  <c r="G599" i="1"/>
  <c r="F599" i="1"/>
  <c r="N598" i="1"/>
  <c r="M598" i="1"/>
  <c r="L598" i="1"/>
  <c r="K598" i="1"/>
  <c r="I598" i="1"/>
  <c r="H598" i="1"/>
  <c r="G598" i="1"/>
  <c r="F598" i="1"/>
  <c r="N597" i="1"/>
  <c r="M597" i="1"/>
  <c r="L597" i="1"/>
  <c r="K597" i="1"/>
  <c r="I597" i="1"/>
  <c r="H597" i="1"/>
  <c r="G597" i="1"/>
  <c r="F597" i="1"/>
  <c r="N596" i="1"/>
  <c r="M596" i="1"/>
  <c r="L596" i="1"/>
  <c r="K596" i="1"/>
  <c r="I596" i="1"/>
  <c r="H596" i="1"/>
  <c r="G596" i="1"/>
  <c r="F596" i="1"/>
  <c r="N595" i="1"/>
  <c r="M595" i="1"/>
  <c r="L595" i="1"/>
  <c r="K595" i="1"/>
  <c r="I595" i="1"/>
  <c r="H595" i="1"/>
  <c r="G595" i="1"/>
  <c r="F595" i="1"/>
  <c r="N594" i="1"/>
  <c r="M594" i="1"/>
  <c r="L594" i="1"/>
  <c r="K594" i="1"/>
  <c r="I594" i="1"/>
  <c r="H594" i="1"/>
  <c r="G594" i="1"/>
  <c r="F594" i="1"/>
  <c r="N593" i="1"/>
  <c r="M593" i="1"/>
  <c r="L593" i="1"/>
  <c r="K593" i="1"/>
  <c r="I593" i="1"/>
  <c r="H593" i="1"/>
  <c r="G593" i="1"/>
  <c r="F593" i="1"/>
  <c r="N592" i="1"/>
  <c r="M592" i="1"/>
  <c r="L592" i="1"/>
  <c r="K592" i="1"/>
  <c r="I592" i="1"/>
  <c r="H592" i="1"/>
  <c r="G592" i="1"/>
  <c r="F592" i="1"/>
  <c r="N591" i="1"/>
  <c r="M591" i="1"/>
  <c r="L591" i="1"/>
  <c r="K591" i="1"/>
  <c r="I591" i="1"/>
  <c r="H591" i="1"/>
  <c r="G591" i="1"/>
  <c r="F591" i="1"/>
  <c r="N590" i="1"/>
  <c r="M590" i="1"/>
  <c r="L590" i="1"/>
  <c r="K590" i="1"/>
  <c r="I590" i="1"/>
  <c r="H590" i="1"/>
  <c r="G590" i="1"/>
  <c r="F590" i="1"/>
  <c r="N589" i="1"/>
  <c r="M589" i="1"/>
  <c r="L589" i="1"/>
  <c r="K589" i="1"/>
  <c r="I589" i="1"/>
  <c r="H589" i="1"/>
  <c r="G589" i="1"/>
  <c r="F589" i="1"/>
  <c r="N588" i="1"/>
  <c r="M588" i="1"/>
  <c r="L588" i="1"/>
  <c r="K588" i="1"/>
  <c r="I588" i="1"/>
  <c r="H588" i="1"/>
  <c r="G588" i="1"/>
  <c r="F588" i="1"/>
  <c r="N587" i="1"/>
  <c r="M587" i="1"/>
  <c r="L587" i="1"/>
  <c r="K587" i="1"/>
  <c r="I587" i="1"/>
  <c r="H587" i="1"/>
  <c r="G587" i="1"/>
  <c r="F587" i="1"/>
  <c r="N586" i="1"/>
  <c r="M586" i="1"/>
  <c r="L586" i="1"/>
  <c r="K586" i="1"/>
  <c r="I586" i="1"/>
  <c r="H586" i="1"/>
  <c r="G586" i="1"/>
  <c r="F586" i="1"/>
  <c r="N585" i="1"/>
  <c r="M585" i="1"/>
  <c r="L585" i="1"/>
  <c r="K585" i="1"/>
  <c r="I585" i="1"/>
  <c r="H585" i="1"/>
  <c r="G585" i="1"/>
  <c r="F585" i="1"/>
  <c r="N584" i="1"/>
  <c r="M584" i="1"/>
  <c r="L584" i="1"/>
  <c r="K584" i="1"/>
  <c r="I584" i="1"/>
  <c r="H584" i="1"/>
  <c r="G584" i="1"/>
  <c r="F584" i="1"/>
  <c r="N583" i="1"/>
  <c r="M583" i="1"/>
  <c r="L583" i="1"/>
  <c r="K583" i="1"/>
  <c r="I583" i="1"/>
  <c r="H583" i="1"/>
  <c r="G583" i="1"/>
  <c r="F583" i="1"/>
  <c r="N582" i="1"/>
  <c r="M582" i="1"/>
  <c r="L582" i="1"/>
  <c r="K582" i="1"/>
  <c r="I582" i="1"/>
  <c r="H582" i="1"/>
  <c r="G582" i="1"/>
  <c r="F582" i="1"/>
  <c r="N581" i="1"/>
  <c r="M581" i="1"/>
  <c r="L581" i="1"/>
  <c r="K581" i="1"/>
  <c r="I581" i="1"/>
  <c r="H581" i="1"/>
  <c r="G581" i="1"/>
  <c r="F581" i="1"/>
  <c r="N580" i="1"/>
  <c r="M580" i="1"/>
  <c r="L580" i="1"/>
  <c r="K580" i="1"/>
  <c r="I580" i="1"/>
  <c r="H580" i="1"/>
  <c r="G580" i="1"/>
  <c r="F580" i="1"/>
  <c r="N579" i="1"/>
  <c r="M579" i="1"/>
  <c r="L579" i="1"/>
  <c r="K579" i="1"/>
  <c r="I579" i="1"/>
  <c r="H579" i="1"/>
  <c r="G579" i="1"/>
  <c r="F579" i="1"/>
  <c r="N578" i="1"/>
  <c r="M578" i="1"/>
  <c r="L578" i="1"/>
  <c r="K578" i="1"/>
  <c r="I578" i="1"/>
  <c r="H578" i="1"/>
  <c r="G578" i="1"/>
  <c r="F578" i="1"/>
  <c r="N577" i="1"/>
  <c r="M577" i="1"/>
  <c r="L577" i="1"/>
  <c r="K577" i="1"/>
  <c r="I577" i="1"/>
  <c r="H577" i="1"/>
  <c r="G577" i="1"/>
  <c r="F577" i="1"/>
  <c r="N576" i="1"/>
  <c r="M576" i="1"/>
  <c r="L576" i="1"/>
  <c r="K576" i="1"/>
  <c r="I576" i="1"/>
  <c r="H576" i="1"/>
  <c r="G576" i="1"/>
  <c r="F576" i="1"/>
  <c r="N575" i="1"/>
  <c r="M575" i="1"/>
  <c r="L575" i="1"/>
  <c r="K575" i="1"/>
  <c r="I575" i="1"/>
  <c r="H575" i="1"/>
  <c r="G575" i="1"/>
  <c r="F575" i="1"/>
  <c r="N574" i="1"/>
  <c r="M574" i="1"/>
  <c r="L574" i="1"/>
  <c r="K574" i="1"/>
  <c r="I574" i="1"/>
  <c r="H574" i="1"/>
  <c r="G574" i="1"/>
  <c r="F574" i="1"/>
  <c r="N573" i="1"/>
  <c r="M573" i="1"/>
  <c r="L573" i="1"/>
  <c r="K573" i="1"/>
  <c r="I573" i="1"/>
  <c r="H573" i="1"/>
  <c r="G573" i="1"/>
  <c r="F573" i="1"/>
  <c r="N572" i="1"/>
  <c r="M572" i="1"/>
  <c r="L572" i="1"/>
  <c r="K572" i="1"/>
  <c r="I572" i="1"/>
  <c r="H572" i="1"/>
  <c r="G572" i="1"/>
  <c r="F572" i="1"/>
  <c r="N571" i="1"/>
  <c r="M571" i="1"/>
  <c r="L571" i="1"/>
  <c r="K571" i="1"/>
  <c r="I571" i="1"/>
  <c r="H571" i="1"/>
  <c r="G571" i="1"/>
  <c r="F571" i="1"/>
  <c r="N570" i="1"/>
  <c r="M570" i="1"/>
  <c r="L570" i="1"/>
  <c r="K570" i="1"/>
  <c r="I570" i="1"/>
  <c r="H570" i="1"/>
  <c r="G570" i="1"/>
  <c r="F570" i="1"/>
  <c r="N569" i="1"/>
  <c r="M569" i="1"/>
  <c r="L569" i="1"/>
  <c r="K569" i="1"/>
  <c r="I569" i="1"/>
  <c r="H569" i="1"/>
  <c r="G569" i="1"/>
  <c r="F569" i="1"/>
  <c r="N568" i="1"/>
  <c r="M568" i="1"/>
  <c r="L568" i="1"/>
  <c r="K568" i="1"/>
  <c r="I568" i="1"/>
  <c r="H568" i="1"/>
  <c r="G568" i="1"/>
  <c r="F568" i="1"/>
  <c r="N567" i="1"/>
  <c r="M567" i="1"/>
  <c r="L567" i="1"/>
  <c r="K567" i="1"/>
  <c r="I567" i="1"/>
  <c r="H567" i="1"/>
  <c r="G567" i="1"/>
  <c r="F567" i="1"/>
  <c r="N566" i="1"/>
  <c r="M566" i="1"/>
  <c r="L566" i="1"/>
  <c r="K566" i="1"/>
  <c r="I566" i="1"/>
  <c r="H566" i="1"/>
  <c r="G566" i="1"/>
  <c r="F566" i="1"/>
  <c r="N565" i="1"/>
  <c r="M565" i="1"/>
  <c r="L565" i="1"/>
  <c r="K565" i="1"/>
  <c r="I565" i="1"/>
  <c r="H565" i="1"/>
  <c r="G565" i="1"/>
  <c r="F565" i="1"/>
  <c r="N564" i="1"/>
  <c r="M564" i="1"/>
  <c r="L564" i="1"/>
  <c r="K564" i="1"/>
  <c r="I564" i="1"/>
  <c r="H564" i="1"/>
  <c r="G564" i="1"/>
  <c r="F564" i="1"/>
  <c r="N563" i="1"/>
  <c r="M563" i="1"/>
  <c r="L563" i="1"/>
  <c r="K563" i="1"/>
  <c r="I563" i="1"/>
  <c r="H563" i="1"/>
  <c r="G563" i="1"/>
  <c r="F563" i="1"/>
  <c r="N562" i="1"/>
  <c r="M562" i="1"/>
  <c r="L562" i="1"/>
  <c r="K562" i="1"/>
  <c r="I562" i="1"/>
  <c r="H562" i="1"/>
  <c r="G562" i="1"/>
  <c r="F562" i="1"/>
  <c r="N561" i="1"/>
  <c r="M561" i="1"/>
  <c r="L561" i="1"/>
  <c r="K561" i="1"/>
  <c r="I561" i="1"/>
  <c r="H561" i="1"/>
  <c r="G561" i="1"/>
  <c r="F561" i="1"/>
  <c r="N560" i="1"/>
  <c r="M560" i="1"/>
  <c r="L560" i="1"/>
  <c r="K560" i="1"/>
  <c r="I560" i="1"/>
  <c r="H560" i="1"/>
  <c r="G560" i="1"/>
  <c r="F560" i="1"/>
  <c r="N559" i="1"/>
  <c r="M559" i="1"/>
  <c r="L559" i="1"/>
  <c r="K559" i="1"/>
  <c r="I559" i="1"/>
  <c r="H559" i="1"/>
  <c r="G559" i="1"/>
  <c r="F559" i="1"/>
  <c r="N558" i="1"/>
  <c r="M558" i="1"/>
  <c r="L558" i="1"/>
  <c r="K558" i="1"/>
  <c r="I558" i="1"/>
  <c r="H558" i="1"/>
  <c r="G558" i="1"/>
  <c r="F558" i="1"/>
  <c r="N557" i="1"/>
  <c r="M557" i="1"/>
  <c r="L557" i="1"/>
  <c r="K557" i="1"/>
  <c r="I557" i="1"/>
  <c r="H557" i="1"/>
  <c r="G557" i="1"/>
  <c r="F557" i="1"/>
  <c r="N556" i="1"/>
  <c r="M556" i="1"/>
  <c r="L556" i="1"/>
  <c r="K556" i="1"/>
  <c r="I556" i="1"/>
  <c r="H556" i="1"/>
  <c r="G556" i="1"/>
  <c r="F556" i="1"/>
  <c r="N555" i="1"/>
  <c r="M555" i="1"/>
  <c r="L555" i="1"/>
  <c r="K555" i="1"/>
  <c r="I555" i="1"/>
  <c r="H555" i="1"/>
  <c r="G555" i="1"/>
  <c r="F555" i="1"/>
  <c r="N554" i="1"/>
  <c r="M554" i="1"/>
  <c r="L554" i="1"/>
  <c r="K554" i="1"/>
  <c r="I554" i="1"/>
  <c r="H554" i="1"/>
  <c r="G554" i="1"/>
  <c r="F554" i="1"/>
  <c r="N553" i="1"/>
  <c r="M553" i="1"/>
  <c r="L553" i="1"/>
  <c r="K553" i="1"/>
  <c r="I553" i="1"/>
  <c r="H553" i="1"/>
  <c r="G553" i="1"/>
  <c r="F553" i="1"/>
  <c r="N552" i="1"/>
  <c r="M552" i="1"/>
  <c r="L552" i="1"/>
  <c r="K552" i="1"/>
  <c r="I552" i="1"/>
  <c r="H552" i="1"/>
  <c r="G552" i="1"/>
  <c r="F552" i="1"/>
  <c r="N551" i="1"/>
  <c r="M551" i="1"/>
  <c r="L551" i="1"/>
  <c r="K551" i="1"/>
  <c r="I551" i="1"/>
  <c r="H551" i="1"/>
  <c r="G551" i="1"/>
  <c r="F551" i="1"/>
  <c r="N550" i="1"/>
  <c r="M550" i="1"/>
  <c r="L550" i="1"/>
  <c r="K550" i="1"/>
  <c r="I550" i="1"/>
  <c r="H550" i="1"/>
  <c r="G550" i="1"/>
  <c r="F550" i="1"/>
  <c r="N549" i="1"/>
  <c r="M549" i="1"/>
  <c r="L549" i="1"/>
  <c r="K549" i="1"/>
  <c r="I549" i="1"/>
  <c r="H549" i="1"/>
  <c r="G549" i="1"/>
  <c r="F549" i="1"/>
  <c r="N548" i="1"/>
  <c r="M548" i="1"/>
  <c r="L548" i="1"/>
  <c r="K548" i="1"/>
  <c r="I548" i="1"/>
  <c r="H548" i="1"/>
  <c r="G548" i="1"/>
  <c r="F548" i="1"/>
  <c r="N547" i="1"/>
  <c r="M547" i="1"/>
  <c r="L547" i="1"/>
  <c r="K547" i="1"/>
  <c r="I547" i="1"/>
  <c r="H547" i="1"/>
  <c r="G547" i="1"/>
  <c r="F547" i="1"/>
  <c r="N546" i="1"/>
  <c r="M546" i="1"/>
  <c r="L546" i="1"/>
  <c r="K546" i="1"/>
  <c r="I546" i="1"/>
  <c r="H546" i="1"/>
  <c r="G546" i="1"/>
  <c r="F546" i="1"/>
  <c r="N545" i="1"/>
  <c r="M545" i="1"/>
  <c r="L545" i="1"/>
  <c r="K545" i="1"/>
  <c r="I545" i="1"/>
  <c r="H545" i="1"/>
  <c r="G545" i="1"/>
  <c r="F545" i="1"/>
  <c r="N544" i="1"/>
  <c r="M544" i="1"/>
  <c r="L544" i="1"/>
  <c r="K544" i="1"/>
  <c r="I544" i="1"/>
  <c r="H544" i="1"/>
  <c r="G544" i="1"/>
  <c r="F544" i="1"/>
  <c r="N543" i="1"/>
  <c r="M543" i="1"/>
  <c r="L543" i="1"/>
  <c r="K543" i="1"/>
  <c r="I543" i="1"/>
  <c r="H543" i="1"/>
  <c r="G543" i="1"/>
  <c r="F543" i="1"/>
  <c r="N542" i="1"/>
  <c r="M542" i="1"/>
  <c r="L542" i="1"/>
  <c r="K542" i="1"/>
  <c r="I542" i="1"/>
  <c r="H542" i="1"/>
  <c r="G542" i="1"/>
  <c r="F542" i="1"/>
  <c r="N541" i="1"/>
  <c r="M541" i="1"/>
  <c r="L541" i="1"/>
  <c r="K541" i="1"/>
  <c r="I541" i="1"/>
  <c r="H541" i="1"/>
  <c r="G541" i="1"/>
  <c r="F541" i="1"/>
  <c r="N540" i="1"/>
  <c r="M540" i="1"/>
  <c r="L540" i="1"/>
  <c r="K540" i="1"/>
  <c r="I540" i="1"/>
  <c r="H540" i="1"/>
  <c r="G540" i="1"/>
  <c r="F540" i="1"/>
  <c r="N539" i="1"/>
  <c r="M539" i="1"/>
  <c r="L539" i="1"/>
  <c r="K539" i="1"/>
  <c r="I539" i="1"/>
  <c r="H539" i="1"/>
  <c r="G539" i="1"/>
  <c r="F539" i="1"/>
  <c r="N538" i="1"/>
  <c r="M538" i="1"/>
  <c r="L538" i="1"/>
  <c r="K538" i="1"/>
  <c r="I538" i="1"/>
  <c r="H538" i="1"/>
  <c r="G538" i="1"/>
  <c r="F538" i="1"/>
  <c r="N537" i="1"/>
  <c r="M537" i="1"/>
  <c r="L537" i="1"/>
  <c r="K537" i="1"/>
  <c r="I537" i="1"/>
  <c r="H537" i="1"/>
  <c r="G537" i="1"/>
  <c r="F537" i="1"/>
  <c r="N536" i="1"/>
  <c r="M536" i="1"/>
  <c r="L536" i="1"/>
  <c r="K536" i="1"/>
  <c r="I536" i="1"/>
  <c r="H536" i="1"/>
  <c r="G536" i="1"/>
  <c r="F536" i="1"/>
  <c r="N535" i="1"/>
  <c r="M535" i="1"/>
  <c r="L535" i="1"/>
  <c r="K535" i="1"/>
  <c r="I535" i="1"/>
  <c r="H535" i="1"/>
  <c r="G535" i="1"/>
  <c r="F535" i="1"/>
  <c r="N534" i="1"/>
  <c r="M534" i="1"/>
  <c r="L534" i="1"/>
  <c r="K534" i="1"/>
  <c r="I534" i="1"/>
  <c r="H534" i="1"/>
  <c r="G534" i="1"/>
  <c r="F534" i="1"/>
  <c r="N533" i="1"/>
  <c r="M533" i="1"/>
  <c r="L533" i="1"/>
  <c r="K533" i="1"/>
  <c r="I533" i="1"/>
  <c r="H533" i="1"/>
  <c r="G533" i="1"/>
  <c r="F533" i="1"/>
  <c r="N532" i="1"/>
  <c r="M532" i="1"/>
  <c r="L532" i="1"/>
  <c r="K532" i="1"/>
  <c r="I532" i="1"/>
  <c r="H532" i="1"/>
  <c r="G532" i="1"/>
  <c r="F532" i="1"/>
  <c r="N531" i="1"/>
  <c r="M531" i="1"/>
  <c r="L531" i="1"/>
  <c r="K531" i="1"/>
  <c r="I531" i="1"/>
  <c r="H531" i="1"/>
  <c r="G531" i="1"/>
  <c r="F531" i="1"/>
  <c r="N530" i="1"/>
  <c r="M530" i="1"/>
  <c r="L530" i="1"/>
  <c r="K530" i="1"/>
  <c r="I530" i="1"/>
  <c r="H530" i="1"/>
  <c r="G530" i="1"/>
  <c r="F530" i="1"/>
  <c r="N529" i="1"/>
  <c r="M529" i="1"/>
  <c r="L529" i="1"/>
  <c r="K529" i="1"/>
  <c r="I529" i="1"/>
  <c r="H529" i="1"/>
  <c r="G529" i="1"/>
  <c r="F529" i="1"/>
  <c r="N528" i="1"/>
  <c r="M528" i="1"/>
  <c r="L528" i="1"/>
  <c r="K528" i="1"/>
  <c r="I528" i="1"/>
  <c r="H528" i="1"/>
  <c r="G528" i="1"/>
  <c r="F528" i="1"/>
  <c r="N527" i="1"/>
  <c r="M527" i="1"/>
  <c r="L527" i="1"/>
  <c r="K527" i="1"/>
  <c r="I527" i="1"/>
  <c r="H527" i="1"/>
  <c r="G527" i="1"/>
  <c r="F527" i="1"/>
  <c r="N526" i="1"/>
  <c r="M526" i="1"/>
  <c r="L526" i="1"/>
  <c r="K526" i="1"/>
  <c r="I526" i="1"/>
  <c r="H526" i="1"/>
  <c r="G526" i="1"/>
  <c r="F526" i="1"/>
  <c r="N525" i="1"/>
  <c r="M525" i="1"/>
  <c r="L525" i="1"/>
  <c r="K525" i="1"/>
  <c r="I525" i="1"/>
  <c r="H525" i="1"/>
  <c r="G525" i="1"/>
  <c r="F525" i="1"/>
  <c r="N524" i="1"/>
  <c r="M524" i="1"/>
  <c r="L524" i="1"/>
  <c r="K524" i="1"/>
  <c r="I524" i="1"/>
  <c r="H524" i="1"/>
  <c r="G524" i="1"/>
  <c r="F524" i="1"/>
  <c r="N523" i="1"/>
  <c r="M523" i="1"/>
  <c r="L523" i="1"/>
  <c r="K523" i="1"/>
  <c r="I523" i="1"/>
  <c r="H523" i="1"/>
  <c r="G523" i="1"/>
  <c r="F523" i="1"/>
  <c r="N522" i="1"/>
  <c r="M522" i="1"/>
  <c r="L522" i="1"/>
  <c r="K522" i="1"/>
  <c r="I522" i="1"/>
  <c r="H522" i="1"/>
  <c r="G522" i="1"/>
  <c r="F522" i="1"/>
  <c r="N521" i="1"/>
  <c r="M521" i="1"/>
  <c r="L521" i="1"/>
  <c r="K521" i="1"/>
  <c r="I521" i="1"/>
  <c r="H521" i="1"/>
  <c r="G521" i="1"/>
  <c r="F521" i="1"/>
  <c r="N520" i="1"/>
  <c r="M520" i="1"/>
  <c r="L520" i="1"/>
  <c r="K520" i="1"/>
  <c r="I520" i="1"/>
  <c r="H520" i="1"/>
  <c r="G520" i="1"/>
  <c r="F520" i="1"/>
  <c r="N519" i="1"/>
  <c r="M519" i="1"/>
  <c r="L519" i="1"/>
  <c r="K519" i="1"/>
  <c r="I519" i="1"/>
  <c r="H519" i="1"/>
  <c r="G519" i="1"/>
  <c r="F519" i="1"/>
  <c r="N518" i="1"/>
  <c r="M518" i="1"/>
  <c r="L518" i="1"/>
  <c r="K518" i="1"/>
  <c r="I518" i="1"/>
  <c r="H518" i="1"/>
  <c r="G518" i="1"/>
  <c r="F518" i="1"/>
  <c r="N517" i="1"/>
  <c r="M517" i="1"/>
  <c r="L517" i="1"/>
  <c r="K517" i="1"/>
  <c r="I517" i="1"/>
  <c r="H517" i="1"/>
  <c r="G517" i="1"/>
  <c r="F517" i="1"/>
  <c r="N516" i="1"/>
  <c r="M516" i="1"/>
  <c r="L516" i="1"/>
  <c r="K516" i="1"/>
  <c r="I516" i="1"/>
  <c r="H516" i="1"/>
  <c r="G516" i="1"/>
  <c r="F516" i="1"/>
  <c r="N515" i="1"/>
  <c r="M515" i="1"/>
  <c r="L515" i="1"/>
  <c r="K515" i="1"/>
  <c r="I515" i="1"/>
  <c r="H515" i="1"/>
  <c r="G515" i="1"/>
  <c r="F515" i="1"/>
  <c r="N514" i="1"/>
  <c r="M514" i="1"/>
  <c r="L514" i="1"/>
  <c r="K514" i="1"/>
  <c r="I514" i="1"/>
  <c r="H514" i="1"/>
  <c r="G514" i="1"/>
  <c r="F514" i="1"/>
  <c r="N513" i="1"/>
  <c r="M513" i="1"/>
  <c r="L513" i="1"/>
  <c r="K513" i="1"/>
  <c r="I513" i="1"/>
  <c r="H513" i="1"/>
  <c r="G513" i="1"/>
  <c r="F513" i="1"/>
  <c r="N512" i="1"/>
  <c r="M512" i="1"/>
  <c r="L512" i="1"/>
  <c r="K512" i="1"/>
  <c r="I512" i="1"/>
  <c r="H512" i="1"/>
  <c r="G512" i="1"/>
  <c r="F512" i="1"/>
  <c r="N511" i="1"/>
  <c r="M511" i="1"/>
  <c r="L511" i="1"/>
  <c r="K511" i="1"/>
  <c r="I511" i="1"/>
  <c r="H511" i="1"/>
  <c r="G511" i="1"/>
  <c r="F511" i="1"/>
  <c r="N510" i="1"/>
  <c r="M510" i="1"/>
  <c r="L510" i="1"/>
  <c r="K510" i="1"/>
  <c r="I510" i="1"/>
  <c r="H510" i="1"/>
  <c r="G510" i="1"/>
  <c r="F510" i="1"/>
  <c r="N509" i="1"/>
  <c r="M509" i="1"/>
  <c r="L509" i="1"/>
  <c r="K509" i="1"/>
  <c r="I509" i="1"/>
  <c r="H509" i="1"/>
  <c r="G509" i="1"/>
  <c r="F509" i="1"/>
  <c r="N508" i="1"/>
  <c r="M508" i="1"/>
  <c r="L508" i="1"/>
  <c r="K508" i="1"/>
  <c r="I508" i="1"/>
  <c r="H508" i="1"/>
  <c r="G508" i="1"/>
  <c r="F508" i="1"/>
  <c r="N507" i="1"/>
  <c r="M507" i="1"/>
  <c r="L507" i="1"/>
  <c r="K507" i="1"/>
  <c r="I507" i="1"/>
  <c r="H507" i="1"/>
  <c r="G507" i="1"/>
  <c r="F507" i="1"/>
  <c r="N506" i="1"/>
  <c r="M506" i="1"/>
  <c r="L506" i="1"/>
  <c r="K506" i="1"/>
  <c r="I506" i="1"/>
  <c r="H506" i="1"/>
  <c r="G506" i="1"/>
  <c r="F506" i="1"/>
  <c r="N505" i="1"/>
  <c r="M505" i="1"/>
  <c r="L505" i="1"/>
  <c r="K505" i="1"/>
  <c r="I505" i="1"/>
  <c r="H505" i="1"/>
  <c r="G505" i="1"/>
  <c r="F505" i="1"/>
  <c r="N504" i="1"/>
  <c r="M504" i="1"/>
  <c r="L504" i="1"/>
  <c r="K504" i="1"/>
  <c r="I504" i="1"/>
  <c r="H504" i="1"/>
  <c r="G504" i="1"/>
  <c r="F504" i="1"/>
  <c r="N503" i="1"/>
  <c r="M503" i="1"/>
  <c r="L503" i="1"/>
  <c r="K503" i="1"/>
  <c r="I503" i="1"/>
  <c r="H503" i="1"/>
  <c r="G503" i="1"/>
  <c r="F503" i="1"/>
  <c r="N502" i="1"/>
  <c r="M502" i="1"/>
  <c r="L502" i="1"/>
  <c r="K502" i="1"/>
  <c r="I502" i="1"/>
  <c r="H502" i="1"/>
  <c r="G502" i="1"/>
  <c r="F502" i="1"/>
  <c r="N501" i="1"/>
  <c r="M501" i="1"/>
  <c r="L501" i="1"/>
  <c r="K501" i="1"/>
  <c r="I501" i="1"/>
  <c r="H501" i="1"/>
  <c r="G501" i="1"/>
  <c r="F501" i="1"/>
  <c r="N500" i="1"/>
  <c r="M500" i="1"/>
  <c r="L500" i="1"/>
  <c r="K500" i="1"/>
  <c r="I500" i="1"/>
  <c r="H500" i="1"/>
  <c r="G500" i="1"/>
  <c r="F500" i="1"/>
  <c r="N499" i="1"/>
  <c r="M499" i="1"/>
  <c r="L499" i="1"/>
  <c r="K499" i="1"/>
  <c r="I499" i="1"/>
  <c r="H499" i="1"/>
  <c r="G499" i="1"/>
  <c r="F499" i="1"/>
  <c r="N498" i="1"/>
  <c r="M498" i="1"/>
  <c r="L498" i="1"/>
  <c r="K498" i="1"/>
  <c r="I498" i="1"/>
  <c r="H498" i="1"/>
  <c r="G498" i="1"/>
  <c r="F498" i="1"/>
  <c r="N497" i="1"/>
  <c r="M497" i="1"/>
  <c r="L497" i="1"/>
  <c r="K497" i="1"/>
  <c r="I497" i="1"/>
  <c r="H497" i="1"/>
  <c r="G497" i="1"/>
  <c r="F497" i="1"/>
  <c r="N496" i="1"/>
  <c r="M496" i="1"/>
  <c r="L496" i="1"/>
  <c r="K496" i="1"/>
  <c r="I496" i="1"/>
  <c r="H496" i="1"/>
  <c r="G496" i="1"/>
  <c r="F496" i="1"/>
  <c r="N495" i="1"/>
  <c r="M495" i="1"/>
  <c r="L495" i="1"/>
  <c r="K495" i="1"/>
  <c r="I495" i="1"/>
  <c r="H495" i="1"/>
  <c r="G495" i="1"/>
  <c r="F495" i="1"/>
  <c r="N494" i="1"/>
  <c r="M494" i="1"/>
  <c r="L494" i="1"/>
  <c r="K494" i="1"/>
  <c r="I494" i="1"/>
  <c r="H494" i="1"/>
  <c r="G494" i="1"/>
  <c r="F494" i="1"/>
  <c r="N493" i="1"/>
  <c r="M493" i="1"/>
  <c r="L493" i="1"/>
  <c r="K493" i="1"/>
  <c r="I493" i="1"/>
  <c r="H493" i="1"/>
  <c r="G493" i="1"/>
  <c r="F493" i="1"/>
  <c r="N492" i="1"/>
  <c r="M492" i="1"/>
  <c r="L492" i="1"/>
  <c r="K492" i="1"/>
  <c r="I492" i="1"/>
  <c r="H492" i="1"/>
  <c r="G492" i="1"/>
  <c r="F492" i="1"/>
  <c r="N491" i="1"/>
  <c r="M491" i="1"/>
  <c r="L491" i="1"/>
  <c r="K491" i="1"/>
  <c r="I491" i="1"/>
  <c r="H491" i="1"/>
  <c r="G491" i="1"/>
  <c r="F491" i="1"/>
  <c r="N490" i="1"/>
  <c r="M490" i="1"/>
  <c r="L490" i="1"/>
  <c r="K490" i="1"/>
  <c r="I490" i="1"/>
  <c r="H490" i="1"/>
  <c r="G490" i="1"/>
  <c r="F490" i="1"/>
  <c r="N489" i="1"/>
  <c r="M489" i="1"/>
  <c r="L489" i="1"/>
  <c r="K489" i="1"/>
  <c r="I489" i="1"/>
  <c r="H489" i="1"/>
  <c r="G489" i="1"/>
  <c r="F489" i="1"/>
  <c r="N488" i="1"/>
  <c r="M488" i="1"/>
  <c r="L488" i="1"/>
  <c r="K488" i="1"/>
  <c r="I488" i="1"/>
  <c r="H488" i="1"/>
  <c r="G488" i="1"/>
  <c r="F488" i="1"/>
  <c r="N487" i="1"/>
  <c r="M487" i="1"/>
  <c r="L487" i="1"/>
  <c r="K487" i="1"/>
  <c r="I487" i="1"/>
  <c r="H487" i="1"/>
  <c r="G487" i="1"/>
  <c r="F487" i="1"/>
  <c r="N486" i="1"/>
  <c r="M486" i="1"/>
  <c r="L486" i="1"/>
  <c r="K486" i="1"/>
  <c r="I486" i="1"/>
  <c r="H486" i="1"/>
  <c r="G486" i="1"/>
  <c r="F486" i="1"/>
  <c r="N485" i="1"/>
  <c r="M485" i="1"/>
  <c r="L485" i="1"/>
  <c r="K485" i="1"/>
  <c r="I485" i="1"/>
  <c r="H485" i="1"/>
  <c r="G485" i="1"/>
  <c r="F485" i="1"/>
  <c r="N484" i="1"/>
  <c r="M484" i="1"/>
  <c r="L484" i="1"/>
  <c r="K484" i="1"/>
  <c r="I484" i="1"/>
  <c r="H484" i="1"/>
  <c r="G484" i="1"/>
  <c r="F484" i="1"/>
  <c r="N483" i="1"/>
  <c r="M483" i="1"/>
  <c r="L483" i="1"/>
  <c r="K483" i="1"/>
  <c r="I483" i="1"/>
  <c r="H483" i="1"/>
  <c r="G483" i="1"/>
  <c r="F483" i="1"/>
  <c r="N482" i="1"/>
  <c r="M482" i="1"/>
  <c r="L482" i="1"/>
  <c r="K482" i="1"/>
  <c r="I482" i="1"/>
  <c r="H482" i="1"/>
  <c r="G482" i="1"/>
  <c r="F482" i="1"/>
  <c r="N481" i="1"/>
  <c r="M481" i="1"/>
  <c r="L481" i="1"/>
  <c r="K481" i="1"/>
  <c r="I481" i="1"/>
  <c r="H481" i="1"/>
  <c r="G481" i="1"/>
  <c r="F481" i="1"/>
  <c r="N480" i="1"/>
  <c r="M480" i="1"/>
  <c r="L480" i="1"/>
  <c r="K480" i="1"/>
  <c r="I480" i="1"/>
  <c r="H480" i="1"/>
  <c r="G480" i="1"/>
  <c r="F480" i="1"/>
  <c r="N479" i="1"/>
  <c r="M479" i="1"/>
  <c r="L479" i="1"/>
  <c r="K479" i="1"/>
  <c r="I479" i="1"/>
  <c r="H479" i="1"/>
  <c r="G479" i="1"/>
  <c r="F479" i="1"/>
  <c r="N478" i="1"/>
  <c r="M478" i="1"/>
  <c r="L478" i="1"/>
  <c r="K478" i="1"/>
  <c r="I478" i="1"/>
  <c r="H478" i="1"/>
  <c r="G478" i="1"/>
  <c r="F478" i="1"/>
  <c r="N477" i="1"/>
  <c r="M477" i="1"/>
  <c r="L477" i="1"/>
  <c r="K477" i="1"/>
  <c r="I477" i="1"/>
  <c r="H477" i="1"/>
  <c r="G477" i="1"/>
  <c r="F477" i="1"/>
  <c r="N476" i="1"/>
  <c r="M476" i="1"/>
  <c r="L476" i="1"/>
  <c r="K476" i="1"/>
  <c r="I476" i="1"/>
  <c r="H476" i="1"/>
  <c r="G476" i="1"/>
  <c r="F476" i="1"/>
  <c r="N475" i="1"/>
  <c r="M475" i="1"/>
  <c r="L475" i="1"/>
  <c r="K475" i="1"/>
  <c r="I475" i="1"/>
  <c r="H475" i="1"/>
  <c r="G475" i="1"/>
  <c r="F475" i="1"/>
  <c r="N474" i="1"/>
  <c r="M474" i="1"/>
  <c r="L474" i="1"/>
  <c r="K474" i="1"/>
  <c r="I474" i="1"/>
  <c r="H474" i="1"/>
  <c r="G474" i="1"/>
  <c r="F474" i="1"/>
  <c r="N473" i="1"/>
  <c r="M473" i="1"/>
  <c r="L473" i="1"/>
  <c r="K473" i="1"/>
  <c r="I473" i="1"/>
  <c r="H473" i="1"/>
  <c r="G473" i="1"/>
  <c r="F473" i="1"/>
  <c r="N472" i="1"/>
  <c r="M472" i="1"/>
  <c r="L472" i="1"/>
  <c r="K472" i="1"/>
  <c r="I472" i="1"/>
  <c r="H472" i="1"/>
  <c r="G472" i="1"/>
  <c r="F472" i="1"/>
  <c r="N471" i="1"/>
  <c r="M471" i="1"/>
  <c r="L471" i="1"/>
  <c r="K471" i="1"/>
  <c r="I471" i="1"/>
  <c r="H471" i="1"/>
  <c r="G471" i="1"/>
  <c r="F471" i="1"/>
  <c r="N470" i="1"/>
  <c r="M470" i="1"/>
  <c r="L470" i="1"/>
  <c r="K470" i="1"/>
  <c r="I470" i="1"/>
  <c r="H470" i="1"/>
  <c r="G470" i="1"/>
  <c r="F470" i="1"/>
  <c r="N469" i="1"/>
  <c r="M469" i="1"/>
  <c r="L469" i="1"/>
  <c r="K469" i="1"/>
  <c r="I469" i="1"/>
  <c r="H469" i="1"/>
  <c r="G469" i="1"/>
  <c r="F469" i="1"/>
  <c r="N468" i="1"/>
  <c r="M468" i="1"/>
  <c r="L468" i="1"/>
  <c r="K468" i="1"/>
  <c r="I468" i="1"/>
  <c r="H468" i="1"/>
  <c r="G468" i="1"/>
  <c r="F468" i="1"/>
  <c r="N467" i="1"/>
  <c r="M467" i="1"/>
  <c r="L467" i="1"/>
  <c r="K467" i="1"/>
  <c r="I467" i="1"/>
  <c r="H467" i="1"/>
  <c r="G467" i="1"/>
  <c r="F467" i="1"/>
  <c r="N466" i="1"/>
  <c r="M466" i="1"/>
  <c r="L466" i="1"/>
  <c r="K466" i="1"/>
  <c r="I466" i="1"/>
  <c r="H466" i="1"/>
  <c r="G466" i="1"/>
  <c r="F466" i="1"/>
  <c r="N465" i="1"/>
  <c r="M465" i="1"/>
  <c r="L465" i="1"/>
  <c r="K465" i="1"/>
  <c r="I465" i="1"/>
  <c r="H465" i="1"/>
  <c r="G465" i="1"/>
  <c r="F465" i="1"/>
  <c r="N464" i="1"/>
  <c r="M464" i="1"/>
  <c r="L464" i="1"/>
  <c r="K464" i="1"/>
  <c r="I464" i="1"/>
  <c r="H464" i="1"/>
  <c r="G464" i="1"/>
  <c r="F464" i="1"/>
  <c r="N463" i="1"/>
  <c r="M463" i="1"/>
  <c r="L463" i="1"/>
  <c r="K463" i="1"/>
  <c r="I463" i="1"/>
  <c r="H463" i="1"/>
  <c r="G463" i="1"/>
  <c r="F463" i="1"/>
  <c r="N462" i="1"/>
  <c r="M462" i="1"/>
  <c r="L462" i="1"/>
  <c r="K462" i="1"/>
  <c r="I462" i="1"/>
  <c r="H462" i="1"/>
  <c r="G462" i="1"/>
  <c r="F462" i="1"/>
  <c r="N461" i="1"/>
  <c r="M461" i="1"/>
  <c r="L461" i="1"/>
  <c r="K461" i="1"/>
  <c r="I461" i="1"/>
  <c r="H461" i="1"/>
  <c r="G461" i="1"/>
  <c r="F461" i="1"/>
  <c r="N460" i="1"/>
  <c r="M460" i="1"/>
  <c r="L460" i="1"/>
  <c r="K460" i="1"/>
  <c r="I460" i="1"/>
  <c r="H460" i="1"/>
  <c r="G460" i="1"/>
  <c r="F460" i="1"/>
  <c r="N459" i="1"/>
  <c r="M459" i="1"/>
  <c r="L459" i="1"/>
  <c r="K459" i="1"/>
  <c r="I459" i="1"/>
  <c r="H459" i="1"/>
  <c r="G459" i="1"/>
  <c r="F459" i="1"/>
  <c r="N458" i="1"/>
  <c r="M458" i="1"/>
  <c r="L458" i="1"/>
  <c r="K458" i="1"/>
  <c r="I458" i="1"/>
  <c r="H458" i="1"/>
  <c r="G458" i="1"/>
  <c r="F458" i="1"/>
  <c r="N457" i="1"/>
  <c r="M457" i="1"/>
  <c r="L457" i="1"/>
  <c r="K457" i="1"/>
  <c r="I457" i="1"/>
  <c r="H457" i="1"/>
  <c r="G457" i="1"/>
  <c r="F457" i="1"/>
  <c r="N456" i="1"/>
  <c r="M456" i="1"/>
  <c r="L456" i="1"/>
  <c r="K456" i="1"/>
  <c r="I456" i="1"/>
  <c r="H456" i="1"/>
  <c r="G456" i="1"/>
  <c r="F456" i="1"/>
  <c r="N455" i="1"/>
  <c r="M455" i="1"/>
  <c r="L455" i="1"/>
  <c r="K455" i="1"/>
  <c r="I455" i="1"/>
  <c r="H455" i="1"/>
  <c r="G455" i="1"/>
  <c r="F455" i="1"/>
  <c r="N454" i="1"/>
  <c r="M454" i="1"/>
  <c r="L454" i="1"/>
  <c r="K454" i="1"/>
  <c r="I454" i="1"/>
  <c r="H454" i="1"/>
  <c r="G454" i="1"/>
  <c r="F454" i="1"/>
  <c r="N453" i="1"/>
  <c r="M453" i="1"/>
  <c r="L453" i="1"/>
  <c r="K453" i="1"/>
  <c r="I453" i="1"/>
  <c r="H453" i="1"/>
  <c r="G453" i="1"/>
  <c r="F453" i="1"/>
  <c r="N452" i="1"/>
  <c r="M452" i="1"/>
  <c r="L452" i="1"/>
  <c r="K452" i="1"/>
  <c r="I452" i="1"/>
  <c r="H452" i="1"/>
  <c r="G452" i="1"/>
  <c r="F452" i="1"/>
  <c r="N451" i="1"/>
  <c r="M451" i="1"/>
  <c r="L451" i="1"/>
  <c r="K451" i="1"/>
  <c r="I451" i="1"/>
  <c r="H451" i="1"/>
  <c r="G451" i="1"/>
  <c r="F451" i="1"/>
  <c r="N450" i="1"/>
  <c r="M450" i="1"/>
  <c r="L450" i="1"/>
  <c r="K450" i="1"/>
  <c r="I450" i="1"/>
  <c r="H450" i="1"/>
  <c r="G450" i="1"/>
  <c r="F450" i="1"/>
  <c r="N449" i="1"/>
  <c r="M449" i="1"/>
  <c r="L449" i="1"/>
  <c r="K449" i="1"/>
  <c r="I449" i="1"/>
  <c r="H449" i="1"/>
  <c r="G449" i="1"/>
  <c r="F449" i="1"/>
  <c r="N448" i="1"/>
  <c r="M448" i="1"/>
  <c r="L448" i="1"/>
  <c r="K448" i="1"/>
  <c r="I448" i="1"/>
  <c r="H448" i="1"/>
  <c r="G448" i="1"/>
  <c r="F448" i="1"/>
  <c r="N447" i="1"/>
  <c r="M447" i="1"/>
  <c r="L447" i="1"/>
  <c r="K447" i="1"/>
  <c r="I447" i="1"/>
  <c r="H447" i="1"/>
  <c r="G447" i="1"/>
  <c r="F447" i="1"/>
  <c r="N446" i="1"/>
  <c r="M446" i="1"/>
  <c r="L446" i="1"/>
  <c r="K446" i="1"/>
  <c r="I446" i="1"/>
  <c r="H446" i="1"/>
  <c r="G446" i="1"/>
  <c r="F446" i="1"/>
  <c r="N445" i="1"/>
  <c r="M445" i="1"/>
  <c r="L445" i="1"/>
  <c r="K445" i="1"/>
  <c r="I445" i="1"/>
  <c r="H445" i="1"/>
  <c r="G445" i="1"/>
  <c r="F445" i="1"/>
  <c r="N444" i="1"/>
  <c r="M444" i="1"/>
  <c r="L444" i="1"/>
  <c r="K444" i="1"/>
  <c r="I444" i="1"/>
  <c r="H444" i="1"/>
  <c r="G444" i="1"/>
  <c r="F444" i="1"/>
  <c r="N443" i="1"/>
  <c r="M443" i="1"/>
  <c r="L443" i="1"/>
  <c r="K443" i="1"/>
  <c r="I443" i="1"/>
  <c r="H443" i="1"/>
  <c r="G443" i="1"/>
  <c r="F443" i="1"/>
  <c r="N442" i="1"/>
  <c r="M442" i="1"/>
  <c r="L442" i="1"/>
  <c r="K442" i="1"/>
  <c r="I442" i="1"/>
  <c r="H442" i="1"/>
  <c r="G442" i="1"/>
  <c r="F442" i="1"/>
  <c r="N441" i="1"/>
  <c r="M441" i="1"/>
  <c r="L441" i="1"/>
  <c r="K441" i="1"/>
  <c r="I441" i="1"/>
  <c r="H441" i="1"/>
  <c r="G441" i="1"/>
  <c r="F441" i="1"/>
  <c r="N440" i="1"/>
  <c r="M440" i="1"/>
  <c r="L440" i="1"/>
  <c r="K440" i="1"/>
  <c r="I440" i="1"/>
  <c r="H440" i="1"/>
  <c r="G440" i="1"/>
  <c r="F440" i="1"/>
  <c r="N439" i="1"/>
  <c r="M439" i="1"/>
  <c r="L439" i="1"/>
  <c r="K439" i="1"/>
  <c r="I439" i="1"/>
  <c r="H439" i="1"/>
  <c r="G439" i="1"/>
  <c r="F439" i="1"/>
  <c r="N438" i="1"/>
  <c r="M438" i="1"/>
  <c r="L438" i="1"/>
  <c r="K438" i="1"/>
  <c r="I438" i="1"/>
  <c r="H438" i="1"/>
  <c r="G438" i="1"/>
  <c r="F438" i="1"/>
  <c r="N437" i="1"/>
  <c r="M437" i="1"/>
  <c r="L437" i="1"/>
  <c r="K437" i="1"/>
  <c r="I437" i="1"/>
  <c r="H437" i="1"/>
  <c r="G437" i="1"/>
  <c r="F437" i="1"/>
  <c r="N436" i="1"/>
  <c r="M436" i="1"/>
  <c r="L436" i="1"/>
  <c r="K436" i="1"/>
  <c r="I436" i="1"/>
  <c r="H436" i="1"/>
  <c r="G436" i="1"/>
  <c r="F436" i="1"/>
  <c r="N435" i="1"/>
  <c r="M435" i="1"/>
  <c r="L435" i="1"/>
  <c r="K435" i="1"/>
  <c r="I435" i="1"/>
  <c r="H435" i="1"/>
  <c r="G435" i="1"/>
  <c r="F435" i="1"/>
  <c r="N434" i="1"/>
  <c r="M434" i="1"/>
  <c r="L434" i="1"/>
  <c r="K434" i="1"/>
  <c r="I434" i="1"/>
  <c r="H434" i="1"/>
  <c r="G434" i="1"/>
  <c r="F434" i="1"/>
  <c r="N433" i="1"/>
  <c r="M433" i="1"/>
  <c r="L433" i="1"/>
  <c r="K433" i="1"/>
  <c r="I433" i="1"/>
  <c r="H433" i="1"/>
  <c r="G433" i="1"/>
  <c r="F433" i="1"/>
  <c r="N432" i="1"/>
  <c r="M432" i="1"/>
  <c r="L432" i="1"/>
  <c r="K432" i="1"/>
  <c r="I432" i="1"/>
  <c r="H432" i="1"/>
  <c r="G432" i="1"/>
  <c r="F432" i="1"/>
  <c r="N431" i="1"/>
  <c r="M431" i="1"/>
  <c r="L431" i="1"/>
  <c r="K431" i="1"/>
  <c r="I431" i="1"/>
  <c r="H431" i="1"/>
  <c r="G431" i="1"/>
  <c r="F431" i="1"/>
  <c r="N430" i="1"/>
  <c r="M430" i="1"/>
  <c r="L430" i="1"/>
  <c r="K430" i="1"/>
  <c r="I430" i="1"/>
  <c r="H430" i="1"/>
  <c r="G430" i="1"/>
  <c r="F430" i="1"/>
  <c r="N429" i="1"/>
  <c r="M429" i="1"/>
  <c r="L429" i="1"/>
  <c r="K429" i="1"/>
  <c r="I429" i="1"/>
  <c r="H429" i="1"/>
  <c r="G429" i="1"/>
  <c r="F429" i="1"/>
  <c r="N428" i="1"/>
  <c r="M428" i="1"/>
  <c r="L428" i="1"/>
  <c r="K428" i="1"/>
  <c r="I428" i="1"/>
  <c r="H428" i="1"/>
  <c r="G428" i="1"/>
  <c r="F428" i="1"/>
  <c r="N427" i="1"/>
  <c r="M427" i="1"/>
  <c r="L427" i="1"/>
  <c r="K427" i="1"/>
  <c r="I427" i="1"/>
  <c r="H427" i="1"/>
  <c r="G427" i="1"/>
  <c r="F427" i="1"/>
  <c r="N426" i="1"/>
  <c r="M426" i="1"/>
  <c r="L426" i="1"/>
  <c r="K426" i="1"/>
  <c r="I426" i="1"/>
  <c r="H426" i="1"/>
  <c r="G426" i="1"/>
  <c r="F426" i="1"/>
  <c r="N425" i="1"/>
  <c r="M425" i="1"/>
  <c r="L425" i="1"/>
  <c r="K425" i="1"/>
  <c r="I425" i="1"/>
  <c r="H425" i="1"/>
  <c r="G425" i="1"/>
  <c r="F425" i="1"/>
  <c r="N424" i="1"/>
  <c r="M424" i="1"/>
  <c r="L424" i="1"/>
  <c r="K424" i="1"/>
  <c r="I424" i="1"/>
  <c r="H424" i="1"/>
  <c r="G424" i="1"/>
  <c r="F424" i="1"/>
  <c r="N423" i="1"/>
  <c r="M423" i="1"/>
  <c r="L423" i="1"/>
  <c r="K423" i="1"/>
  <c r="I423" i="1"/>
  <c r="H423" i="1"/>
  <c r="G423" i="1"/>
  <c r="F423" i="1"/>
  <c r="N422" i="1"/>
  <c r="M422" i="1"/>
  <c r="L422" i="1"/>
  <c r="K422" i="1"/>
  <c r="I422" i="1"/>
  <c r="H422" i="1"/>
  <c r="G422" i="1"/>
  <c r="F422" i="1"/>
  <c r="N421" i="1"/>
  <c r="M421" i="1"/>
  <c r="L421" i="1"/>
  <c r="K421" i="1"/>
  <c r="I421" i="1"/>
  <c r="H421" i="1"/>
  <c r="G421" i="1"/>
  <c r="F421" i="1"/>
  <c r="N420" i="1"/>
  <c r="M420" i="1"/>
  <c r="L420" i="1"/>
  <c r="K420" i="1"/>
  <c r="I420" i="1"/>
  <c r="H420" i="1"/>
  <c r="G420" i="1"/>
  <c r="F420" i="1"/>
  <c r="N419" i="1"/>
  <c r="M419" i="1"/>
  <c r="L419" i="1"/>
  <c r="K419" i="1"/>
  <c r="I419" i="1"/>
  <c r="H419" i="1"/>
  <c r="G419" i="1"/>
  <c r="F419" i="1"/>
  <c r="N418" i="1"/>
  <c r="M418" i="1"/>
  <c r="L418" i="1"/>
  <c r="K418" i="1"/>
  <c r="I418" i="1"/>
  <c r="H418" i="1"/>
  <c r="G418" i="1"/>
  <c r="F418" i="1"/>
  <c r="N417" i="1"/>
  <c r="M417" i="1"/>
  <c r="L417" i="1"/>
  <c r="K417" i="1"/>
  <c r="I417" i="1"/>
  <c r="H417" i="1"/>
  <c r="G417" i="1"/>
  <c r="F417" i="1"/>
  <c r="N416" i="1"/>
  <c r="M416" i="1"/>
  <c r="L416" i="1"/>
  <c r="K416" i="1"/>
  <c r="I416" i="1"/>
  <c r="H416" i="1"/>
  <c r="G416" i="1"/>
  <c r="F416" i="1"/>
  <c r="N415" i="1"/>
  <c r="M415" i="1"/>
  <c r="L415" i="1"/>
  <c r="K415" i="1"/>
  <c r="I415" i="1"/>
  <c r="H415" i="1"/>
  <c r="G415" i="1"/>
  <c r="F415" i="1"/>
  <c r="N414" i="1"/>
  <c r="M414" i="1"/>
  <c r="L414" i="1"/>
  <c r="K414" i="1"/>
  <c r="I414" i="1"/>
  <c r="H414" i="1"/>
  <c r="G414" i="1"/>
  <c r="F414" i="1"/>
  <c r="N413" i="1"/>
  <c r="M413" i="1"/>
  <c r="L413" i="1"/>
  <c r="K413" i="1"/>
  <c r="I413" i="1"/>
  <c r="H413" i="1"/>
  <c r="G413" i="1"/>
  <c r="F413" i="1"/>
  <c r="N412" i="1"/>
  <c r="M412" i="1"/>
  <c r="L412" i="1"/>
  <c r="K412" i="1"/>
  <c r="I412" i="1"/>
  <c r="H412" i="1"/>
  <c r="G412" i="1"/>
  <c r="F412" i="1"/>
  <c r="N411" i="1"/>
  <c r="M411" i="1"/>
  <c r="L411" i="1"/>
  <c r="K411" i="1"/>
  <c r="I411" i="1"/>
  <c r="H411" i="1"/>
  <c r="G411" i="1"/>
  <c r="F411" i="1"/>
  <c r="N410" i="1"/>
  <c r="M410" i="1"/>
  <c r="L410" i="1"/>
  <c r="K410" i="1"/>
  <c r="I410" i="1"/>
  <c r="H410" i="1"/>
  <c r="G410" i="1"/>
  <c r="F410" i="1"/>
  <c r="N409" i="1"/>
  <c r="M409" i="1"/>
  <c r="L409" i="1"/>
  <c r="K409" i="1"/>
  <c r="I409" i="1"/>
  <c r="H409" i="1"/>
  <c r="G409" i="1"/>
  <c r="F409" i="1"/>
  <c r="N408" i="1"/>
  <c r="M408" i="1"/>
  <c r="L408" i="1"/>
  <c r="K408" i="1"/>
  <c r="I408" i="1"/>
  <c r="H408" i="1"/>
  <c r="G408" i="1"/>
  <c r="F408" i="1"/>
  <c r="N407" i="1"/>
  <c r="M407" i="1"/>
  <c r="L407" i="1"/>
  <c r="K407" i="1"/>
  <c r="I407" i="1"/>
  <c r="H407" i="1"/>
  <c r="G407" i="1"/>
  <c r="F407" i="1"/>
  <c r="N406" i="1"/>
  <c r="M406" i="1"/>
  <c r="L406" i="1"/>
  <c r="K406" i="1"/>
  <c r="I406" i="1"/>
  <c r="H406" i="1"/>
  <c r="G406" i="1"/>
  <c r="F406" i="1"/>
  <c r="N405" i="1"/>
  <c r="M405" i="1"/>
  <c r="L405" i="1"/>
  <c r="K405" i="1"/>
  <c r="I405" i="1"/>
  <c r="H405" i="1"/>
  <c r="G405" i="1"/>
  <c r="F405" i="1"/>
  <c r="N404" i="1"/>
  <c r="M404" i="1"/>
  <c r="L404" i="1"/>
  <c r="K404" i="1"/>
  <c r="I404" i="1"/>
  <c r="H404" i="1"/>
  <c r="G404" i="1"/>
  <c r="F404" i="1"/>
  <c r="N403" i="1"/>
  <c r="M403" i="1"/>
  <c r="L403" i="1"/>
  <c r="K403" i="1"/>
  <c r="I403" i="1"/>
  <c r="H403" i="1"/>
  <c r="G403" i="1"/>
  <c r="F403" i="1"/>
  <c r="N402" i="1"/>
  <c r="M402" i="1"/>
  <c r="L402" i="1"/>
  <c r="K402" i="1"/>
  <c r="I402" i="1"/>
  <c r="H402" i="1"/>
  <c r="G402" i="1"/>
  <c r="F402" i="1"/>
  <c r="N401" i="1"/>
  <c r="M401" i="1"/>
  <c r="L401" i="1"/>
  <c r="K401" i="1"/>
  <c r="I401" i="1"/>
  <c r="H401" i="1"/>
  <c r="G401" i="1"/>
  <c r="F401" i="1"/>
  <c r="N400" i="1"/>
  <c r="M400" i="1"/>
  <c r="L400" i="1"/>
  <c r="K400" i="1"/>
  <c r="I400" i="1"/>
  <c r="H400" i="1"/>
  <c r="G400" i="1"/>
  <c r="F400" i="1"/>
  <c r="N399" i="1"/>
  <c r="M399" i="1"/>
  <c r="L399" i="1"/>
  <c r="K399" i="1"/>
  <c r="I399" i="1"/>
  <c r="H399" i="1"/>
  <c r="G399" i="1"/>
  <c r="F399" i="1"/>
  <c r="N398" i="1"/>
  <c r="M398" i="1"/>
  <c r="L398" i="1"/>
  <c r="K398" i="1"/>
  <c r="I398" i="1"/>
  <c r="H398" i="1"/>
  <c r="G398" i="1"/>
  <c r="F398" i="1"/>
  <c r="N397" i="1"/>
  <c r="M397" i="1"/>
  <c r="L397" i="1"/>
  <c r="K397" i="1"/>
  <c r="I397" i="1"/>
  <c r="H397" i="1"/>
  <c r="G397" i="1"/>
  <c r="F397" i="1"/>
  <c r="N396" i="1"/>
  <c r="M396" i="1"/>
  <c r="L396" i="1"/>
  <c r="K396" i="1"/>
  <c r="I396" i="1"/>
  <c r="H396" i="1"/>
  <c r="G396" i="1"/>
  <c r="F396" i="1"/>
  <c r="N395" i="1"/>
  <c r="M395" i="1"/>
  <c r="L395" i="1"/>
  <c r="K395" i="1"/>
  <c r="I395" i="1"/>
  <c r="H395" i="1"/>
  <c r="G395" i="1"/>
  <c r="F395" i="1"/>
  <c r="N394" i="1"/>
  <c r="M394" i="1"/>
  <c r="L394" i="1"/>
  <c r="K394" i="1"/>
  <c r="I394" i="1"/>
  <c r="H394" i="1"/>
  <c r="G394" i="1"/>
  <c r="F394" i="1"/>
  <c r="N393" i="1"/>
  <c r="M393" i="1"/>
  <c r="L393" i="1"/>
  <c r="K393" i="1"/>
  <c r="I393" i="1"/>
  <c r="H393" i="1"/>
  <c r="G393" i="1"/>
  <c r="F393" i="1"/>
  <c r="N392" i="1"/>
  <c r="M392" i="1"/>
  <c r="L392" i="1"/>
  <c r="K392" i="1"/>
  <c r="I392" i="1"/>
  <c r="H392" i="1"/>
  <c r="G392" i="1"/>
  <c r="F392" i="1"/>
  <c r="N391" i="1"/>
  <c r="M391" i="1"/>
  <c r="L391" i="1"/>
  <c r="K391" i="1"/>
  <c r="I391" i="1"/>
  <c r="H391" i="1"/>
  <c r="G391" i="1"/>
  <c r="F391" i="1"/>
  <c r="N390" i="1"/>
  <c r="M390" i="1"/>
  <c r="L390" i="1"/>
  <c r="K390" i="1"/>
  <c r="I390" i="1"/>
  <c r="H390" i="1"/>
  <c r="G390" i="1"/>
  <c r="F390" i="1"/>
  <c r="N389" i="1"/>
  <c r="M389" i="1"/>
  <c r="L389" i="1"/>
  <c r="K389" i="1"/>
  <c r="I389" i="1"/>
  <c r="H389" i="1"/>
  <c r="G389" i="1"/>
  <c r="F389" i="1"/>
  <c r="N388" i="1"/>
  <c r="M388" i="1"/>
  <c r="L388" i="1"/>
  <c r="K388" i="1"/>
  <c r="I388" i="1"/>
  <c r="H388" i="1"/>
  <c r="G388" i="1"/>
  <c r="F388" i="1"/>
  <c r="N387" i="1"/>
  <c r="M387" i="1"/>
  <c r="L387" i="1"/>
  <c r="K387" i="1"/>
  <c r="I387" i="1"/>
  <c r="H387" i="1"/>
  <c r="G387" i="1"/>
  <c r="F387" i="1"/>
  <c r="N386" i="1"/>
  <c r="M386" i="1"/>
  <c r="L386" i="1"/>
  <c r="K386" i="1"/>
  <c r="I386" i="1"/>
  <c r="H386" i="1"/>
  <c r="G386" i="1"/>
  <c r="F386" i="1"/>
  <c r="N385" i="1"/>
  <c r="M385" i="1"/>
  <c r="L385" i="1"/>
  <c r="K385" i="1"/>
  <c r="I385" i="1"/>
  <c r="H385" i="1"/>
  <c r="G385" i="1"/>
  <c r="F385" i="1"/>
  <c r="N384" i="1"/>
  <c r="M384" i="1"/>
  <c r="L384" i="1"/>
  <c r="K384" i="1"/>
  <c r="I384" i="1"/>
  <c r="H384" i="1"/>
  <c r="G384" i="1"/>
  <c r="F384" i="1"/>
  <c r="N383" i="1"/>
  <c r="M383" i="1"/>
  <c r="L383" i="1"/>
  <c r="K383" i="1"/>
  <c r="I383" i="1"/>
  <c r="H383" i="1"/>
  <c r="G383" i="1"/>
  <c r="F383" i="1"/>
  <c r="N382" i="1"/>
  <c r="M382" i="1"/>
  <c r="L382" i="1"/>
  <c r="K382" i="1"/>
  <c r="I382" i="1"/>
  <c r="H382" i="1"/>
  <c r="G382" i="1"/>
  <c r="F382" i="1"/>
  <c r="N381" i="1"/>
  <c r="M381" i="1"/>
  <c r="L381" i="1"/>
  <c r="K381" i="1"/>
  <c r="I381" i="1"/>
  <c r="H381" i="1"/>
  <c r="G381" i="1"/>
  <c r="F381" i="1"/>
  <c r="N380" i="1"/>
  <c r="M380" i="1"/>
  <c r="L380" i="1"/>
  <c r="K380" i="1"/>
  <c r="I380" i="1"/>
  <c r="H380" i="1"/>
  <c r="G380" i="1"/>
  <c r="F380" i="1"/>
  <c r="N379" i="1"/>
  <c r="M379" i="1"/>
  <c r="L379" i="1"/>
  <c r="K379" i="1"/>
  <c r="I379" i="1"/>
  <c r="H379" i="1"/>
  <c r="G379" i="1"/>
  <c r="F379" i="1"/>
  <c r="N378" i="1"/>
  <c r="M378" i="1"/>
  <c r="L378" i="1"/>
  <c r="K378" i="1"/>
  <c r="I378" i="1"/>
  <c r="H378" i="1"/>
  <c r="G378" i="1"/>
  <c r="F378" i="1"/>
  <c r="N377" i="1"/>
  <c r="M377" i="1"/>
  <c r="L377" i="1"/>
  <c r="K377" i="1"/>
  <c r="I377" i="1"/>
  <c r="H377" i="1"/>
  <c r="G377" i="1"/>
  <c r="F377" i="1"/>
  <c r="N376" i="1"/>
  <c r="M376" i="1"/>
  <c r="L376" i="1"/>
  <c r="K376" i="1"/>
  <c r="I376" i="1"/>
  <c r="H376" i="1"/>
  <c r="G376" i="1"/>
  <c r="F376" i="1"/>
  <c r="N375" i="1"/>
  <c r="M375" i="1"/>
  <c r="L375" i="1"/>
  <c r="K375" i="1"/>
  <c r="I375" i="1"/>
  <c r="H375" i="1"/>
  <c r="G375" i="1"/>
  <c r="F375" i="1"/>
  <c r="N374" i="1"/>
  <c r="M374" i="1"/>
  <c r="L374" i="1"/>
  <c r="K374" i="1"/>
  <c r="I374" i="1"/>
  <c r="H374" i="1"/>
  <c r="G374" i="1"/>
  <c r="F374" i="1"/>
  <c r="N373" i="1"/>
  <c r="M373" i="1"/>
  <c r="L373" i="1"/>
  <c r="K373" i="1"/>
  <c r="I373" i="1"/>
  <c r="H373" i="1"/>
  <c r="G373" i="1"/>
  <c r="F373" i="1"/>
  <c r="N372" i="1"/>
  <c r="M372" i="1"/>
  <c r="L372" i="1"/>
  <c r="K372" i="1"/>
  <c r="I372" i="1"/>
  <c r="H372" i="1"/>
  <c r="G372" i="1"/>
  <c r="F372" i="1"/>
  <c r="N371" i="1"/>
  <c r="M371" i="1"/>
  <c r="L371" i="1"/>
  <c r="K371" i="1"/>
  <c r="I371" i="1"/>
  <c r="H371" i="1"/>
  <c r="G371" i="1"/>
  <c r="F371" i="1"/>
  <c r="N370" i="1"/>
  <c r="M370" i="1"/>
  <c r="L370" i="1"/>
  <c r="K370" i="1"/>
  <c r="I370" i="1"/>
  <c r="H370" i="1"/>
  <c r="G370" i="1"/>
  <c r="F370" i="1"/>
  <c r="N369" i="1"/>
  <c r="M369" i="1"/>
  <c r="L369" i="1"/>
  <c r="K369" i="1"/>
  <c r="I369" i="1"/>
  <c r="H369" i="1"/>
  <c r="G369" i="1"/>
  <c r="F369" i="1"/>
  <c r="N368" i="1"/>
  <c r="M368" i="1"/>
  <c r="L368" i="1"/>
  <c r="K368" i="1"/>
  <c r="I368" i="1"/>
  <c r="H368" i="1"/>
  <c r="G368" i="1"/>
  <c r="F368" i="1"/>
  <c r="N367" i="1"/>
  <c r="M367" i="1"/>
  <c r="L367" i="1"/>
  <c r="K367" i="1"/>
  <c r="I367" i="1"/>
  <c r="H367" i="1"/>
  <c r="G367" i="1"/>
  <c r="F367" i="1"/>
  <c r="N366" i="1"/>
  <c r="M366" i="1"/>
  <c r="L366" i="1"/>
  <c r="K366" i="1"/>
  <c r="I366" i="1"/>
  <c r="H366" i="1"/>
  <c r="G366" i="1"/>
  <c r="F366" i="1"/>
  <c r="N365" i="1"/>
  <c r="M365" i="1"/>
  <c r="L365" i="1"/>
  <c r="K365" i="1"/>
  <c r="I365" i="1"/>
  <c r="H365" i="1"/>
  <c r="G365" i="1"/>
  <c r="F365" i="1"/>
  <c r="N364" i="1"/>
  <c r="M364" i="1"/>
  <c r="L364" i="1"/>
  <c r="K364" i="1"/>
  <c r="I364" i="1"/>
  <c r="H364" i="1"/>
  <c r="G364" i="1"/>
  <c r="F364" i="1"/>
  <c r="N363" i="1"/>
  <c r="M363" i="1"/>
  <c r="L363" i="1"/>
  <c r="K363" i="1"/>
  <c r="I363" i="1"/>
  <c r="H363" i="1"/>
  <c r="G363" i="1"/>
  <c r="F363" i="1"/>
  <c r="N362" i="1"/>
  <c r="M362" i="1"/>
  <c r="L362" i="1"/>
  <c r="K362" i="1"/>
  <c r="I362" i="1"/>
  <c r="H362" i="1"/>
  <c r="G362" i="1"/>
  <c r="F362" i="1"/>
  <c r="N361" i="1"/>
  <c r="M361" i="1"/>
  <c r="L361" i="1"/>
  <c r="K361" i="1"/>
  <c r="I361" i="1"/>
  <c r="H361" i="1"/>
  <c r="G361" i="1"/>
  <c r="F361" i="1"/>
  <c r="N360" i="1"/>
  <c r="M360" i="1"/>
  <c r="L360" i="1"/>
  <c r="K360" i="1"/>
  <c r="I360" i="1"/>
  <c r="H360" i="1"/>
  <c r="G360" i="1"/>
  <c r="F360" i="1"/>
  <c r="N359" i="1"/>
  <c r="M359" i="1"/>
  <c r="L359" i="1"/>
  <c r="K359" i="1"/>
  <c r="I359" i="1"/>
  <c r="H359" i="1"/>
  <c r="G359" i="1"/>
  <c r="F359" i="1"/>
  <c r="N358" i="1"/>
  <c r="M358" i="1"/>
  <c r="L358" i="1"/>
  <c r="K358" i="1"/>
  <c r="I358" i="1"/>
  <c r="H358" i="1"/>
  <c r="G358" i="1"/>
  <c r="F358" i="1"/>
  <c r="N357" i="1"/>
  <c r="M357" i="1"/>
  <c r="L357" i="1"/>
  <c r="K357" i="1"/>
  <c r="I357" i="1"/>
  <c r="H357" i="1"/>
  <c r="G357" i="1"/>
  <c r="F357" i="1"/>
  <c r="N356" i="1"/>
  <c r="M356" i="1"/>
  <c r="L356" i="1"/>
  <c r="K356" i="1"/>
  <c r="I356" i="1"/>
  <c r="H356" i="1"/>
  <c r="G356" i="1"/>
  <c r="F356" i="1"/>
  <c r="N355" i="1"/>
  <c r="M355" i="1"/>
  <c r="L355" i="1"/>
  <c r="K355" i="1"/>
  <c r="I355" i="1"/>
  <c r="H355" i="1"/>
  <c r="G355" i="1"/>
  <c r="F355" i="1"/>
  <c r="N354" i="1"/>
  <c r="M354" i="1"/>
  <c r="L354" i="1"/>
  <c r="K354" i="1"/>
  <c r="I354" i="1"/>
  <c r="H354" i="1"/>
  <c r="G354" i="1"/>
  <c r="F354" i="1"/>
  <c r="N353" i="1"/>
  <c r="M353" i="1"/>
  <c r="L353" i="1"/>
  <c r="K353" i="1"/>
  <c r="I353" i="1"/>
  <c r="H353" i="1"/>
  <c r="G353" i="1"/>
  <c r="F353" i="1"/>
  <c r="N352" i="1"/>
  <c r="M352" i="1"/>
  <c r="L352" i="1"/>
  <c r="K352" i="1"/>
  <c r="I352" i="1"/>
  <c r="H352" i="1"/>
  <c r="G352" i="1"/>
  <c r="F352" i="1"/>
  <c r="N351" i="1"/>
  <c r="M351" i="1"/>
  <c r="L351" i="1"/>
  <c r="K351" i="1"/>
  <c r="I351" i="1"/>
  <c r="H351" i="1"/>
  <c r="G351" i="1"/>
  <c r="F351" i="1"/>
  <c r="N350" i="1"/>
  <c r="M350" i="1"/>
  <c r="L350" i="1"/>
  <c r="K350" i="1"/>
  <c r="I350" i="1"/>
  <c r="H350" i="1"/>
  <c r="G350" i="1"/>
  <c r="F350" i="1"/>
  <c r="N349" i="1"/>
  <c r="M349" i="1"/>
  <c r="L349" i="1"/>
  <c r="K349" i="1"/>
  <c r="I349" i="1"/>
  <c r="H349" i="1"/>
  <c r="G349" i="1"/>
  <c r="F349" i="1"/>
  <c r="N348" i="1"/>
  <c r="M348" i="1"/>
  <c r="L348" i="1"/>
  <c r="K348" i="1"/>
  <c r="I348" i="1"/>
  <c r="H348" i="1"/>
  <c r="G348" i="1"/>
  <c r="F348" i="1"/>
  <c r="N347" i="1"/>
  <c r="M347" i="1"/>
  <c r="L347" i="1"/>
  <c r="K347" i="1"/>
  <c r="I347" i="1"/>
  <c r="H347" i="1"/>
  <c r="G347" i="1"/>
  <c r="F347" i="1"/>
  <c r="N346" i="1"/>
  <c r="M346" i="1"/>
  <c r="L346" i="1"/>
  <c r="K346" i="1"/>
  <c r="I346" i="1"/>
  <c r="H346" i="1"/>
  <c r="G346" i="1"/>
  <c r="F346" i="1"/>
  <c r="N345" i="1"/>
  <c r="M345" i="1"/>
  <c r="L345" i="1"/>
  <c r="K345" i="1"/>
  <c r="I345" i="1"/>
  <c r="H345" i="1"/>
  <c r="G345" i="1"/>
  <c r="F345" i="1"/>
  <c r="N344" i="1"/>
  <c r="M344" i="1"/>
  <c r="L344" i="1"/>
  <c r="K344" i="1"/>
  <c r="I344" i="1"/>
  <c r="H344" i="1"/>
  <c r="G344" i="1"/>
  <c r="F344" i="1"/>
  <c r="N343" i="1"/>
  <c r="M343" i="1"/>
  <c r="L343" i="1"/>
  <c r="K343" i="1"/>
  <c r="I343" i="1"/>
  <c r="H343" i="1"/>
  <c r="G343" i="1"/>
  <c r="F343" i="1"/>
  <c r="N342" i="1"/>
  <c r="M342" i="1"/>
  <c r="L342" i="1"/>
  <c r="K342" i="1"/>
  <c r="I342" i="1"/>
  <c r="H342" i="1"/>
  <c r="G342" i="1"/>
  <c r="F342" i="1"/>
  <c r="N341" i="1"/>
  <c r="M341" i="1"/>
  <c r="L341" i="1"/>
  <c r="K341" i="1"/>
  <c r="I341" i="1"/>
  <c r="H341" i="1"/>
  <c r="G341" i="1"/>
  <c r="F341" i="1"/>
  <c r="N340" i="1"/>
  <c r="M340" i="1"/>
  <c r="L340" i="1"/>
  <c r="K340" i="1"/>
  <c r="I340" i="1"/>
  <c r="H340" i="1"/>
  <c r="G340" i="1"/>
  <c r="F340" i="1"/>
  <c r="N339" i="1"/>
  <c r="M339" i="1"/>
  <c r="L339" i="1"/>
  <c r="K339" i="1"/>
  <c r="I339" i="1"/>
  <c r="H339" i="1"/>
  <c r="G339" i="1"/>
  <c r="F339" i="1"/>
  <c r="N338" i="1"/>
  <c r="M338" i="1"/>
  <c r="L338" i="1"/>
  <c r="K338" i="1"/>
  <c r="I338" i="1"/>
  <c r="H338" i="1"/>
  <c r="G338" i="1"/>
  <c r="F338" i="1"/>
  <c r="N337" i="1"/>
  <c r="M337" i="1"/>
  <c r="L337" i="1"/>
  <c r="K337" i="1"/>
  <c r="I337" i="1"/>
  <c r="H337" i="1"/>
  <c r="G337" i="1"/>
  <c r="F337" i="1"/>
  <c r="N336" i="1"/>
  <c r="M336" i="1"/>
  <c r="L336" i="1"/>
  <c r="K336" i="1"/>
  <c r="I336" i="1"/>
  <c r="H336" i="1"/>
  <c r="G336" i="1"/>
  <c r="F336" i="1"/>
  <c r="N335" i="1"/>
  <c r="M335" i="1"/>
  <c r="L335" i="1"/>
  <c r="K335" i="1"/>
  <c r="I335" i="1"/>
  <c r="H335" i="1"/>
  <c r="G335" i="1"/>
  <c r="F335" i="1"/>
  <c r="N334" i="1"/>
  <c r="M334" i="1"/>
  <c r="L334" i="1"/>
  <c r="K334" i="1"/>
  <c r="I334" i="1"/>
  <c r="H334" i="1"/>
  <c r="G334" i="1"/>
  <c r="F334" i="1"/>
  <c r="N333" i="1"/>
  <c r="M333" i="1"/>
  <c r="L333" i="1"/>
  <c r="K333" i="1"/>
  <c r="I333" i="1"/>
  <c r="H333" i="1"/>
  <c r="G333" i="1"/>
  <c r="F333" i="1"/>
  <c r="N332" i="1"/>
  <c r="M332" i="1"/>
  <c r="L332" i="1"/>
  <c r="K332" i="1"/>
  <c r="I332" i="1"/>
  <c r="H332" i="1"/>
  <c r="G332" i="1"/>
  <c r="F332" i="1"/>
  <c r="N331" i="1"/>
  <c r="M331" i="1"/>
  <c r="L331" i="1"/>
  <c r="K331" i="1"/>
  <c r="I331" i="1"/>
  <c r="H331" i="1"/>
  <c r="G331" i="1"/>
  <c r="F331" i="1"/>
  <c r="N330" i="1"/>
  <c r="M330" i="1"/>
  <c r="L330" i="1"/>
  <c r="K330" i="1"/>
  <c r="I330" i="1"/>
  <c r="H330" i="1"/>
  <c r="G330" i="1"/>
  <c r="F330" i="1"/>
  <c r="N329" i="1"/>
  <c r="M329" i="1"/>
  <c r="L329" i="1"/>
  <c r="K329" i="1"/>
  <c r="I329" i="1"/>
  <c r="H329" i="1"/>
  <c r="G329" i="1"/>
  <c r="F329" i="1"/>
  <c r="N328" i="1"/>
  <c r="M328" i="1"/>
  <c r="L328" i="1"/>
  <c r="K328" i="1"/>
  <c r="I328" i="1"/>
  <c r="H328" i="1"/>
  <c r="G328" i="1"/>
  <c r="F328" i="1"/>
  <c r="N327" i="1"/>
  <c r="M327" i="1"/>
  <c r="L327" i="1"/>
  <c r="K327" i="1"/>
  <c r="I327" i="1"/>
  <c r="H327" i="1"/>
  <c r="G327" i="1"/>
  <c r="F327" i="1"/>
  <c r="N326" i="1"/>
  <c r="M326" i="1"/>
  <c r="L326" i="1"/>
  <c r="K326" i="1"/>
  <c r="I326" i="1"/>
  <c r="H326" i="1"/>
  <c r="G326" i="1"/>
  <c r="F326" i="1"/>
  <c r="N325" i="1"/>
  <c r="M325" i="1"/>
  <c r="L325" i="1"/>
  <c r="K325" i="1"/>
  <c r="I325" i="1"/>
  <c r="H325" i="1"/>
  <c r="G325" i="1"/>
  <c r="F325" i="1"/>
  <c r="N324" i="1"/>
  <c r="M324" i="1"/>
  <c r="L324" i="1"/>
  <c r="K324" i="1"/>
  <c r="I324" i="1"/>
  <c r="H324" i="1"/>
  <c r="G324" i="1"/>
  <c r="F324" i="1"/>
  <c r="N323" i="1"/>
  <c r="M323" i="1"/>
  <c r="L323" i="1"/>
  <c r="K323" i="1"/>
  <c r="I323" i="1"/>
  <c r="H323" i="1"/>
  <c r="G323" i="1"/>
  <c r="F323" i="1"/>
  <c r="N322" i="1"/>
  <c r="M322" i="1"/>
  <c r="L322" i="1"/>
  <c r="K322" i="1"/>
  <c r="I322" i="1"/>
  <c r="H322" i="1"/>
  <c r="G322" i="1"/>
  <c r="F322" i="1"/>
  <c r="N321" i="1"/>
  <c r="M321" i="1"/>
  <c r="L321" i="1"/>
  <c r="K321" i="1"/>
  <c r="I321" i="1"/>
  <c r="H321" i="1"/>
  <c r="G321" i="1"/>
  <c r="F321" i="1"/>
  <c r="N320" i="1"/>
  <c r="M320" i="1"/>
  <c r="L320" i="1"/>
  <c r="K320" i="1"/>
  <c r="I320" i="1"/>
  <c r="H320" i="1"/>
  <c r="G320" i="1"/>
  <c r="F320" i="1"/>
  <c r="N319" i="1"/>
  <c r="M319" i="1"/>
  <c r="L319" i="1"/>
  <c r="K319" i="1"/>
  <c r="I319" i="1"/>
  <c r="H319" i="1"/>
  <c r="G319" i="1"/>
  <c r="F319" i="1"/>
  <c r="N318" i="1"/>
  <c r="M318" i="1"/>
  <c r="L318" i="1"/>
  <c r="K318" i="1"/>
  <c r="I318" i="1"/>
  <c r="H318" i="1"/>
  <c r="G318" i="1"/>
  <c r="F318" i="1"/>
  <c r="N317" i="1"/>
  <c r="M317" i="1"/>
  <c r="L317" i="1"/>
  <c r="K317" i="1"/>
  <c r="I317" i="1"/>
  <c r="H317" i="1"/>
  <c r="G317" i="1"/>
  <c r="F317" i="1"/>
  <c r="N316" i="1"/>
  <c r="M316" i="1"/>
  <c r="L316" i="1"/>
  <c r="K316" i="1"/>
  <c r="I316" i="1"/>
  <c r="H316" i="1"/>
  <c r="G316" i="1"/>
  <c r="F316" i="1"/>
  <c r="N315" i="1"/>
  <c r="M315" i="1"/>
  <c r="L315" i="1"/>
  <c r="K315" i="1"/>
  <c r="I315" i="1"/>
  <c r="H315" i="1"/>
  <c r="G315" i="1"/>
  <c r="F315" i="1"/>
  <c r="N314" i="1"/>
  <c r="M314" i="1"/>
  <c r="L314" i="1"/>
  <c r="K314" i="1"/>
  <c r="I314" i="1"/>
  <c r="H314" i="1"/>
  <c r="G314" i="1"/>
  <c r="F314" i="1"/>
  <c r="N313" i="1"/>
  <c r="M313" i="1"/>
  <c r="L313" i="1"/>
  <c r="K313" i="1"/>
  <c r="I313" i="1"/>
  <c r="H313" i="1"/>
  <c r="G313" i="1"/>
  <c r="F313" i="1"/>
  <c r="N312" i="1"/>
  <c r="M312" i="1"/>
  <c r="L312" i="1"/>
  <c r="K312" i="1"/>
  <c r="I312" i="1"/>
  <c r="H312" i="1"/>
  <c r="G312" i="1"/>
  <c r="F312" i="1"/>
  <c r="N311" i="1"/>
  <c r="M311" i="1"/>
  <c r="L311" i="1"/>
  <c r="K311" i="1"/>
  <c r="I311" i="1"/>
  <c r="H311" i="1"/>
  <c r="G311" i="1"/>
  <c r="F311" i="1"/>
  <c r="N310" i="1"/>
  <c r="M310" i="1"/>
  <c r="L310" i="1"/>
  <c r="K310" i="1"/>
  <c r="I310" i="1"/>
  <c r="H310" i="1"/>
  <c r="G310" i="1"/>
  <c r="F310" i="1"/>
  <c r="N309" i="1"/>
  <c r="M309" i="1"/>
  <c r="L309" i="1"/>
  <c r="K309" i="1"/>
  <c r="I309" i="1"/>
  <c r="H309" i="1"/>
  <c r="G309" i="1"/>
  <c r="F309" i="1"/>
  <c r="N308" i="1"/>
  <c r="M308" i="1"/>
  <c r="L308" i="1"/>
  <c r="K308" i="1"/>
  <c r="I308" i="1"/>
  <c r="H308" i="1"/>
  <c r="G308" i="1"/>
  <c r="F308" i="1"/>
  <c r="N307" i="1"/>
  <c r="M307" i="1"/>
  <c r="L307" i="1"/>
  <c r="K307" i="1"/>
  <c r="I307" i="1"/>
  <c r="H307" i="1"/>
  <c r="G307" i="1"/>
  <c r="F307" i="1"/>
  <c r="N306" i="1"/>
  <c r="M306" i="1"/>
  <c r="L306" i="1"/>
  <c r="K306" i="1"/>
  <c r="I306" i="1"/>
  <c r="H306" i="1"/>
  <c r="G306" i="1"/>
  <c r="F306" i="1"/>
  <c r="N305" i="1"/>
  <c r="M305" i="1"/>
  <c r="L305" i="1"/>
  <c r="K305" i="1"/>
  <c r="I305" i="1"/>
  <c r="H305" i="1"/>
  <c r="G305" i="1"/>
  <c r="F305" i="1"/>
  <c r="N304" i="1"/>
  <c r="M304" i="1"/>
  <c r="L304" i="1"/>
  <c r="K304" i="1"/>
  <c r="I304" i="1"/>
  <c r="H304" i="1"/>
  <c r="G304" i="1"/>
  <c r="F304" i="1"/>
  <c r="N303" i="1"/>
  <c r="M303" i="1"/>
  <c r="L303" i="1"/>
  <c r="K303" i="1"/>
  <c r="I303" i="1"/>
  <c r="H303" i="1"/>
  <c r="G303" i="1"/>
  <c r="F303" i="1"/>
  <c r="N302" i="1"/>
  <c r="M302" i="1"/>
  <c r="L302" i="1"/>
  <c r="K302" i="1"/>
  <c r="I302" i="1"/>
  <c r="H302" i="1"/>
  <c r="G302" i="1"/>
  <c r="F302" i="1"/>
  <c r="N301" i="1"/>
  <c r="M301" i="1"/>
  <c r="L301" i="1"/>
  <c r="K301" i="1"/>
  <c r="I301" i="1"/>
  <c r="H301" i="1"/>
  <c r="G301" i="1"/>
  <c r="F301" i="1"/>
  <c r="N300" i="1"/>
  <c r="M300" i="1"/>
  <c r="L300" i="1"/>
  <c r="K300" i="1"/>
  <c r="I300" i="1"/>
  <c r="H300" i="1"/>
  <c r="G300" i="1"/>
  <c r="F300" i="1"/>
  <c r="N299" i="1"/>
  <c r="M299" i="1"/>
  <c r="L299" i="1"/>
  <c r="K299" i="1"/>
  <c r="I299" i="1"/>
  <c r="H299" i="1"/>
  <c r="G299" i="1"/>
  <c r="F299" i="1"/>
  <c r="N298" i="1"/>
  <c r="M298" i="1"/>
  <c r="L298" i="1"/>
  <c r="K298" i="1"/>
  <c r="I298" i="1"/>
  <c r="H298" i="1"/>
  <c r="G298" i="1"/>
  <c r="F298" i="1"/>
  <c r="N297" i="1"/>
  <c r="M297" i="1"/>
  <c r="L297" i="1"/>
  <c r="K297" i="1"/>
  <c r="I297" i="1"/>
  <c r="H297" i="1"/>
  <c r="G297" i="1"/>
  <c r="F297" i="1"/>
  <c r="N296" i="1"/>
  <c r="M296" i="1"/>
  <c r="L296" i="1"/>
  <c r="K296" i="1"/>
  <c r="I296" i="1"/>
  <c r="H296" i="1"/>
  <c r="G296" i="1"/>
  <c r="F296" i="1"/>
  <c r="N295" i="1"/>
  <c r="M295" i="1"/>
  <c r="L295" i="1"/>
  <c r="K295" i="1"/>
  <c r="I295" i="1"/>
  <c r="H295" i="1"/>
  <c r="G295" i="1"/>
  <c r="F295" i="1"/>
  <c r="N294" i="1"/>
  <c r="M294" i="1"/>
  <c r="L294" i="1"/>
  <c r="K294" i="1"/>
  <c r="I294" i="1"/>
  <c r="H294" i="1"/>
  <c r="G294" i="1"/>
  <c r="F294" i="1"/>
  <c r="N293" i="1"/>
  <c r="M293" i="1"/>
  <c r="L293" i="1"/>
  <c r="K293" i="1"/>
  <c r="I293" i="1"/>
  <c r="H293" i="1"/>
  <c r="G293" i="1"/>
  <c r="F293" i="1"/>
  <c r="N292" i="1"/>
  <c r="M292" i="1"/>
  <c r="L292" i="1"/>
  <c r="K292" i="1"/>
  <c r="I292" i="1"/>
  <c r="H292" i="1"/>
  <c r="G292" i="1"/>
  <c r="F292" i="1"/>
  <c r="N291" i="1"/>
  <c r="M291" i="1"/>
  <c r="L291" i="1"/>
  <c r="K291" i="1"/>
  <c r="I291" i="1"/>
  <c r="H291" i="1"/>
  <c r="G291" i="1"/>
  <c r="F291" i="1"/>
  <c r="N290" i="1"/>
  <c r="M290" i="1"/>
  <c r="L290" i="1"/>
  <c r="K290" i="1"/>
  <c r="I290" i="1"/>
  <c r="H290" i="1"/>
  <c r="G290" i="1"/>
  <c r="F290" i="1"/>
  <c r="N289" i="1"/>
  <c r="M289" i="1"/>
  <c r="L289" i="1"/>
  <c r="K289" i="1"/>
  <c r="I289" i="1"/>
  <c r="H289" i="1"/>
  <c r="G289" i="1"/>
  <c r="F289" i="1"/>
  <c r="N288" i="1"/>
  <c r="M288" i="1"/>
  <c r="L288" i="1"/>
  <c r="K288" i="1"/>
  <c r="I288" i="1"/>
  <c r="H288" i="1"/>
  <c r="G288" i="1"/>
  <c r="F288" i="1"/>
  <c r="N287" i="1"/>
  <c r="M287" i="1"/>
  <c r="L287" i="1"/>
  <c r="K287" i="1"/>
  <c r="I287" i="1"/>
  <c r="H287" i="1"/>
  <c r="G287" i="1"/>
  <c r="F287" i="1"/>
  <c r="N286" i="1"/>
  <c r="M286" i="1"/>
  <c r="L286" i="1"/>
  <c r="K286" i="1"/>
  <c r="I286" i="1"/>
  <c r="H286" i="1"/>
  <c r="G286" i="1"/>
  <c r="F286" i="1"/>
  <c r="N285" i="1"/>
  <c r="M285" i="1"/>
  <c r="L285" i="1"/>
  <c r="K285" i="1"/>
  <c r="I285" i="1"/>
  <c r="H285" i="1"/>
  <c r="G285" i="1"/>
  <c r="F285" i="1"/>
  <c r="N284" i="1"/>
  <c r="M284" i="1"/>
  <c r="L284" i="1"/>
  <c r="K284" i="1"/>
  <c r="I284" i="1"/>
  <c r="H284" i="1"/>
  <c r="G284" i="1"/>
  <c r="F284" i="1"/>
  <c r="N283" i="1"/>
  <c r="M283" i="1"/>
  <c r="L283" i="1"/>
  <c r="K283" i="1"/>
  <c r="I283" i="1"/>
  <c r="H283" i="1"/>
  <c r="G283" i="1"/>
  <c r="F283" i="1"/>
  <c r="N282" i="1"/>
  <c r="M282" i="1"/>
  <c r="L282" i="1"/>
  <c r="K282" i="1"/>
  <c r="I282" i="1"/>
  <c r="H282" i="1"/>
  <c r="G282" i="1"/>
  <c r="F282" i="1"/>
  <c r="N281" i="1"/>
  <c r="M281" i="1"/>
  <c r="L281" i="1"/>
  <c r="K281" i="1"/>
  <c r="I281" i="1"/>
  <c r="H281" i="1"/>
  <c r="G281" i="1"/>
  <c r="F281" i="1"/>
  <c r="N280" i="1"/>
  <c r="M280" i="1"/>
  <c r="L280" i="1"/>
  <c r="K280" i="1"/>
  <c r="I280" i="1"/>
  <c r="H280" i="1"/>
  <c r="G280" i="1"/>
  <c r="F280" i="1"/>
  <c r="N279" i="1"/>
  <c r="M279" i="1"/>
  <c r="L279" i="1"/>
  <c r="K279" i="1"/>
  <c r="I279" i="1"/>
  <c r="H279" i="1"/>
  <c r="G279" i="1"/>
  <c r="F279" i="1"/>
  <c r="N278" i="1"/>
  <c r="M278" i="1"/>
  <c r="L278" i="1"/>
  <c r="K278" i="1"/>
  <c r="I278" i="1"/>
  <c r="H278" i="1"/>
  <c r="G278" i="1"/>
  <c r="F278" i="1"/>
  <c r="N277" i="1"/>
  <c r="M277" i="1"/>
  <c r="L277" i="1"/>
  <c r="K277" i="1"/>
  <c r="I277" i="1"/>
  <c r="H277" i="1"/>
  <c r="G277" i="1"/>
  <c r="F277" i="1"/>
  <c r="N276" i="1"/>
  <c r="M276" i="1"/>
  <c r="L276" i="1"/>
  <c r="K276" i="1"/>
  <c r="I276" i="1"/>
  <c r="H276" i="1"/>
  <c r="G276" i="1"/>
  <c r="F276" i="1"/>
  <c r="N275" i="1"/>
  <c r="M275" i="1"/>
  <c r="L275" i="1"/>
  <c r="K275" i="1"/>
  <c r="I275" i="1"/>
  <c r="H275" i="1"/>
  <c r="G275" i="1"/>
  <c r="F275" i="1"/>
  <c r="N274" i="1"/>
  <c r="M274" i="1"/>
  <c r="L274" i="1"/>
  <c r="K274" i="1"/>
  <c r="I274" i="1"/>
  <c r="H274" i="1"/>
  <c r="G274" i="1"/>
  <c r="F274" i="1"/>
  <c r="N273" i="1"/>
  <c r="M273" i="1"/>
  <c r="L273" i="1"/>
  <c r="K273" i="1"/>
  <c r="I273" i="1"/>
  <c r="H273" i="1"/>
  <c r="G273" i="1"/>
  <c r="F273" i="1"/>
  <c r="N272" i="1"/>
  <c r="M272" i="1"/>
  <c r="L272" i="1"/>
  <c r="K272" i="1"/>
  <c r="I272" i="1"/>
  <c r="H272" i="1"/>
  <c r="G272" i="1"/>
  <c r="F272" i="1"/>
  <c r="N271" i="1"/>
  <c r="M271" i="1"/>
  <c r="L271" i="1"/>
  <c r="K271" i="1"/>
  <c r="I271" i="1"/>
  <c r="H271" i="1"/>
  <c r="G271" i="1"/>
  <c r="F271" i="1"/>
  <c r="N270" i="1"/>
  <c r="M270" i="1"/>
  <c r="L270" i="1"/>
  <c r="K270" i="1"/>
  <c r="I270" i="1"/>
  <c r="H270" i="1"/>
  <c r="G270" i="1"/>
  <c r="F270" i="1"/>
  <c r="N269" i="1"/>
  <c r="M269" i="1"/>
  <c r="L269" i="1"/>
  <c r="K269" i="1"/>
  <c r="I269" i="1"/>
  <c r="H269" i="1"/>
  <c r="G269" i="1"/>
  <c r="F269" i="1"/>
  <c r="N268" i="1"/>
  <c r="M268" i="1"/>
  <c r="L268" i="1"/>
  <c r="K268" i="1"/>
  <c r="I268" i="1"/>
  <c r="H268" i="1"/>
  <c r="G268" i="1"/>
  <c r="F268" i="1"/>
  <c r="N267" i="1"/>
  <c r="M267" i="1"/>
  <c r="L267" i="1"/>
  <c r="K267" i="1"/>
  <c r="I267" i="1"/>
  <c r="H267" i="1"/>
  <c r="G267" i="1"/>
  <c r="F267" i="1"/>
  <c r="N266" i="1"/>
  <c r="M266" i="1"/>
  <c r="L266" i="1"/>
  <c r="K266" i="1"/>
  <c r="I266" i="1"/>
  <c r="H266" i="1"/>
  <c r="G266" i="1"/>
  <c r="F266" i="1"/>
  <c r="N265" i="1"/>
  <c r="M265" i="1"/>
  <c r="L265" i="1"/>
  <c r="K265" i="1"/>
  <c r="I265" i="1"/>
  <c r="H265" i="1"/>
  <c r="G265" i="1"/>
  <c r="F265" i="1"/>
  <c r="N264" i="1"/>
  <c r="M264" i="1"/>
  <c r="L264" i="1"/>
  <c r="K264" i="1"/>
  <c r="I264" i="1"/>
  <c r="H264" i="1"/>
  <c r="G264" i="1"/>
  <c r="F264" i="1"/>
  <c r="N263" i="1"/>
  <c r="M263" i="1"/>
  <c r="L263" i="1"/>
  <c r="K263" i="1"/>
  <c r="I263" i="1"/>
  <c r="H263" i="1"/>
  <c r="G263" i="1"/>
  <c r="F263" i="1"/>
  <c r="N262" i="1"/>
  <c r="M262" i="1"/>
  <c r="L262" i="1"/>
  <c r="K262" i="1"/>
  <c r="I262" i="1"/>
  <c r="H262" i="1"/>
  <c r="G262" i="1"/>
  <c r="F262" i="1"/>
  <c r="N261" i="1"/>
  <c r="M261" i="1"/>
  <c r="L261" i="1"/>
  <c r="K261" i="1"/>
  <c r="I261" i="1"/>
  <c r="H261" i="1"/>
  <c r="G261" i="1"/>
  <c r="F261" i="1"/>
  <c r="N260" i="1"/>
  <c r="M260" i="1"/>
  <c r="L260" i="1"/>
  <c r="K260" i="1"/>
  <c r="I260" i="1"/>
  <c r="H260" i="1"/>
  <c r="G260" i="1"/>
  <c r="F260" i="1"/>
  <c r="N259" i="1"/>
  <c r="M259" i="1"/>
  <c r="L259" i="1"/>
  <c r="K259" i="1"/>
  <c r="I259" i="1"/>
  <c r="H259" i="1"/>
  <c r="G259" i="1"/>
  <c r="F259" i="1"/>
  <c r="N258" i="1"/>
  <c r="M258" i="1"/>
  <c r="L258" i="1"/>
  <c r="K258" i="1"/>
  <c r="I258" i="1"/>
  <c r="H258" i="1"/>
  <c r="G258" i="1"/>
  <c r="F258" i="1"/>
  <c r="N257" i="1"/>
  <c r="M257" i="1"/>
  <c r="L257" i="1"/>
  <c r="K257" i="1"/>
  <c r="I257" i="1"/>
  <c r="H257" i="1"/>
  <c r="G257" i="1"/>
  <c r="F257" i="1"/>
  <c r="N256" i="1"/>
  <c r="M256" i="1"/>
  <c r="L256" i="1"/>
  <c r="K256" i="1"/>
  <c r="I256" i="1"/>
  <c r="H256" i="1"/>
  <c r="G256" i="1"/>
  <c r="F256" i="1"/>
  <c r="N255" i="1"/>
  <c r="M255" i="1"/>
  <c r="L255" i="1"/>
  <c r="K255" i="1"/>
  <c r="I255" i="1"/>
  <c r="H255" i="1"/>
  <c r="G255" i="1"/>
  <c r="F255" i="1"/>
  <c r="N254" i="1"/>
  <c r="M254" i="1"/>
  <c r="L254" i="1"/>
  <c r="K254" i="1"/>
  <c r="I254" i="1"/>
  <c r="H254" i="1"/>
  <c r="G254" i="1"/>
  <c r="F254" i="1"/>
  <c r="N253" i="1"/>
  <c r="M253" i="1"/>
  <c r="L253" i="1"/>
  <c r="K253" i="1"/>
  <c r="I253" i="1"/>
  <c r="H253" i="1"/>
  <c r="G253" i="1"/>
  <c r="F253" i="1"/>
  <c r="N252" i="1"/>
  <c r="M252" i="1"/>
  <c r="L252" i="1"/>
  <c r="K252" i="1"/>
  <c r="I252" i="1"/>
  <c r="H252" i="1"/>
  <c r="G252" i="1"/>
  <c r="F252" i="1"/>
  <c r="N251" i="1"/>
  <c r="M251" i="1"/>
  <c r="L251" i="1"/>
  <c r="K251" i="1"/>
  <c r="I251" i="1"/>
  <c r="H251" i="1"/>
  <c r="G251" i="1"/>
  <c r="F251" i="1"/>
  <c r="N250" i="1"/>
  <c r="M250" i="1"/>
  <c r="L250" i="1"/>
  <c r="K250" i="1"/>
  <c r="I250" i="1"/>
  <c r="H250" i="1"/>
  <c r="G250" i="1"/>
  <c r="F250" i="1"/>
  <c r="N249" i="1"/>
  <c r="M249" i="1"/>
  <c r="L249" i="1"/>
  <c r="K249" i="1"/>
  <c r="I249" i="1"/>
  <c r="H249" i="1"/>
  <c r="G249" i="1"/>
  <c r="F249" i="1"/>
  <c r="N248" i="1"/>
  <c r="M248" i="1"/>
  <c r="L248" i="1"/>
  <c r="K248" i="1"/>
  <c r="I248" i="1"/>
  <c r="H248" i="1"/>
  <c r="G248" i="1"/>
  <c r="F248" i="1"/>
  <c r="N247" i="1"/>
  <c r="M247" i="1"/>
  <c r="L247" i="1"/>
  <c r="K247" i="1"/>
  <c r="I247" i="1"/>
  <c r="H247" i="1"/>
  <c r="G247" i="1"/>
  <c r="F247" i="1"/>
  <c r="N246" i="1"/>
  <c r="M246" i="1"/>
  <c r="L246" i="1"/>
  <c r="K246" i="1"/>
  <c r="I246" i="1"/>
  <c r="H246" i="1"/>
  <c r="G246" i="1"/>
  <c r="F246" i="1"/>
  <c r="N245" i="1"/>
  <c r="M245" i="1"/>
  <c r="L245" i="1"/>
  <c r="K245" i="1"/>
  <c r="I245" i="1"/>
  <c r="H245" i="1"/>
  <c r="G245" i="1"/>
  <c r="F245" i="1"/>
  <c r="N244" i="1"/>
  <c r="M244" i="1"/>
  <c r="L244" i="1"/>
  <c r="K244" i="1"/>
  <c r="I244" i="1"/>
  <c r="H244" i="1"/>
  <c r="G244" i="1"/>
  <c r="F244" i="1"/>
  <c r="N243" i="1"/>
  <c r="M243" i="1"/>
  <c r="L243" i="1"/>
  <c r="K243" i="1"/>
  <c r="I243" i="1"/>
  <c r="H243" i="1"/>
  <c r="G243" i="1"/>
  <c r="F243" i="1"/>
  <c r="N242" i="1"/>
  <c r="M242" i="1"/>
  <c r="L242" i="1"/>
  <c r="K242" i="1"/>
  <c r="I242" i="1"/>
  <c r="H242" i="1"/>
  <c r="G242" i="1"/>
  <c r="F242" i="1"/>
  <c r="N241" i="1"/>
  <c r="M241" i="1"/>
  <c r="L241" i="1"/>
  <c r="K241" i="1"/>
  <c r="I241" i="1"/>
  <c r="H241" i="1"/>
  <c r="G241" i="1"/>
  <c r="F241" i="1"/>
  <c r="N240" i="1"/>
  <c r="M240" i="1"/>
  <c r="L240" i="1"/>
  <c r="K240" i="1"/>
  <c r="I240" i="1"/>
  <c r="H240" i="1"/>
  <c r="G240" i="1"/>
  <c r="F240" i="1"/>
  <c r="N239" i="1"/>
  <c r="M239" i="1"/>
  <c r="L239" i="1"/>
  <c r="K239" i="1"/>
  <c r="I239" i="1"/>
  <c r="H239" i="1"/>
  <c r="G239" i="1"/>
  <c r="F239" i="1"/>
  <c r="N238" i="1"/>
  <c r="M238" i="1"/>
  <c r="L238" i="1"/>
  <c r="K238" i="1"/>
  <c r="I238" i="1"/>
  <c r="H238" i="1"/>
  <c r="G238" i="1"/>
  <c r="F238" i="1"/>
  <c r="N237" i="1"/>
  <c r="M237" i="1"/>
  <c r="L237" i="1"/>
  <c r="K237" i="1"/>
  <c r="I237" i="1"/>
  <c r="H237" i="1"/>
  <c r="G237" i="1"/>
  <c r="F237" i="1"/>
  <c r="N236" i="1"/>
  <c r="M236" i="1"/>
  <c r="L236" i="1"/>
  <c r="K236" i="1"/>
  <c r="I236" i="1"/>
  <c r="H236" i="1"/>
  <c r="G236" i="1"/>
  <c r="F236" i="1"/>
  <c r="N235" i="1"/>
  <c r="M235" i="1"/>
  <c r="L235" i="1"/>
  <c r="K235" i="1"/>
  <c r="I235" i="1"/>
  <c r="H235" i="1"/>
  <c r="G235" i="1"/>
  <c r="F235" i="1"/>
  <c r="N234" i="1"/>
  <c r="M234" i="1"/>
  <c r="L234" i="1"/>
  <c r="K234" i="1"/>
  <c r="I234" i="1"/>
  <c r="H234" i="1"/>
  <c r="G234" i="1"/>
  <c r="F234" i="1"/>
  <c r="N233" i="1"/>
  <c r="M233" i="1"/>
  <c r="L233" i="1"/>
  <c r="K233" i="1"/>
  <c r="I233" i="1"/>
  <c r="H233" i="1"/>
  <c r="G233" i="1"/>
  <c r="F233" i="1"/>
  <c r="N232" i="1"/>
  <c r="M232" i="1"/>
  <c r="L232" i="1"/>
  <c r="K232" i="1"/>
  <c r="I232" i="1"/>
  <c r="H232" i="1"/>
  <c r="G232" i="1"/>
  <c r="F232" i="1"/>
  <c r="N231" i="1"/>
  <c r="M231" i="1"/>
  <c r="L231" i="1"/>
  <c r="K231" i="1"/>
  <c r="I231" i="1"/>
  <c r="H231" i="1"/>
  <c r="G231" i="1"/>
  <c r="F231" i="1"/>
  <c r="N230" i="1"/>
  <c r="M230" i="1"/>
  <c r="L230" i="1"/>
  <c r="K230" i="1"/>
  <c r="I230" i="1"/>
  <c r="H230" i="1"/>
  <c r="G230" i="1"/>
  <c r="F230" i="1"/>
  <c r="N229" i="1"/>
  <c r="M229" i="1"/>
  <c r="L229" i="1"/>
  <c r="K229" i="1"/>
  <c r="I229" i="1"/>
  <c r="H229" i="1"/>
  <c r="G229" i="1"/>
  <c r="F229" i="1"/>
  <c r="N228" i="1"/>
  <c r="M228" i="1"/>
  <c r="L228" i="1"/>
  <c r="K228" i="1"/>
  <c r="I228" i="1"/>
  <c r="H228" i="1"/>
  <c r="G228" i="1"/>
  <c r="F228" i="1"/>
  <c r="N227" i="1"/>
  <c r="M227" i="1"/>
  <c r="L227" i="1"/>
  <c r="K227" i="1"/>
  <c r="I227" i="1"/>
  <c r="H227" i="1"/>
  <c r="G227" i="1"/>
  <c r="F227" i="1"/>
  <c r="N226" i="1"/>
  <c r="M226" i="1"/>
  <c r="L226" i="1"/>
  <c r="K226" i="1"/>
  <c r="I226" i="1"/>
  <c r="H226" i="1"/>
  <c r="G226" i="1"/>
  <c r="F226" i="1"/>
  <c r="N225" i="1"/>
  <c r="M225" i="1"/>
  <c r="L225" i="1"/>
  <c r="K225" i="1"/>
  <c r="I225" i="1"/>
  <c r="H225" i="1"/>
  <c r="G225" i="1"/>
  <c r="F225" i="1"/>
  <c r="N224" i="1"/>
  <c r="M224" i="1"/>
  <c r="L224" i="1"/>
  <c r="K224" i="1"/>
  <c r="I224" i="1"/>
  <c r="H224" i="1"/>
  <c r="G224" i="1"/>
  <c r="F224" i="1"/>
  <c r="N223" i="1"/>
  <c r="M223" i="1"/>
  <c r="L223" i="1"/>
  <c r="K223" i="1"/>
  <c r="I223" i="1"/>
  <c r="H223" i="1"/>
  <c r="G223" i="1"/>
  <c r="F223" i="1"/>
  <c r="N222" i="1"/>
  <c r="M222" i="1"/>
  <c r="L222" i="1"/>
  <c r="K222" i="1"/>
  <c r="I222" i="1"/>
  <c r="H222" i="1"/>
  <c r="G222" i="1"/>
  <c r="F222" i="1"/>
  <c r="N221" i="1"/>
  <c r="M221" i="1"/>
  <c r="L221" i="1"/>
  <c r="K221" i="1"/>
  <c r="I221" i="1"/>
  <c r="H221" i="1"/>
  <c r="G221" i="1"/>
  <c r="F221" i="1"/>
  <c r="N220" i="1"/>
  <c r="M220" i="1"/>
  <c r="L220" i="1"/>
  <c r="K220" i="1"/>
  <c r="I220" i="1"/>
  <c r="H220" i="1"/>
  <c r="G220" i="1"/>
  <c r="F220" i="1"/>
  <c r="N219" i="1"/>
  <c r="M219" i="1"/>
  <c r="L219" i="1"/>
  <c r="K219" i="1"/>
  <c r="I219" i="1"/>
  <c r="H219" i="1"/>
  <c r="G219" i="1"/>
  <c r="F219" i="1"/>
  <c r="N218" i="1"/>
  <c r="M218" i="1"/>
  <c r="L218" i="1"/>
  <c r="K218" i="1"/>
  <c r="I218" i="1"/>
  <c r="H218" i="1"/>
  <c r="G218" i="1"/>
  <c r="F218" i="1"/>
  <c r="N217" i="1"/>
  <c r="M217" i="1"/>
  <c r="L217" i="1"/>
  <c r="K217" i="1"/>
  <c r="I217" i="1"/>
  <c r="H217" i="1"/>
  <c r="G217" i="1"/>
  <c r="F217" i="1"/>
  <c r="N216" i="1"/>
  <c r="M216" i="1"/>
  <c r="L216" i="1"/>
  <c r="K216" i="1"/>
  <c r="I216" i="1"/>
  <c r="H216" i="1"/>
  <c r="G216" i="1"/>
  <c r="F216" i="1"/>
  <c r="N215" i="1"/>
  <c r="M215" i="1"/>
  <c r="L215" i="1"/>
  <c r="K215" i="1"/>
  <c r="I215" i="1"/>
  <c r="H215" i="1"/>
  <c r="G215" i="1"/>
  <c r="F215" i="1"/>
  <c r="N214" i="1"/>
  <c r="M214" i="1"/>
  <c r="L214" i="1"/>
  <c r="K214" i="1"/>
  <c r="I214" i="1"/>
  <c r="H214" i="1"/>
  <c r="G214" i="1"/>
  <c r="F214" i="1"/>
  <c r="N213" i="1"/>
  <c r="M213" i="1"/>
  <c r="L213" i="1"/>
  <c r="K213" i="1"/>
  <c r="I213" i="1"/>
  <c r="H213" i="1"/>
  <c r="G213" i="1"/>
  <c r="F213" i="1"/>
  <c r="N212" i="1"/>
  <c r="M212" i="1"/>
  <c r="L212" i="1"/>
  <c r="K212" i="1"/>
  <c r="I212" i="1"/>
  <c r="H212" i="1"/>
  <c r="G212" i="1"/>
  <c r="F212" i="1"/>
  <c r="N211" i="1"/>
  <c r="M211" i="1"/>
  <c r="L211" i="1"/>
  <c r="K211" i="1"/>
  <c r="I211" i="1"/>
  <c r="H211" i="1"/>
  <c r="G211" i="1"/>
  <c r="F211" i="1"/>
  <c r="N210" i="1"/>
  <c r="M210" i="1"/>
  <c r="L210" i="1"/>
  <c r="K210" i="1"/>
  <c r="I210" i="1"/>
  <c r="H210" i="1"/>
  <c r="G210" i="1"/>
  <c r="F210" i="1"/>
  <c r="N209" i="1"/>
  <c r="M209" i="1"/>
  <c r="L209" i="1"/>
  <c r="K209" i="1"/>
  <c r="I209" i="1"/>
  <c r="H209" i="1"/>
  <c r="G209" i="1"/>
  <c r="F209" i="1"/>
  <c r="N208" i="1"/>
  <c r="M208" i="1"/>
  <c r="L208" i="1"/>
  <c r="K208" i="1"/>
  <c r="I208" i="1"/>
  <c r="H208" i="1"/>
  <c r="G208" i="1"/>
  <c r="F208" i="1"/>
  <c r="N207" i="1"/>
  <c r="M207" i="1"/>
  <c r="L207" i="1"/>
  <c r="K207" i="1"/>
  <c r="I207" i="1"/>
  <c r="H207" i="1"/>
  <c r="G207" i="1"/>
  <c r="F207" i="1"/>
  <c r="N206" i="1"/>
  <c r="M206" i="1"/>
  <c r="L206" i="1"/>
  <c r="K206" i="1"/>
  <c r="I206" i="1"/>
  <c r="H206" i="1"/>
  <c r="G206" i="1"/>
  <c r="F206" i="1"/>
  <c r="N205" i="1"/>
  <c r="M205" i="1"/>
  <c r="L205" i="1"/>
  <c r="K205" i="1"/>
  <c r="I205" i="1"/>
  <c r="H205" i="1"/>
  <c r="G205" i="1"/>
  <c r="F205" i="1"/>
  <c r="N204" i="1"/>
  <c r="M204" i="1"/>
  <c r="L204" i="1"/>
  <c r="K204" i="1"/>
  <c r="I204" i="1"/>
  <c r="H204" i="1"/>
  <c r="G204" i="1"/>
  <c r="F204" i="1"/>
  <c r="N203" i="1"/>
  <c r="M203" i="1"/>
  <c r="L203" i="1"/>
  <c r="K203" i="1"/>
  <c r="I203" i="1"/>
  <c r="H203" i="1"/>
  <c r="G203" i="1"/>
  <c r="F203" i="1"/>
  <c r="N202" i="1"/>
  <c r="M202" i="1"/>
  <c r="L202" i="1"/>
  <c r="K202" i="1"/>
  <c r="I202" i="1"/>
  <c r="H202" i="1"/>
  <c r="G202" i="1"/>
  <c r="F202" i="1"/>
  <c r="N201" i="1"/>
  <c r="M201" i="1"/>
  <c r="L201" i="1"/>
  <c r="K201" i="1"/>
  <c r="I201" i="1"/>
  <c r="H201" i="1"/>
  <c r="G201" i="1"/>
  <c r="F201" i="1"/>
  <c r="N200" i="1"/>
  <c r="M200" i="1"/>
  <c r="L200" i="1"/>
  <c r="K200" i="1"/>
  <c r="I200" i="1"/>
  <c r="H200" i="1"/>
  <c r="G200" i="1"/>
  <c r="F200" i="1"/>
  <c r="N199" i="1"/>
  <c r="M199" i="1"/>
  <c r="L199" i="1"/>
  <c r="K199" i="1"/>
  <c r="I199" i="1"/>
  <c r="H199" i="1"/>
  <c r="G199" i="1"/>
  <c r="F199" i="1"/>
  <c r="N198" i="1"/>
  <c r="M198" i="1"/>
  <c r="L198" i="1"/>
  <c r="K198" i="1"/>
  <c r="I198" i="1"/>
  <c r="H198" i="1"/>
  <c r="G198" i="1"/>
  <c r="F198" i="1"/>
  <c r="N197" i="1"/>
  <c r="M197" i="1"/>
  <c r="L197" i="1"/>
  <c r="K197" i="1"/>
  <c r="I197" i="1"/>
  <c r="H197" i="1"/>
  <c r="G197" i="1"/>
  <c r="F197" i="1"/>
  <c r="N196" i="1"/>
  <c r="M196" i="1"/>
  <c r="L196" i="1"/>
  <c r="K196" i="1"/>
  <c r="I196" i="1"/>
  <c r="H196" i="1"/>
  <c r="G196" i="1"/>
  <c r="F196" i="1"/>
  <c r="N195" i="1"/>
  <c r="M195" i="1"/>
  <c r="L195" i="1"/>
  <c r="K195" i="1"/>
  <c r="I195" i="1"/>
  <c r="H195" i="1"/>
  <c r="G195" i="1"/>
  <c r="F195" i="1"/>
  <c r="N194" i="1"/>
  <c r="M194" i="1"/>
  <c r="L194" i="1"/>
  <c r="K194" i="1"/>
  <c r="I194" i="1"/>
  <c r="H194" i="1"/>
  <c r="G194" i="1"/>
  <c r="F194" i="1"/>
  <c r="N193" i="1"/>
  <c r="M193" i="1"/>
  <c r="L193" i="1"/>
  <c r="K193" i="1"/>
  <c r="I193" i="1"/>
  <c r="H193" i="1"/>
  <c r="G193" i="1"/>
  <c r="F193" i="1"/>
  <c r="N192" i="1"/>
  <c r="M192" i="1"/>
  <c r="L192" i="1"/>
  <c r="K192" i="1"/>
  <c r="I192" i="1"/>
  <c r="H192" i="1"/>
  <c r="G192" i="1"/>
  <c r="F192" i="1"/>
  <c r="N191" i="1"/>
  <c r="M191" i="1"/>
  <c r="L191" i="1"/>
  <c r="K191" i="1"/>
  <c r="I191" i="1"/>
  <c r="H191" i="1"/>
  <c r="G191" i="1"/>
  <c r="F191" i="1"/>
  <c r="N190" i="1"/>
  <c r="M190" i="1"/>
  <c r="L190" i="1"/>
  <c r="K190" i="1"/>
  <c r="I190" i="1"/>
  <c r="H190" i="1"/>
  <c r="G190" i="1"/>
  <c r="F190" i="1"/>
  <c r="N189" i="1"/>
  <c r="M189" i="1"/>
  <c r="L189" i="1"/>
  <c r="K189" i="1"/>
  <c r="I189" i="1"/>
  <c r="H189" i="1"/>
  <c r="G189" i="1"/>
  <c r="F189" i="1"/>
  <c r="N188" i="1"/>
  <c r="M188" i="1"/>
  <c r="L188" i="1"/>
  <c r="K188" i="1"/>
  <c r="I188" i="1"/>
  <c r="H188" i="1"/>
  <c r="G188" i="1"/>
  <c r="F188" i="1"/>
  <c r="N187" i="1"/>
  <c r="M187" i="1"/>
  <c r="L187" i="1"/>
  <c r="K187" i="1"/>
  <c r="I187" i="1"/>
  <c r="H187" i="1"/>
  <c r="G187" i="1"/>
  <c r="F187" i="1"/>
  <c r="N186" i="1"/>
  <c r="M186" i="1"/>
  <c r="L186" i="1"/>
  <c r="K186" i="1"/>
  <c r="I186" i="1"/>
  <c r="H186" i="1"/>
  <c r="G186" i="1"/>
  <c r="F186" i="1"/>
  <c r="N185" i="1"/>
  <c r="M185" i="1"/>
  <c r="L185" i="1"/>
  <c r="K185" i="1"/>
  <c r="I185" i="1"/>
  <c r="H185" i="1"/>
  <c r="G185" i="1"/>
  <c r="F185" i="1"/>
  <c r="N184" i="1"/>
  <c r="M184" i="1"/>
  <c r="L184" i="1"/>
  <c r="K184" i="1"/>
  <c r="I184" i="1"/>
  <c r="H184" i="1"/>
  <c r="G184" i="1"/>
  <c r="F184" i="1"/>
  <c r="N183" i="1"/>
  <c r="M183" i="1"/>
  <c r="L183" i="1"/>
  <c r="K183" i="1"/>
  <c r="I183" i="1"/>
  <c r="H183" i="1"/>
  <c r="G183" i="1"/>
  <c r="F183" i="1"/>
  <c r="N182" i="1"/>
  <c r="M182" i="1"/>
  <c r="L182" i="1"/>
  <c r="K182" i="1"/>
  <c r="I182" i="1"/>
  <c r="H182" i="1"/>
  <c r="G182" i="1"/>
  <c r="F182" i="1"/>
  <c r="N181" i="1"/>
  <c r="M181" i="1"/>
  <c r="L181" i="1"/>
  <c r="K181" i="1"/>
  <c r="I181" i="1"/>
  <c r="H181" i="1"/>
  <c r="G181" i="1"/>
  <c r="F181" i="1"/>
  <c r="N180" i="1"/>
  <c r="M180" i="1"/>
  <c r="L180" i="1"/>
  <c r="K180" i="1"/>
  <c r="I180" i="1"/>
  <c r="H180" i="1"/>
  <c r="G180" i="1"/>
  <c r="F180" i="1"/>
  <c r="N179" i="1"/>
  <c r="M179" i="1"/>
  <c r="L179" i="1"/>
  <c r="K179" i="1"/>
  <c r="I179" i="1"/>
  <c r="H179" i="1"/>
  <c r="G179" i="1"/>
  <c r="F179" i="1"/>
  <c r="N178" i="1"/>
  <c r="M178" i="1"/>
  <c r="L178" i="1"/>
  <c r="K178" i="1"/>
  <c r="I178" i="1"/>
  <c r="H178" i="1"/>
  <c r="G178" i="1"/>
  <c r="F178" i="1"/>
  <c r="N177" i="1"/>
  <c r="M177" i="1"/>
  <c r="L177" i="1"/>
  <c r="K177" i="1"/>
  <c r="I177" i="1"/>
  <c r="H177" i="1"/>
  <c r="G177" i="1"/>
  <c r="F177" i="1"/>
  <c r="N176" i="1"/>
  <c r="M176" i="1"/>
  <c r="L176" i="1"/>
  <c r="K176" i="1"/>
  <c r="I176" i="1"/>
  <c r="H176" i="1"/>
  <c r="G176" i="1"/>
  <c r="F176" i="1"/>
  <c r="N175" i="1"/>
  <c r="M175" i="1"/>
  <c r="L175" i="1"/>
  <c r="K175" i="1"/>
  <c r="I175" i="1"/>
  <c r="H175" i="1"/>
  <c r="G175" i="1"/>
  <c r="F175" i="1"/>
  <c r="N174" i="1"/>
  <c r="M174" i="1"/>
  <c r="L174" i="1"/>
  <c r="K174" i="1"/>
  <c r="I174" i="1"/>
  <c r="H174" i="1"/>
  <c r="G174" i="1"/>
  <c r="F174" i="1"/>
  <c r="N173" i="1"/>
  <c r="M173" i="1"/>
  <c r="L173" i="1"/>
  <c r="K173" i="1"/>
  <c r="I173" i="1"/>
  <c r="H173" i="1"/>
  <c r="G173" i="1"/>
  <c r="F173" i="1"/>
  <c r="N172" i="1"/>
  <c r="M172" i="1"/>
  <c r="L172" i="1"/>
  <c r="K172" i="1"/>
  <c r="I172" i="1"/>
  <c r="H172" i="1"/>
  <c r="G172" i="1"/>
  <c r="F172" i="1"/>
  <c r="N171" i="1"/>
  <c r="M171" i="1"/>
  <c r="L171" i="1"/>
  <c r="K171" i="1"/>
  <c r="I171" i="1"/>
  <c r="H171" i="1"/>
  <c r="G171" i="1"/>
  <c r="F171" i="1"/>
  <c r="N170" i="1"/>
  <c r="M170" i="1"/>
  <c r="L170" i="1"/>
  <c r="K170" i="1"/>
  <c r="I170" i="1"/>
  <c r="H170" i="1"/>
  <c r="G170" i="1"/>
  <c r="F170" i="1"/>
  <c r="N169" i="1"/>
  <c r="M169" i="1"/>
  <c r="L169" i="1"/>
  <c r="K169" i="1"/>
  <c r="I169" i="1"/>
  <c r="H169" i="1"/>
  <c r="G169" i="1"/>
  <c r="F169" i="1"/>
  <c r="N168" i="1"/>
  <c r="M168" i="1"/>
  <c r="L168" i="1"/>
  <c r="K168" i="1"/>
  <c r="I168" i="1"/>
  <c r="H168" i="1"/>
  <c r="G168" i="1"/>
  <c r="F168" i="1"/>
  <c r="N167" i="1"/>
  <c r="M167" i="1"/>
  <c r="L167" i="1"/>
  <c r="K167" i="1"/>
  <c r="I167" i="1"/>
  <c r="H167" i="1"/>
  <c r="G167" i="1"/>
  <c r="F167" i="1"/>
  <c r="N166" i="1"/>
  <c r="M166" i="1"/>
  <c r="L166" i="1"/>
  <c r="K166" i="1"/>
  <c r="I166" i="1"/>
  <c r="H166" i="1"/>
  <c r="G166" i="1"/>
  <c r="F166" i="1"/>
  <c r="N165" i="1"/>
  <c r="M165" i="1"/>
  <c r="L165" i="1"/>
  <c r="K165" i="1"/>
  <c r="I165" i="1"/>
  <c r="H165" i="1"/>
  <c r="G165" i="1"/>
  <c r="F165" i="1"/>
  <c r="N164" i="1"/>
  <c r="M164" i="1"/>
  <c r="L164" i="1"/>
  <c r="K164" i="1"/>
  <c r="I164" i="1"/>
  <c r="H164" i="1"/>
  <c r="G164" i="1"/>
  <c r="F164" i="1"/>
  <c r="N163" i="1"/>
  <c r="M163" i="1"/>
  <c r="L163" i="1"/>
  <c r="K163" i="1"/>
  <c r="I163" i="1"/>
  <c r="H163" i="1"/>
  <c r="G163" i="1"/>
  <c r="F163" i="1"/>
  <c r="N162" i="1"/>
  <c r="M162" i="1"/>
  <c r="L162" i="1"/>
  <c r="K162" i="1"/>
  <c r="I162" i="1"/>
  <c r="H162" i="1"/>
  <c r="G162" i="1"/>
  <c r="F162" i="1"/>
  <c r="N161" i="1"/>
  <c r="M161" i="1"/>
  <c r="L161" i="1"/>
  <c r="K161" i="1"/>
  <c r="I161" i="1"/>
  <c r="H161" i="1"/>
  <c r="G161" i="1"/>
  <c r="F161" i="1"/>
  <c r="N160" i="1"/>
  <c r="M160" i="1"/>
  <c r="L160" i="1"/>
  <c r="K160" i="1"/>
  <c r="I160" i="1"/>
  <c r="H160" i="1"/>
  <c r="G160" i="1"/>
  <c r="F160" i="1"/>
  <c r="N159" i="1"/>
  <c r="M159" i="1"/>
  <c r="L159" i="1"/>
  <c r="K159" i="1"/>
  <c r="I159" i="1"/>
  <c r="H159" i="1"/>
  <c r="G159" i="1"/>
  <c r="F159" i="1"/>
  <c r="N158" i="1"/>
  <c r="M158" i="1"/>
  <c r="L158" i="1"/>
  <c r="K158" i="1"/>
  <c r="I158" i="1"/>
  <c r="H158" i="1"/>
  <c r="G158" i="1"/>
  <c r="F158" i="1"/>
  <c r="N157" i="1"/>
  <c r="M157" i="1"/>
  <c r="L157" i="1"/>
  <c r="K157" i="1"/>
  <c r="I157" i="1"/>
  <c r="H157" i="1"/>
  <c r="G157" i="1"/>
  <c r="F157" i="1"/>
  <c r="N156" i="1"/>
  <c r="M156" i="1"/>
  <c r="L156" i="1"/>
  <c r="K156" i="1"/>
  <c r="I156" i="1"/>
  <c r="H156" i="1"/>
  <c r="G156" i="1"/>
  <c r="F156" i="1"/>
  <c r="N155" i="1"/>
  <c r="M155" i="1"/>
  <c r="L155" i="1"/>
  <c r="K155" i="1"/>
  <c r="I155" i="1"/>
  <c r="H155" i="1"/>
  <c r="G155" i="1"/>
  <c r="F155" i="1"/>
  <c r="N154" i="1"/>
  <c r="M154" i="1"/>
  <c r="L154" i="1"/>
  <c r="K154" i="1"/>
  <c r="I154" i="1"/>
  <c r="H154" i="1"/>
  <c r="G154" i="1"/>
  <c r="F154" i="1"/>
  <c r="N153" i="1"/>
  <c r="M153" i="1"/>
  <c r="L153" i="1"/>
  <c r="K153" i="1"/>
  <c r="I153" i="1"/>
  <c r="H153" i="1"/>
  <c r="G153" i="1"/>
  <c r="F153" i="1"/>
  <c r="N152" i="1"/>
  <c r="M152" i="1"/>
  <c r="L152" i="1"/>
  <c r="K152" i="1"/>
  <c r="I152" i="1"/>
  <c r="H152" i="1"/>
  <c r="G152" i="1"/>
  <c r="F152" i="1"/>
  <c r="N151" i="1"/>
  <c r="M151" i="1"/>
  <c r="L151" i="1"/>
  <c r="K151" i="1"/>
  <c r="I151" i="1"/>
  <c r="H151" i="1"/>
  <c r="G151" i="1"/>
  <c r="F151" i="1"/>
  <c r="N150" i="1"/>
  <c r="M150" i="1"/>
  <c r="L150" i="1"/>
  <c r="K150" i="1"/>
  <c r="I150" i="1"/>
  <c r="H150" i="1"/>
  <c r="G150" i="1"/>
  <c r="F150" i="1"/>
  <c r="N149" i="1"/>
  <c r="M149" i="1"/>
  <c r="L149" i="1"/>
  <c r="K149" i="1"/>
  <c r="I149" i="1"/>
  <c r="H149" i="1"/>
  <c r="G149" i="1"/>
  <c r="F149" i="1"/>
  <c r="N148" i="1"/>
  <c r="M148" i="1"/>
  <c r="L148" i="1"/>
  <c r="K148" i="1"/>
  <c r="I148" i="1"/>
  <c r="H148" i="1"/>
  <c r="G148" i="1"/>
  <c r="F148" i="1"/>
  <c r="N147" i="1"/>
  <c r="M147" i="1"/>
  <c r="L147" i="1"/>
  <c r="K147" i="1"/>
  <c r="I147" i="1"/>
  <c r="H147" i="1"/>
  <c r="G147" i="1"/>
  <c r="F147" i="1"/>
  <c r="N146" i="1"/>
  <c r="M146" i="1"/>
  <c r="L146" i="1"/>
  <c r="K146" i="1"/>
  <c r="I146" i="1"/>
  <c r="H146" i="1"/>
  <c r="G146" i="1"/>
  <c r="F146" i="1"/>
  <c r="N145" i="1"/>
  <c r="M145" i="1"/>
  <c r="L145" i="1"/>
  <c r="K145" i="1"/>
  <c r="I145" i="1"/>
  <c r="H145" i="1"/>
  <c r="G145" i="1"/>
  <c r="F145" i="1"/>
  <c r="N144" i="1"/>
  <c r="M144" i="1"/>
  <c r="L144" i="1"/>
  <c r="K144" i="1"/>
  <c r="I144" i="1"/>
  <c r="H144" i="1"/>
  <c r="G144" i="1"/>
  <c r="F144" i="1"/>
  <c r="N143" i="1"/>
  <c r="M143" i="1"/>
  <c r="L143" i="1"/>
  <c r="K143" i="1"/>
  <c r="I143" i="1"/>
  <c r="H143" i="1"/>
  <c r="G143" i="1"/>
  <c r="F143" i="1"/>
  <c r="N142" i="1"/>
  <c r="M142" i="1"/>
  <c r="L142" i="1"/>
  <c r="K142" i="1"/>
  <c r="I142" i="1"/>
  <c r="H142" i="1"/>
  <c r="G142" i="1"/>
  <c r="F142" i="1"/>
  <c r="N141" i="1"/>
  <c r="M141" i="1"/>
  <c r="L141" i="1"/>
  <c r="K141" i="1"/>
  <c r="I141" i="1"/>
  <c r="H141" i="1"/>
  <c r="G141" i="1"/>
  <c r="F141" i="1"/>
  <c r="N140" i="1"/>
  <c r="M140" i="1"/>
  <c r="L140" i="1"/>
  <c r="K140" i="1"/>
  <c r="I140" i="1"/>
  <c r="H140" i="1"/>
  <c r="G140" i="1"/>
  <c r="F140" i="1"/>
  <c r="N139" i="1"/>
  <c r="M139" i="1"/>
  <c r="L139" i="1"/>
  <c r="K139" i="1"/>
  <c r="I139" i="1"/>
  <c r="H139" i="1"/>
  <c r="G139" i="1"/>
  <c r="F139" i="1"/>
  <c r="N138" i="1"/>
  <c r="M138" i="1"/>
  <c r="L138" i="1"/>
  <c r="K138" i="1"/>
  <c r="I138" i="1"/>
  <c r="H138" i="1"/>
  <c r="G138" i="1"/>
  <c r="F138" i="1"/>
  <c r="N137" i="1"/>
  <c r="M137" i="1"/>
  <c r="L137" i="1"/>
  <c r="K137" i="1"/>
  <c r="I137" i="1"/>
  <c r="H137" i="1"/>
  <c r="G137" i="1"/>
  <c r="F137" i="1"/>
  <c r="N136" i="1"/>
  <c r="M136" i="1"/>
  <c r="L136" i="1"/>
  <c r="K136" i="1"/>
  <c r="I136" i="1"/>
  <c r="H136" i="1"/>
  <c r="G136" i="1"/>
  <c r="F136" i="1"/>
  <c r="N135" i="1"/>
  <c r="M135" i="1"/>
  <c r="L135" i="1"/>
  <c r="K135" i="1"/>
  <c r="I135" i="1"/>
  <c r="H135" i="1"/>
  <c r="G135" i="1"/>
  <c r="F135" i="1"/>
  <c r="N134" i="1"/>
  <c r="M134" i="1"/>
  <c r="L134" i="1"/>
  <c r="K134" i="1"/>
  <c r="I134" i="1"/>
  <c r="H134" i="1"/>
  <c r="G134" i="1"/>
  <c r="F134" i="1"/>
  <c r="N133" i="1"/>
  <c r="M133" i="1"/>
  <c r="L133" i="1"/>
  <c r="K133" i="1"/>
  <c r="I133" i="1"/>
  <c r="H133" i="1"/>
  <c r="G133" i="1"/>
  <c r="F133" i="1"/>
  <c r="N132" i="1"/>
  <c r="M132" i="1"/>
  <c r="L132" i="1"/>
  <c r="K132" i="1"/>
  <c r="I132" i="1"/>
  <c r="H132" i="1"/>
  <c r="G132" i="1"/>
  <c r="F132" i="1"/>
  <c r="N131" i="1"/>
  <c r="M131" i="1"/>
  <c r="L131" i="1"/>
  <c r="K131" i="1"/>
  <c r="I131" i="1"/>
  <c r="H131" i="1"/>
  <c r="G131" i="1"/>
  <c r="F131" i="1"/>
  <c r="N130" i="1"/>
  <c r="M130" i="1"/>
  <c r="L130" i="1"/>
  <c r="K130" i="1"/>
  <c r="I130" i="1"/>
  <c r="H130" i="1"/>
  <c r="G130" i="1"/>
  <c r="F130" i="1"/>
  <c r="N129" i="1"/>
  <c r="M129" i="1"/>
  <c r="L129" i="1"/>
  <c r="K129" i="1"/>
  <c r="I129" i="1"/>
  <c r="H129" i="1"/>
  <c r="G129" i="1"/>
  <c r="F129" i="1"/>
  <c r="N128" i="1"/>
  <c r="M128" i="1"/>
  <c r="L128" i="1"/>
  <c r="K128" i="1"/>
  <c r="I128" i="1"/>
  <c r="H128" i="1"/>
  <c r="G128" i="1"/>
  <c r="F128" i="1"/>
  <c r="N127" i="1"/>
  <c r="M127" i="1"/>
  <c r="L127" i="1"/>
  <c r="K127" i="1"/>
  <c r="I127" i="1"/>
  <c r="H127" i="1"/>
  <c r="G127" i="1"/>
  <c r="F127" i="1"/>
  <c r="N126" i="1"/>
  <c r="M126" i="1"/>
  <c r="L126" i="1"/>
  <c r="K126" i="1"/>
  <c r="I126" i="1"/>
  <c r="H126" i="1"/>
  <c r="G126" i="1"/>
  <c r="F126" i="1"/>
  <c r="N125" i="1"/>
  <c r="M125" i="1"/>
  <c r="L125" i="1"/>
  <c r="K125" i="1"/>
  <c r="I125" i="1"/>
  <c r="H125" i="1"/>
  <c r="G125" i="1"/>
  <c r="F125" i="1"/>
  <c r="N124" i="1"/>
  <c r="M124" i="1"/>
  <c r="L124" i="1"/>
  <c r="K124" i="1"/>
  <c r="I124" i="1"/>
  <c r="H124" i="1"/>
  <c r="G124" i="1"/>
  <c r="F124" i="1"/>
  <c r="N123" i="1"/>
  <c r="M123" i="1"/>
  <c r="L123" i="1"/>
  <c r="K123" i="1"/>
  <c r="I123" i="1"/>
  <c r="H123" i="1"/>
  <c r="G123" i="1"/>
  <c r="F123" i="1"/>
  <c r="N122" i="1"/>
  <c r="M122" i="1"/>
  <c r="L122" i="1"/>
  <c r="K122" i="1"/>
  <c r="I122" i="1"/>
  <c r="H122" i="1"/>
  <c r="G122" i="1"/>
  <c r="F122" i="1"/>
  <c r="N121" i="1"/>
  <c r="M121" i="1"/>
  <c r="L121" i="1"/>
  <c r="K121" i="1"/>
  <c r="I121" i="1"/>
  <c r="H121" i="1"/>
  <c r="G121" i="1"/>
  <c r="F121" i="1"/>
  <c r="N120" i="1"/>
  <c r="M120" i="1"/>
  <c r="L120" i="1"/>
  <c r="K120" i="1"/>
  <c r="I120" i="1"/>
  <c r="H120" i="1"/>
  <c r="G120" i="1"/>
  <c r="F120" i="1"/>
  <c r="N119" i="1"/>
  <c r="M119" i="1"/>
  <c r="L119" i="1"/>
  <c r="K119" i="1"/>
  <c r="I119" i="1"/>
  <c r="H119" i="1"/>
  <c r="G119" i="1"/>
  <c r="F119" i="1"/>
  <c r="N118" i="1"/>
  <c r="M118" i="1"/>
  <c r="L118" i="1"/>
  <c r="K118" i="1"/>
  <c r="I118" i="1"/>
  <c r="H118" i="1"/>
  <c r="G118" i="1"/>
  <c r="F118" i="1"/>
  <c r="N117" i="1"/>
  <c r="M117" i="1"/>
  <c r="L117" i="1"/>
  <c r="K117" i="1"/>
  <c r="I117" i="1"/>
  <c r="H117" i="1"/>
  <c r="G117" i="1"/>
  <c r="F117" i="1"/>
  <c r="N116" i="1"/>
  <c r="M116" i="1"/>
  <c r="L116" i="1"/>
  <c r="K116" i="1"/>
  <c r="I116" i="1"/>
  <c r="H116" i="1"/>
  <c r="G116" i="1"/>
  <c r="F116" i="1"/>
  <c r="N115" i="1"/>
  <c r="M115" i="1"/>
  <c r="L115" i="1"/>
  <c r="K115" i="1"/>
  <c r="I115" i="1"/>
  <c r="H115" i="1"/>
  <c r="G115" i="1"/>
  <c r="F115" i="1"/>
  <c r="N114" i="1"/>
  <c r="M114" i="1"/>
  <c r="L114" i="1"/>
  <c r="K114" i="1"/>
  <c r="I114" i="1"/>
  <c r="H114" i="1"/>
  <c r="G114" i="1"/>
  <c r="F114" i="1"/>
  <c r="N113" i="1"/>
  <c r="M113" i="1"/>
  <c r="L113" i="1"/>
  <c r="K113" i="1"/>
  <c r="I113" i="1"/>
  <c r="H113" i="1"/>
  <c r="G113" i="1"/>
  <c r="F113" i="1"/>
  <c r="N112" i="1"/>
  <c r="M112" i="1"/>
  <c r="L112" i="1"/>
  <c r="K112" i="1"/>
  <c r="I112" i="1"/>
  <c r="H112" i="1"/>
  <c r="G112" i="1"/>
  <c r="F112" i="1"/>
  <c r="N111" i="1"/>
  <c r="M111" i="1"/>
  <c r="L111" i="1"/>
  <c r="K111" i="1"/>
  <c r="I111" i="1"/>
  <c r="H111" i="1"/>
  <c r="G111" i="1"/>
  <c r="F111" i="1"/>
  <c r="N110" i="1"/>
  <c r="M110" i="1"/>
  <c r="L110" i="1"/>
  <c r="K110" i="1"/>
  <c r="I110" i="1"/>
  <c r="H110" i="1"/>
  <c r="G110" i="1"/>
  <c r="F110" i="1"/>
  <c r="N109" i="1"/>
  <c r="M109" i="1"/>
  <c r="L109" i="1"/>
  <c r="K109" i="1"/>
  <c r="I109" i="1"/>
  <c r="H109" i="1"/>
  <c r="G109" i="1"/>
  <c r="F109" i="1"/>
  <c r="N108" i="1"/>
  <c r="M108" i="1"/>
  <c r="L108" i="1"/>
  <c r="K108" i="1"/>
  <c r="I108" i="1"/>
  <c r="H108" i="1"/>
  <c r="G108" i="1"/>
  <c r="F108" i="1"/>
  <c r="N107" i="1"/>
  <c r="M107" i="1"/>
  <c r="L107" i="1"/>
  <c r="K107" i="1"/>
  <c r="I107" i="1"/>
  <c r="H107" i="1"/>
  <c r="G107" i="1"/>
  <c r="F107" i="1"/>
  <c r="N106" i="1"/>
  <c r="M106" i="1"/>
  <c r="L106" i="1"/>
  <c r="K106" i="1"/>
  <c r="I106" i="1"/>
  <c r="H106" i="1"/>
  <c r="G106" i="1"/>
  <c r="F106" i="1"/>
  <c r="N105" i="1"/>
  <c r="M105" i="1"/>
  <c r="L105" i="1"/>
  <c r="K105" i="1"/>
  <c r="I105" i="1"/>
  <c r="H105" i="1"/>
  <c r="G105" i="1"/>
  <c r="F105" i="1"/>
  <c r="N104" i="1"/>
  <c r="M104" i="1"/>
  <c r="L104" i="1"/>
  <c r="K104" i="1"/>
  <c r="I104" i="1"/>
  <c r="H104" i="1"/>
  <c r="G104" i="1"/>
  <c r="F104" i="1"/>
  <c r="N103" i="1"/>
  <c r="M103" i="1"/>
  <c r="L103" i="1"/>
  <c r="K103" i="1"/>
  <c r="I103" i="1"/>
  <c r="H103" i="1"/>
  <c r="G103" i="1"/>
  <c r="F103" i="1"/>
  <c r="N102" i="1"/>
  <c r="M102" i="1"/>
  <c r="L102" i="1"/>
  <c r="K102" i="1"/>
  <c r="I102" i="1"/>
  <c r="H102" i="1"/>
  <c r="G102" i="1"/>
  <c r="F102" i="1"/>
  <c r="N101" i="1"/>
  <c r="M101" i="1"/>
  <c r="L101" i="1"/>
  <c r="K101" i="1"/>
  <c r="I101" i="1"/>
  <c r="H101" i="1"/>
  <c r="G101" i="1"/>
  <c r="F101" i="1"/>
  <c r="N100" i="1"/>
  <c r="M100" i="1"/>
  <c r="L100" i="1"/>
  <c r="K100" i="1"/>
  <c r="I100" i="1"/>
  <c r="H100" i="1"/>
  <c r="G100" i="1"/>
  <c r="F100" i="1"/>
  <c r="N99" i="1"/>
  <c r="M99" i="1"/>
  <c r="L99" i="1"/>
  <c r="K99" i="1"/>
  <c r="I99" i="1"/>
  <c r="H99" i="1"/>
  <c r="G99" i="1"/>
  <c r="F99" i="1"/>
  <c r="N98" i="1"/>
  <c r="M98" i="1"/>
  <c r="L98" i="1"/>
  <c r="K98" i="1"/>
  <c r="I98" i="1"/>
  <c r="H98" i="1"/>
  <c r="G98" i="1"/>
  <c r="F98" i="1"/>
  <c r="N97" i="1"/>
  <c r="M97" i="1"/>
  <c r="L97" i="1"/>
  <c r="K97" i="1"/>
  <c r="I97" i="1"/>
  <c r="H97" i="1"/>
  <c r="G97" i="1"/>
  <c r="F97" i="1"/>
  <c r="N96" i="1"/>
  <c r="M96" i="1"/>
  <c r="L96" i="1"/>
  <c r="K96" i="1"/>
  <c r="I96" i="1"/>
  <c r="H96" i="1"/>
  <c r="G96" i="1"/>
  <c r="F96" i="1"/>
  <c r="N95" i="1"/>
  <c r="M95" i="1"/>
  <c r="L95" i="1"/>
  <c r="K95" i="1"/>
  <c r="I95" i="1"/>
  <c r="H95" i="1"/>
  <c r="G95" i="1"/>
  <c r="F95" i="1"/>
  <c r="N94" i="1"/>
  <c r="M94" i="1"/>
  <c r="L94" i="1"/>
  <c r="K94" i="1"/>
  <c r="I94" i="1"/>
  <c r="H94" i="1"/>
  <c r="G94" i="1"/>
  <c r="F94" i="1"/>
  <c r="N93" i="1"/>
  <c r="M93" i="1"/>
  <c r="L93" i="1"/>
  <c r="K93" i="1"/>
  <c r="I93" i="1"/>
  <c r="H93" i="1"/>
  <c r="G93" i="1"/>
  <c r="F93" i="1"/>
  <c r="N92" i="1"/>
  <c r="M92" i="1"/>
  <c r="L92" i="1"/>
  <c r="K92" i="1"/>
  <c r="I92" i="1"/>
  <c r="H92" i="1"/>
  <c r="G92" i="1"/>
  <c r="F92" i="1"/>
  <c r="N91" i="1"/>
  <c r="M91" i="1"/>
  <c r="L91" i="1"/>
  <c r="K91" i="1"/>
  <c r="I91" i="1"/>
  <c r="H91" i="1"/>
  <c r="G91" i="1"/>
  <c r="F91" i="1"/>
  <c r="N90" i="1"/>
  <c r="M90" i="1"/>
  <c r="L90" i="1"/>
  <c r="K90" i="1"/>
  <c r="I90" i="1"/>
  <c r="H90" i="1"/>
  <c r="G90" i="1"/>
  <c r="F90" i="1"/>
  <c r="N89" i="1"/>
  <c r="M89" i="1"/>
  <c r="L89" i="1"/>
  <c r="K89" i="1"/>
  <c r="I89" i="1"/>
  <c r="H89" i="1"/>
  <c r="G89" i="1"/>
  <c r="F89" i="1"/>
  <c r="N88" i="1"/>
  <c r="M88" i="1"/>
  <c r="L88" i="1"/>
  <c r="K88" i="1"/>
  <c r="I88" i="1"/>
  <c r="H88" i="1"/>
  <c r="G88" i="1"/>
  <c r="F88" i="1"/>
  <c r="N87" i="1"/>
  <c r="M87" i="1"/>
  <c r="L87" i="1"/>
  <c r="K87" i="1"/>
  <c r="I87" i="1"/>
  <c r="H87" i="1"/>
  <c r="G87" i="1"/>
  <c r="F87" i="1"/>
  <c r="N86" i="1"/>
  <c r="M86" i="1"/>
  <c r="L86" i="1"/>
  <c r="K86" i="1"/>
  <c r="I86" i="1"/>
  <c r="H86" i="1"/>
  <c r="G86" i="1"/>
  <c r="F86" i="1"/>
  <c r="N85" i="1"/>
  <c r="M85" i="1"/>
  <c r="L85" i="1"/>
  <c r="K85" i="1"/>
  <c r="I85" i="1"/>
  <c r="H85" i="1"/>
  <c r="G85" i="1"/>
  <c r="F85" i="1"/>
  <c r="N84" i="1"/>
  <c r="M84" i="1"/>
  <c r="L84" i="1"/>
  <c r="K84" i="1"/>
  <c r="I84" i="1"/>
  <c r="H84" i="1"/>
  <c r="G84" i="1"/>
  <c r="F84" i="1"/>
  <c r="N83" i="1"/>
  <c r="M83" i="1"/>
  <c r="L83" i="1"/>
  <c r="K83" i="1"/>
  <c r="I83" i="1"/>
  <c r="H83" i="1"/>
  <c r="G83" i="1"/>
  <c r="F83" i="1"/>
  <c r="N82" i="1"/>
  <c r="M82" i="1"/>
  <c r="L82" i="1"/>
  <c r="K82" i="1"/>
  <c r="I82" i="1"/>
  <c r="H82" i="1"/>
  <c r="G82" i="1"/>
  <c r="F82" i="1"/>
  <c r="N81" i="1"/>
  <c r="M81" i="1"/>
  <c r="L81" i="1"/>
  <c r="K81" i="1"/>
  <c r="I81" i="1"/>
  <c r="H81" i="1"/>
  <c r="G81" i="1"/>
  <c r="F81" i="1"/>
  <c r="N80" i="1"/>
  <c r="M80" i="1"/>
  <c r="L80" i="1"/>
  <c r="K80" i="1"/>
  <c r="I80" i="1"/>
  <c r="H80" i="1"/>
  <c r="G80" i="1"/>
  <c r="F80" i="1"/>
  <c r="N79" i="1"/>
  <c r="M79" i="1"/>
  <c r="L79" i="1"/>
  <c r="K79" i="1"/>
  <c r="I79" i="1"/>
  <c r="H79" i="1"/>
  <c r="G79" i="1"/>
  <c r="F79" i="1"/>
  <c r="N78" i="1"/>
  <c r="M78" i="1"/>
  <c r="L78" i="1"/>
  <c r="K78" i="1"/>
  <c r="I78" i="1"/>
  <c r="H78" i="1"/>
  <c r="G78" i="1"/>
  <c r="F78" i="1"/>
  <c r="N77" i="1"/>
  <c r="M77" i="1"/>
  <c r="L77" i="1"/>
  <c r="K77" i="1"/>
  <c r="I77" i="1"/>
  <c r="H77" i="1"/>
  <c r="G77" i="1"/>
  <c r="F77" i="1"/>
  <c r="N76" i="1"/>
  <c r="M76" i="1"/>
  <c r="L76" i="1"/>
  <c r="K76" i="1"/>
  <c r="I76" i="1"/>
  <c r="H76" i="1"/>
  <c r="G76" i="1"/>
  <c r="F76" i="1"/>
  <c r="N75" i="1"/>
  <c r="M75" i="1"/>
  <c r="L75" i="1"/>
  <c r="K75" i="1"/>
  <c r="I75" i="1"/>
  <c r="H75" i="1"/>
  <c r="G75" i="1"/>
  <c r="F75" i="1"/>
  <c r="N74" i="1"/>
  <c r="M74" i="1"/>
  <c r="L74" i="1"/>
  <c r="K74" i="1"/>
  <c r="I74" i="1"/>
  <c r="H74" i="1"/>
  <c r="G74" i="1"/>
  <c r="F74" i="1"/>
  <c r="N73" i="1"/>
  <c r="M73" i="1"/>
  <c r="L73" i="1"/>
  <c r="K73" i="1"/>
  <c r="I73" i="1"/>
  <c r="H73" i="1"/>
  <c r="G73" i="1"/>
  <c r="F73" i="1"/>
  <c r="N72" i="1"/>
  <c r="M72" i="1"/>
  <c r="L72" i="1"/>
  <c r="K72" i="1"/>
  <c r="I72" i="1"/>
  <c r="H72" i="1"/>
  <c r="G72" i="1"/>
  <c r="F72" i="1"/>
  <c r="N71" i="1"/>
  <c r="M71" i="1"/>
  <c r="L71" i="1"/>
  <c r="K71" i="1"/>
  <c r="I71" i="1"/>
  <c r="H71" i="1"/>
  <c r="G71" i="1"/>
  <c r="F71" i="1"/>
  <c r="N70" i="1"/>
  <c r="M70" i="1"/>
  <c r="L70" i="1"/>
  <c r="K70" i="1"/>
  <c r="I70" i="1"/>
  <c r="H70" i="1"/>
  <c r="G70" i="1"/>
  <c r="F70" i="1"/>
  <c r="N69" i="1"/>
  <c r="M69" i="1"/>
  <c r="L69" i="1"/>
  <c r="K69" i="1"/>
  <c r="I69" i="1"/>
  <c r="H69" i="1"/>
  <c r="G69" i="1"/>
  <c r="F69" i="1"/>
  <c r="N68" i="1"/>
  <c r="M68" i="1"/>
  <c r="L68" i="1"/>
  <c r="K68" i="1"/>
  <c r="I68" i="1"/>
  <c r="H68" i="1"/>
  <c r="G68" i="1"/>
  <c r="F68" i="1"/>
  <c r="N67" i="1"/>
  <c r="M67" i="1"/>
  <c r="L67" i="1"/>
  <c r="K67" i="1"/>
  <c r="I67" i="1"/>
  <c r="H67" i="1"/>
  <c r="G67" i="1"/>
  <c r="F67" i="1"/>
  <c r="N66" i="1"/>
  <c r="M66" i="1"/>
  <c r="L66" i="1"/>
  <c r="K66" i="1"/>
  <c r="I66" i="1"/>
  <c r="H66" i="1"/>
  <c r="G66" i="1"/>
  <c r="F66" i="1"/>
  <c r="N65" i="1"/>
  <c r="M65" i="1"/>
  <c r="L65" i="1"/>
  <c r="K65" i="1"/>
  <c r="I65" i="1"/>
  <c r="H65" i="1"/>
  <c r="G65" i="1"/>
  <c r="F65" i="1"/>
  <c r="N64" i="1"/>
  <c r="M64" i="1"/>
  <c r="L64" i="1"/>
  <c r="K64" i="1"/>
  <c r="I64" i="1"/>
  <c r="H64" i="1"/>
  <c r="G64" i="1"/>
  <c r="F64" i="1"/>
  <c r="N63" i="1"/>
  <c r="M63" i="1"/>
  <c r="L63" i="1"/>
  <c r="K63" i="1"/>
  <c r="I63" i="1"/>
  <c r="H63" i="1"/>
  <c r="G63" i="1"/>
  <c r="F63" i="1"/>
  <c r="N62" i="1"/>
  <c r="M62" i="1"/>
  <c r="L62" i="1"/>
  <c r="K62" i="1"/>
  <c r="I62" i="1"/>
  <c r="H62" i="1"/>
  <c r="G62" i="1"/>
  <c r="F62" i="1"/>
  <c r="N61" i="1"/>
  <c r="M61" i="1"/>
  <c r="L61" i="1"/>
  <c r="K61" i="1"/>
  <c r="I61" i="1"/>
  <c r="H61" i="1"/>
  <c r="G61" i="1"/>
  <c r="F61" i="1"/>
  <c r="N60" i="1"/>
  <c r="M60" i="1"/>
  <c r="L60" i="1"/>
  <c r="K60" i="1"/>
  <c r="I60" i="1"/>
  <c r="H60" i="1"/>
  <c r="G60" i="1"/>
  <c r="F60" i="1"/>
  <c r="N59" i="1"/>
  <c r="M59" i="1"/>
  <c r="L59" i="1"/>
  <c r="K59" i="1"/>
  <c r="I59" i="1"/>
  <c r="H59" i="1"/>
  <c r="G59" i="1"/>
  <c r="F59" i="1"/>
  <c r="N58" i="1"/>
  <c r="M58" i="1"/>
  <c r="L58" i="1"/>
  <c r="K58" i="1"/>
  <c r="I58" i="1"/>
  <c r="H58" i="1"/>
  <c r="G58" i="1"/>
  <c r="F58" i="1"/>
  <c r="N57" i="1"/>
  <c r="M57" i="1"/>
  <c r="L57" i="1"/>
  <c r="K57" i="1"/>
  <c r="I57" i="1"/>
  <c r="H57" i="1"/>
  <c r="G57" i="1"/>
  <c r="F57" i="1"/>
  <c r="N56" i="1"/>
  <c r="M56" i="1"/>
  <c r="L56" i="1"/>
  <c r="K56" i="1"/>
  <c r="I56" i="1"/>
  <c r="H56" i="1"/>
  <c r="G56" i="1"/>
  <c r="F56" i="1"/>
  <c r="N55" i="1"/>
  <c r="M55" i="1"/>
  <c r="L55" i="1"/>
  <c r="K55" i="1"/>
  <c r="I55" i="1"/>
  <c r="H55" i="1"/>
  <c r="G55" i="1"/>
  <c r="F55" i="1"/>
  <c r="N54" i="1"/>
  <c r="M54" i="1"/>
  <c r="L54" i="1"/>
  <c r="K54" i="1"/>
  <c r="I54" i="1"/>
  <c r="H54" i="1"/>
  <c r="G54" i="1"/>
  <c r="F54" i="1"/>
  <c r="N53" i="1"/>
  <c r="M53" i="1"/>
  <c r="L53" i="1"/>
  <c r="K53" i="1"/>
  <c r="I53" i="1"/>
  <c r="H53" i="1"/>
  <c r="G53" i="1"/>
  <c r="F53" i="1"/>
  <c r="N52" i="1"/>
  <c r="M52" i="1"/>
  <c r="L52" i="1"/>
  <c r="K52" i="1"/>
  <c r="I52" i="1"/>
  <c r="H52" i="1"/>
  <c r="G52" i="1"/>
  <c r="F52" i="1"/>
  <c r="N51" i="1"/>
  <c r="M51" i="1"/>
  <c r="L51" i="1"/>
  <c r="K51" i="1"/>
  <c r="I51" i="1"/>
  <c r="H51" i="1"/>
  <c r="G51" i="1"/>
  <c r="F51" i="1"/>
  <c r="N50" i="1"/>
  <c r="M50" i="1"/>
  <c r="L50" i="1"/>
  <c r="K50" i="1"/>
  <c r="I50" i="1"/>
  <c r="H50" i="1"/>
  <c r="G50" i="1"/>
  <c r="F50" i="1"/>
  <c r="N49" i="1"/>
  <c r="M49" i="1"/>
  <c r="L49" i="1"/>
  <c r="K49" i="1"/>
  <c r="I49" i="1"/>
  <c r="H49" i="1"/>
  <c r="G49" i="1"/>
  <c r="F49" i="1"/>
  <c r="N48" i="1"/>
  <c r="M48" i="1"/>
  <c r="L48" i="1"/>
  <c r="K48" i="1"/>
  <c r="I48" i="1"/>
  <c r="H48" i="1"/>
  <c r="G48" i="1"/>
  <c r="F48" i="1"/>
  <c r="N47" i="1"/>
  <c r="M47" i="1"/>
  <c r="L47" i="1"/>
  <c r="K47" i="1"/>
  <c r="I47" i="1"/>
  <c r="H47" i="1"/>
  <c r="G47" i="1"/>
  <c r="F47" i="1"/>
  <c r="N46" i="1"/>
  <c r="M46" i="1"/>
  <c r="L46" i="1"/>
  <c r="K46" i="1"/>
  <c r="I46" i="1"/>
  <c r="H46" i="1"/>
  <c r="G46" i="1"/>
  <c r="F46" i="1"/>
  <c r="N45" i="1"/>
  <c r="M45" i="1"/>
  <c r="L45" i="1"/>
  <c r="K45" i="1"/>
  <c r="I45" i="1"/>
  <c r="H45" i="1"/>
  <c r="G45" i="1"/>
  <c r="F45" i="1"/>
  <c r="N44" i="1"/>
  <c r="M44" i="1"/>
  <c r="L44" i="1"/>
  <c r="K44" i="1"/>
  <c r="I44" i="1"/>
  <c r="H44" i="1"/>
  <c r="G44" i="1"/>
  <c r="F44" i="1"/>
  <c r="N43" i="1"/>
  <c r="M43" i="1"/>
  <c r="L43" i="1"/>
  <c r="K43" i="1"/>
  <c r="I43" i="1"/>
  <c r="H43" i="1"/>
  <c r="G43" i="1"/>
  <c r="F43" i="1"/>
  <c r="N42" i="1"/>
  <c r="M42" i="1"/>
  <c r="L42" i="1"/>
  <c r="K42" i="1"/>
  <c r="I42" i="1"/>
  <c r="H42" i="1"/>
  <c r="G42" i="1"/>
  <c r="F42" i="1"/>
  <c r="N41" i="1"/>
  <c r="M41" i="1"/>
  <c r="L41" i="1"/>
  <c r="K41" i="1"/>
  <c r="I41" i="1"/>
  <c r="H41" i="1"/>
  <c r="G41" i="1"/>
  <c r="F41" i="1"/>
  <c r="N40" i="1"/>
  <c r="M40" i="1"/>
  <c r="L40" i="1"/>
  <c r="K40" i="1"/>
  <c r="I40" i="1"/>
  <c r="H40" i="1"/>
  <c r="G40" i="1"/>
  <c r="F40" i="1"/>
  <c r="N39" i="1"/>
  <c r="M39" i="1"/>
  <c r="L39" i="1"/>
  <c r="K39" i="1"/>
  <c r="I39" i="1"/>
  <c r="H39" i="1"/>
  <c r="G39" i="1"/>
  <c r="F39" i="1"/>
  <c r="N38" i="1"/>
  <c r="M38" i="1"/>
  <c r="L38" i="1"/>
  <c r="K38" i="1"/>
  <c r="I38" i="1"/>
  <c r="H38" i="1"/>
  <c r="G38" i="1"/>
  <c r="F38" i="1"/>
  <c r="N37" i="1"/>
  <c r="M37" i="1"/>
  <c r="L37" i="1"/>
  <c r="K37" i="1"/>
  <c r="I37" i="1"/>
  <c r="H37" i="1"/>
  <c r="G37" i="1"/>
  <c r="F37" i="1"/>
  <c r="N36" i="1"/>
  <c r="M36" i="1"/>
  <c r="L36" i="1"/>
  <c r="K36" i="1"/>
  <c r="I36" i="1"/>
  <c r="H36" i="1"/>
  <c r="G36" i="1"/>
  <c r="F36" i="1"/>
  <c r="N35" i="1"/>
  <c r="M35" i="1"/>
  <c r="L35" i="1"/>
  <c r="K35" i="1"/>
  <c r="I35" i="1"/>
  <c r="H35" i="1"/>
  <c r="G35" i="1"/>
  <c r="F35" i="1"/>
  <c r="N34" i="1"/>
  <c r="M34" i="1"/>
  <c r="L34" i="1"/>
  <c r="K34" i="1"/>
  <c r="I34" i="1"/>
  <c r="H34" i="1"/>
  <c r="G34" i="1"/>
  <c r="F34" i="1"/>
  <c r="N33" i="1"/>
  <c r="M33" i="1"/>
  <c r="L33" i="1"/>
  <c r="K33" i="1"/>
  <c r="I33" i="1"/>
  <c r="H33" i="1"/>
  <c r="G33" i="1"/>
  <c r="F33" i="1"/>
  <c r="N32" i="1"/>
  <c r="M32" i="1"/>
  <c r="L32" i="1"/>
  <c r="K32" i="1"/>
  <c r="I32" i="1"/>
  <c r="H32" i="1"/>
  <c r="G32" i="1"/>
  <c r="F32" i="1"/>
  <c r="N31" i="1"/>
  <c r="M31" i="1"/>
  <c r="L31" i="1"/>
  <c r="K31" i="1"/>
  <c r="I31" i="1"/>
  <c r="H31" i="1"/>
  <c r="G31" i="1"/>
  <c r="F31" i="1"/>
  <c r="N30" i="1"/>
  <c r="M30" i="1"/>
  <c r="L30" i="1"/>
  <c r="K30" i="1"/>
  <c r="I30" i="1"/>
  <c r="H30" i="1"/>
  <c r="G30" i="1"/>
  <c r="F30" i="1"/>
  <c r="N29" i="1"/>
  <c r="M29" i="1"/>
  <c r="L29" i="1"/>
  <c r="K29" i="1"/>
  <c r="I29" i="1"/>
  <c r="H29" i="1"/>
  <c r="G29" i="1"/>
  <c r="F29" i="1"/>
  <c r="N28" i="1"/>
  <c r="M28" i="1"/>
  <c r="L28" i="1"/>
  <c r="K28" i="1"/>
  <c r="I28" i="1"/>
  <c r="H28" i="1"/>
  <c r="G28" i="1"/>
  <c r="F28" i="1"/>
  <c r="N27" i="1"/>
  <c r="M27" i="1"/>
  <c r="L27" i="1"/>
  <c r="K27" i="1"/>
  <c r="I27" i="1"/>
  <c r="H27" i="1"/>
  <c r="G27" i="1"/>
  <c r="F27" i="1"/>
  <c r="N26" i="1"/>
  <c r="M26" i="1"/>
  <c r="L26" i="1"/>
  <c r="K26" i="1"/>
  <c r="I26" i="1"/>
  <c r="H26" i="1"/>
  <c r="G26" i="1"/>
  <c r="F26" i="1"/>
  <c r="N25" i="1"/>
  <c r="M25" i="1"/>
  <c r="L25" i="1"/>
  <c r="K25" i="1"/>
  <c r="I25" i="1"/>
  <c r="H25" i="1"/>
  <c r="G25" i="1"/>
  <c r="F25" i="1"/>
  <c r="N24" i="1"/>
  <c r="M24" i="1"/>
  <c r="L24" i="1"/>
  <c r="K24" i="1"/>
  <c r="I24" i="1"/>
  <c r="H24" i="1"/>
  <c r="G24" i="1"/>
  <c r="F24" i="1"/>
  <c r="N23" i="1"/>
  <c r="M23" i="1"/>
  <c r="L23" i="1"/>
  <c r="K23" i="1"/>
  <c r="I23" i="1"/>
  <c r="H23" i="1"/>
  <c r="G23" i="1"/>
  <c r="F23" i="1"/>
  <c r="N22" i="1"/>
  <c r="M22" i="1"/>
  <c r="L22" i="1"/>
  <c r="K22" i="1"/>
  <c r="I22" i="1"/>
  <c r="H22" i="1"/>
  <c r="G22" i="1"/>
  <c r="F22" i="1"/>
  <c r="N21" i="1"/>
  <c r="M21" i="1"/>
  <c r="L21" i="1"/>
  <c r="K21" i="1"/>
  <c r="I21" i="1"/>
  <c r="H21" i="1"/>
  <c r="G21" i="1"/>
  <c r="F21" i="1"/>
  <c r="N20" i="1"/>
  <c r="M20" i="1"/>
  <c r="L20" i="1"/>
  <c r="K20" i="1"/>
  <c r="I20" i="1"/>
  <c r="H20" i="1"/>
  <c r="G20" i="1"/>
  <c r="F20" i="1"/>
  <c r="N19" i="1"/>
  <c r="M19" i="1"/>
  <c r="L19" i="1"/>
  <c r="K19" i="1"/>
  <c r="I19" i="1"/>
  <c r="H19" i="1"/>
  <c r="G19" i="1"/>
  <c r="F19" i="1"/>
  <c r="N18" i="1"/>
  <c r="M18" i="1"/>
  <c r="L18" i="1"/>
  <c r="K18" i="1"/>
  <c r="I18" i="1"/>
  <c r="H18" i="1"/>
  <c r="G18" i="1"/>
  <c r="F18" i="1"/>
  <c r="N17" i="1"/>
  <c r="M17" i="1"/>
  <c r="L17" i="1"/>
  <c r="K17" i="1"/>
  <c r="I17" i="1"/>
  <c r="H17" i="1"/>
  <c r="G17" i="1"/>
  <c r="F17" i="1"/>
  <c r="N16" i="1"/>
  <c r="M16" i="1"/>
  <c r="L16" i="1"/>
  <c r="K16" i="1"/>
  <c r="I16" i="1"/>
  <c r="H16" i="1"/>
  <c r="G16" i="1"/>
  <c r="F16" i="1"/>
  <c r="N15" i="1"/>
  <c r="M15" i="1"/>
  <c r="L15" i="1"/>
  <c r="K15" i="1"/>
  <c r="I15" i="1"/>
  <c r="H15" i="1"/>
  <c r="G15" i="1"/>
  <c r="F15" i="1"/>
  <c r="N14" i="1"/>
  <c r="M14" i="1"/>
  <c r="L14" i="1"/>
  <c r="K14" i="1"/>
  <c r="I14" i="1"/>
  <c r="H14" i="1"/>
  <c r="G14" i="1"/>
  <c r="F14" i="1"/>
  <c r="N13" i="1"/>
  <c r="M13" i="1"/>
  <c r="L13" i="1"/>
  <c r="K13" i="1"/>
  <c r="I13" i="1"/>
  <c r="H13" i="1"/>
  <c r="G13" i="1"/>
  <c r="F13" i="1"/>
  <c r="N12" i="1"/>
  <c r="M12" i="1"/>
  <c r="L12" i="1"/>
  <c r="K12" i="1"/>
  <c r="I12" i="1"/>
  <c r="H12" i="1"/>
  <c r="G12" i="1"/>
  <c r="F12" i="1"/>
  <c r="N11" i="1"/>
  <c r="M11" i="1"/>
  <c r="L11" i="1"/>
  <c r="K11" i="1"/>
  <c r="I11" i="1"/>
  <c r="H11" i="1"/>
  <c r="G11" i="1"/>
  <c r="F11" i="1"/>
  <c r="N10" i="1"/>
  <c r="M10" i="1"/>
  <c r="L10" i="1"/>
  <c r="K10" i="1"/>
  <c r="I10" i="1"/>
  <c r="H10" i="1"/>
  <c r="G10" i="1"/>
  <c r="F10" i="1"/>
  <c r="N9" i="1"/>
  <c r="M9" i="1"/>
  <c r="L9" i="1"/>
  <c r="K9" i="1"/>
  <c r="I9" i="1"/>
  <c r="H9" i="1"/>
  <c r="G9" i="1"/>
  <c r="F9" i="1"/>
  <c r="N8" i="1"/>
  <c r="M8" i="1"/>
  <c r="L8" i="1"/>
  <c r="K8" i="1"/>
  <c r="I8" i="1"/>
  <c r="H8" i="1"/>
  <c r="G8" i="1"/>
  <c r="F8" i="1"/>
  <c r="N7" i="1"/>
  <c r="M7" i="1"/>
  <c r="L7" i="1"/>
  <c r="K7" i="1"/>
  <c r="I7" i="1"/>
  <c r="H7" i="1"/>
  <c r="G7" i="1"/>
  <c r="F7" i="1"/>
  <c r="N6" i="1"/>
  <c r="M6" i="1"/>
  <c r="L6" i="1"/>
  <c r="K6" i="1"/>
  <c r="I6" i="1"/>
  <c r="H6" i="1"/>
  <c r="G6" i="1"/>
  <c r="F6" i="1"/>
  <c r="N5" i="1"/>
  <c r="M5" i="1"/>
  <c r="L5" i="1"/>
  <c r="K5" i="1"/>
  <c r="I5" i="1"/>
  <c r="H5" i="1"/>
  <c r="G5" i="1"/>
  <c r="F5" i="1"/>
  <c r="N4" i="1"/>
  <c r="M4" i="1"/>
  <c r="L4" i="1"/>
  <c r="K4" i="1"/>
  <c r="I4" i="1"/>
  <c r="H4" i="1"/>
  <c r="G4" i="1"/>
  <c r="F4" i="1"/>
  <c r="N3" i="1"/>
  <c r="M3" i="1"/>
  <c r="L3" i="1"/>
  <c r="K3" i="1"/>
  <c r="I3" i="1"/>
  <c r="H3" i="1"/>
  <c r="G3" i="1"/>
  <c r="F3" i="1"/>
  <c r="N2" i="1"/>
  <c r="M2" i="1"/>
  <c r="L2" i="1"/>
  <c r="K2" i="1"/>
  <c r="I2" i="1"/>
  <c r="H2" i="1"/>
  <c r="G2" i="1"/>
  <c r="F2" i="1"/>
  <c r="N1" i="1"/>
  <c r="M1" i="1"/>
  <c r="L1" i="1"/>
  <c r="K1" i="1"/>
  <c r="I1" i="1"/>
  <c r="H1" i="1"/>
  <c r="G1" i="1"/>
  <c r="F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VM-AZP-SQL01 Finance Live Model"/>
    <s v="{[GLAccount].[GLAccount Income Balance].[All]}"/>
    <s v="{[Company].[Company Name].&amp;[European Wind Farms Kåre 1 AB]}"/>
    <s v="{[Company].[Company Active Status].&amp;[True]}"/>
    <s v="{[GAAP].[GAAP Code].&amp;,[GAAP].[GAAP Code].&amp;[DK-GAAP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<sst xmlns="http://schemas.openxmlformats.org/spreadsheetml/2006/main" count="2721" uniqueCount="1146">
  <si>
    <t>Mapping</t>
  </si>
  <si>
    <t>Account no.</t>
  </si>
  <si>
    <t>Name</t>
  </si>
  <si>
    <t>Account Type</t>
  </si>
  <si>
    <t xml:space="preserve">Income statement </t>
  </si>
  <si>
    <t>Begin-Total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</si>
  <si>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</si>
  <si>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</si>
  <si>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</si>
  <si>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</si>
  <si>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</si>
  <si>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>Posting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</si>
  <si>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</si>
  <si>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</si>
  <si>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</si>
  <si>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</si>
  <si>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End-Total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</si>
  <si>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</si>
  <si>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</si>
  <si>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</si>
  <si>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</si>
  <si>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</si>
  <si>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</si>
  <si>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</si>
  <si>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</si>
  <si>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</si>
  <si>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</si>
  <si>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</si>
  <si>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</si>
  <si>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</si>
  <si>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</si>
  <si>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</si>
  <si>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</si>
  <si>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</si>
  <si>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</si>
  <si>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</si>
  <si>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</si>
  <si>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</si>
  <si>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</si>
  <si>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</si>
  <si>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</si>
  <si>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</si>
  <si>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</si>
  <si>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</si>
  <si>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</si>
  <si>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</si>
  <si>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</si>
  <si>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</si>
  <si>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</si>
  <si>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</si>
  <si>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</si>
  <si>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</si>
  <si>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</si>
  <si>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</si>
  <si>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</si>
  <si>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</si>
  <si>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</si>
  <si>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</si>
  <si>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</si>
  <si>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</si>
  <si>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</si>
  <si>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</si>
  <si>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</si>
  <si>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</si>
  <si>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</si>
  <si>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</si>
  <si>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</si>
  <si>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</si>
  <si>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</si>
  <si>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</si>
  <si>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</si>
  <si>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</si>
  <si>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</si>
  <si>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</si>
  <si>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</si>
  <si>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</si>
  <si>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</si>
  <si>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</si>
  <si>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</si>
  <si>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</si>
  <si>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</si>
  <si>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</si>
  <si>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</si>
  <si>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</si>
  <si>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</si>
  <si>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</si>
  <si>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</si>
  <si>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</si>
  <si>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</si>
  <si>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</si>
  <si>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</si>
  <si>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</si>
  <si>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</si>
  <si>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</si>
  <si>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</si>
  <si>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</si>
  <si>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</si>
  <si>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</si>
  <si>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</si>
  <si>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</si>
  <si>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</si>
  <si>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</si>
  <si>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</si>
  <si>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</si>
  <si>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</si>
  <si>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</si>
  <si>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</si>
  <si>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</si>
  <si>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</si>
  <si>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</si>
  <si>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</si>
  <si>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</si>
  <si>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</si>
  <si>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</si>
  <si>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</si>
  <si>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</si>
  <si>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</si>
  <si>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</si>
  <si>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</si>
  <si>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</si>
  <si>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</si>
  <si>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</si>
  <si>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</si>
  <si>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</si>
  <si>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</si>
  <si>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</si>
  <si>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</si>
  <si>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</si>
  <si>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</si>
  <si>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</si>
  <si>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</si>
  <si>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</si>
  <si>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</si>
  <si>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</si>
  <si>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</si>
  <si>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</si>
  <si>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</si>
  <si>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</si>
  <si>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</si>
  <si>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</si>
  <si>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</si>
  <si>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</si>
  <si>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</si>
  <si>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</si>
  <si>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</si>
  <si>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</si>
  <si>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</si>
  <si>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</si>
  <si>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</si>
  <si>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</si>
  <si>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</si>
  <si>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</si>
  <si>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</si>
  <si>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</si>
  <si>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</si>
  <si>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</si>
  <si>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</si>
  <si>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</si>
  <si>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</si>
  <si>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</si>
  <si>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</si>
  <si>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</si>
  <si>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</si>
  <si>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</si>
  <si>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</si>
  <si>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</si>
  <si>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</si>
  <si>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</si>
  <si>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</si>
  <si>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</si>
  <si>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</si>
  <si>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</si>
  <si>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</si>
  <si>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</si>
  <si>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</si>
  <si>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</si>
  <si>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</si>
  <si>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</si>
  <si>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</si>
  <si>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</si>
  <si>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</si>
  <si>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</si>
  <si>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</si>
  <si>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</si>
  <si>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</si>
  <si>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</si>
  <si>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</si>
  <si>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</si>
  <si>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</si>
  <si>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</si>
  <si>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</si>
  <si>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</si>
  <si>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</si>
  <si>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</si>
  <si>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</si>
  <si>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</si>
  <si>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</si>
  <si>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</si>
  <si>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</si>
  <si>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</si>
  <si>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</si>
  <si>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</si>
  <si>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</si>
  <si>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</si>
  <si>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</si>
  <si>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</si>
  <si>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</si>
  <si>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</si>
  <si>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</si>
  <si>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</si>
  <si>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</si>
  <si>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</si>
  <si>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</si>
  <si>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</si>
  <si>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</si>
  <si>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</si>
  <si>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</si>
  <si>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</si>
  <si>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</si>
  <si>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</si>
  <si>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</si>
  <si>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</si>
  <si>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</si>
  <si>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</si>
  <si>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</si>
  <si>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</si>
  <si>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</si>
  <si>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</si>
  <si>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</si>
  <si>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</si>
  <si>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</si>
  <si>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</si>
  <si>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</si>
  <si>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</si>
  <si>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</si>
  <si>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</si>
  <si>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</si>
  <si>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</si>
  <si>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</si>
  <si>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</si>
  <si>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</si>
  <si>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</si>
  <si>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</si>
  <si>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</si>
  <si>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</si>
  <si>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</si>
  <si>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</si>
  <si>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</si>
  <si>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</si>
  <si>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</si>
  <si>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</si>
  <si>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</si>
  <si>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</si>
  <si>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</si>
  <si>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</si>
  <si>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</si>
  <si>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</si>
  <si>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</si>
  <si>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</si>
  <si>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</si>
  <si>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</si>
  <si>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</si>
  <si>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</si>
  <si>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</si>
  <si>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</si>
  <si>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</si>
  <si>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</si>
  <si>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</si>
  <si>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</si>
  <si>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</si>
  <si>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</si>
  <si>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</si>
  <si>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</si>
  <si>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</si>
  <si>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</si>
  <si>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</si>
  <si>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</si>
  <si>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</si>
  <si>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</si>
  <si>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</si>
  <si>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</si>
  <si>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</si>
  <si>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</si>
  <si>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</si>
  <si>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</si>
  <si>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</si>
  <si>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</si>
  <si>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</si>
  <si>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</si>
  <si>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</si>
  <si>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</si>
  <si>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</si>
  <si>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</si>
  <si>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</si>
  <si>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</si>
  <si>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</si>
  <si>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</si>
  <si>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</si>
  <si>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</si>
  <si>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</si>
  <si>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</si>
  <si>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</si>
  <si>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</si>
  <si>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</si>
  <si>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</si>
  <si>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</si>
  <si>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</si>
  <si>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</si>
  <si>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</si>
  <si>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</si>
  <si>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</si>
  <si>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</si>
  <si>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</si>
  <si>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</si>
  <si>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</si>
  <si>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</si>
  <si>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</si>
  <si>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</si>
  <si>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</si>
  <si>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</si>
  <si>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</si>
  <si>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</si>
  <si>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</si>
  <si>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</si>
  <si>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</si>
  <si>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</si>
  <si>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</si>
  <si>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</si>
  <si>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</si>
  <si>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</si>
  <si>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</si>
  <si>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</si>
  <si>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</si>
  <si>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</si>
  <si>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</si>
  <si>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</si>
  <si>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</si>
  <si>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</si>
  <si>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</si>
  <si>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</si>
  <si>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</si>
  <si>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</si>
  <si>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</si>
  <si>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</si>
  <si>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</si>
  <si>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</si>
  <si>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</si>
  <si>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</si>
  <si>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</si>
  <si>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</si>
  <si>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</si>
  <si>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</si>
  <si>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</si>
  <si>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</si>
  <si>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</si>
  <si>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</si>
  <si>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</si>
  <si>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</si>
  <si>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</si>
  <si>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</si>
  <si>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</si>
  <si>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</si>
  <si>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</si>
  <si>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</si>
  <si>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</si>
  <si>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</si>
  <si>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</si>
  <si>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</si>
  <si>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</si>
  <si>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</si>
  <si>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</si>
  <si>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</si>
  <si>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</si>
  <si>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</si>
  <si>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</si>
  <si>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</si>
  <si>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</si>
  <si>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</si>
  <si>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</si>
  <si>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</si>
  <si>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</si>
  <si>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</si>
  <si>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</si>
  <si>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</si>
  <si>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</si>
  <si>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</si>
  <si>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</si>
  <si>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</si>
  <si>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</si>
  <si>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</si>
  <si>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</si>
  <si>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</si>
  <si>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</si>
  <si>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</si>
  <si>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</si>
  <si>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</si>
  <si>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</si>
  <si>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</si>
  <si>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</si>
  <si>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</si>
  <si>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</si>
  <si>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</si>
  <si>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</si>
  <si>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</si>
  <si>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</si>
  <si>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</si>
  <si>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</si>
  <si>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</si>
  <si>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</si>
  <si>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</si>
  <si>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</si>
  <si>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</si>
  <si>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</si>
  <si>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</si>
  <si>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</si>
  <si>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</si>
  <si>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</si>
  <si>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</si>
  <si>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</si>
  <si>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</si>
  <si>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</si>
  <si>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</si>
  <si>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</si>
  <si>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</si>
  <si>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</si>
  <si>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</si>
  <si>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</si>
  <si>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</si>
  <si>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</si>
  <si>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</si>
  <si>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</si>
  <si>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</si>
  <si>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</si>
  <si>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</si>
  <si>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</si>
  <si>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</si>
  <si>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</si>
  <si>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</si>
  <si>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</si>
  <si>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</si>
  <si>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</si>
  <si>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</si>
  <si>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</si>
  <si>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</si>
  <si>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</si>
  <si>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</si>
  <si>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</si>
  <si>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</si>
  <si>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</si>
  <si>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</si>
  <si>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</si>
  <si>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</si>
  <si>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</si>
  <si>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</si>
  <si>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</si>
  <si>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</si>
  <si>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</si>
  <si>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</si>
  <si>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</si>
  <si>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</si>
  <si>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</si>
  <si>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</si>
  <si>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</si>
  <si>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</si>
  <si>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</si>
  <si>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</si>
  <si>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</si>
  <si>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</si>
  <si>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</si>
  <si>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</si>
  <si>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</si>
  <si>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</si>
  <si>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</si>
  <si>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</si>
  <si>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</si>
  <si>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</si>
  <si>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</si>
  <si>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</si>
  <si>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</si>
  <si>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</si>
  <si>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</si>
  <si>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</si>
  <si>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</si>
  <si>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</si>
  <si>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</si>
  <si>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</si>
  <si>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</si>
  <si>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</si>
  <si>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</si>
  <si>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</si>
  <si>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</si>
  <si>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</si>
  <si>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</si>
  <si>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</si>
  <si>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</si>
  <si>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</si>
  <si>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</si>
  <si>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</si>
  <si>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</si>
  <si>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</si>
  <si>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</si>
  <si>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</si>
  <si>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</si>
  <si>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</si>
  <si>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</si>
  <si>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</si>
  <si>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</si>
  <si>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</si>
  <si>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</si>
  <si>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</si>
  <si>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</si>
  <si>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</si>
  <si>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</si>
  <si>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</si>
  <si>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</si>
  <si>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</si>
  <si>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</si>
  <si>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</si>
  <si>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</si>
  <si>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</si>
  <si>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</si>
  <si>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</si>
  <si>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</si>
  <si>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</si>
  <si>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</si>
  <si>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</si>
  <si>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</si>
  <si>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</si>
  <si>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</si>
  <si>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</si>
  <si>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</si>
  <si>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</si>
  <si>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</si>
  <si>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</si>
  <si>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</si>
  <si>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</si>
  <si>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</si>
  <si>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</si>
  <si>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</si>
  <si>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</si>
  <si>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</si>
  <si>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</si>
  <si>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</si>
  <si>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</si>
  <si>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</si>
  <si>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</si>
  <si>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</si>
  <si>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</si>
  <si>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</si>
  <si>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</si>
  <si>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</si>
  <si>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</si>
  <si>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</si>
  <si>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</si>
  <si>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</si>
  <si>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</si>
  <si>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</si>
  <si>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</si>
  <si>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</si>
  <si>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</si>
  <si>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</si>
  <si>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</si>
  <si>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</si>
  <si>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</si>
  <si>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</si>
  <si>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</si>
  <si>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</si>
  <si>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</si>
  <si>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</si>
  <si>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</si>
  <si>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</si>
  <si>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</si>
  <si>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</si>
  <si>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</si>
  <si>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</si>
  <si>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</si>
  <si>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</si>
  <si>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</si>
  <si>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</si>
  <si>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</si>
  <si>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</si>
  <si>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</si>
  <si>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</si>
  <si>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</si>
  <si>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</si>
  <si>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</si>
  <si>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</si>
  <si>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</si>
  <si>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</si>
  <si>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</si>
  <si>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</si>
  <si>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</si>
  <si>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</si>
  <si>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</si>
  <si>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</si>
  <si>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</si>
  <si>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</si>
  <si>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</si>
  <si>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</si>
  <si>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</si>
  <si>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</si>
  <si>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</si>
  <si>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</si>
  <si>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</si>
  <si>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</si>
  <si>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</si>
  <si>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</si>
  <si>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</si>
  <si>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</si>
  <si>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</si>
  <si>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</si>
  <si>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</si>
  <si>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</si>
  <si>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</si>
  <si>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</si>
  <si>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</si>
  <si>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</si>
  <si>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</si>
  <si>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</si>
  <si>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</si>
  <si>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</si>
  <si>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</si>
  <si>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</si>
  <si>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</si>
  <si>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</si>
  <si>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</si>
  <si>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</si>
  <si>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</si>
  <si>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</si>
  <si>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</si>
  <si>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</si>
  <si>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</si>
  <si>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</si>
  <si>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</si>
  <si>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</si>
  <si>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</si>
  <si>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</si>
  <si>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</si>
  <si>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</si>
  <si>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</si>
  <si>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</si>
  <si>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</si>
  <si>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</si>
  <si>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</si>
  <si>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</si>
  <si>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</si>
  <si>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</si>
  <si>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</si>
  <si>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</si>
  <si>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</si>
  <si>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</si>
  <si>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</si>
  <si>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</si>
  <si>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</si>
  <si>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</si>
  <si>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</si>
  <si>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</si>
  <si>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</si>
  <si>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</si>
  <si>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</si>
  <si>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</si>
  <si>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</si>
  <si>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</si>
  <si>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</si>
  <si>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</si>
  <si>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</si>
  <si>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</si>
  <si>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</si>
  <si>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</si>
  <si>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</si>
  <si>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</si>
  <si>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</si>
  <si>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</si>
  <si>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</si>
  <si>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</si>
  <si>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</si>
  <si>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</si>
  <si>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</si>
  <si>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</si>
  <si>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</si>
  <si>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</si>
  <si>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</si>
  <si>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</si>
  <si>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</si>
  <si>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</si>
  <si>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</si>
  <si>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</si>
  <si>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</si>
  <si>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</si>
  <si>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</si>
  <si>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</si>
  <si>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</si>
  <si>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</si>
  <si>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</si>
  <si>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</si>
  <si>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</si>
  <si>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</si>
  <si>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</si>
  <si>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</si>
  <si>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</si>
  <si>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</si>
  <si>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</si>
  <si>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</si>
  <si>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</si>
  <si>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</si>
  <si>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</si>
  <si>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</si>
  <si>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</si>
  <si>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</si>
  <si>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</si>
  <si>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</si>
  <si>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</si>
  <si>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</si>
  <si>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</si>
  <si>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</si>
  <si>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</si>
  <si>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</si>
  <si>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</si>
  <si>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</si>
  <si>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</si>
  <si>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</si>
  <si>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</si>
  <si>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</si>
  <si>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</si>
  <si>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</si>
  <si>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</si>
  <si>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</si>
  <si>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</si>
  <si>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</si>
  <si>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</si>
  <si>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</si>
  <si>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</si>
  <si>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</si>
  <si>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</si>
  <si>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</si>
  <si>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</si>
  <si>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</si>
  <si>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</si>
  <si>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</si>
  <si>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</si>
  <si>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</si>
  <si>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</si>
  <si>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</si>
  <si>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</si>
  <si>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</si>
  <si>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</si>
  <si>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</si>
  <si>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</si>
  <si>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</si>
  <si>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</si>
  <si>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</si>
  <si>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</si>
  <si>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</si>
  <si>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</si>
  <si>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</si>
  <si>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</si>
  <si>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</si>
  <si>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</si>
  <si>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</si>
  <si>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</si>
  <si>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</si>
  <si>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</si>
  <si>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</si>
  <si>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</si>
  <si>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</si>
  <si>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</si>
  <si>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</si>
  <si>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</si>
  <si>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</si>
  <si>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</si>
  <si>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</si>
  <si>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</si>
  <si>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</si>
  <si>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</si>
  <si>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</si>
  <si>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</si>
  <si>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</si>
  <si>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</si>
  <si>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</si>
  <si>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</si>
  <si>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</si>
  <si>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</si>
  <si>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</si>
  <si>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</si>
  <si>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</si>
  <si>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</si>
  <si>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</si>
  <si>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</si>
  <si>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</si>
  <si>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</si>
  <si>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</si>
  <si>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</si>
  <si>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</si>
  <si>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</si>
  <si>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</si>
  <si>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</si>
  <si>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</si>
  <si>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</si>
  <si>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</si>
  <si>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</si>
  <si>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</si>
  <si>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</si>
  <si>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</si>
  <si>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</si>
  <si>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</si>
  <si>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</si>
  <si>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</si>
  <si>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</si>
  <si>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</si>
  <si>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</si>
  <si>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</si>
  <si>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</si>
  <si>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</si>
  <si>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</si>
  <si>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</si>
  <si>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</si>
  <si>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</si>
  <si>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</si>
  <si>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</si>
  <si>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</si>
  <si>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</si>
  <si>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</si>
  <si>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</si>
  <si>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</si>
  <si>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</si>
  <si>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</si>
  <si>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</si>
  <si>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</si>
  <si>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</si>
  <si>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</si>
  <si>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</si>
  <si>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</si>
  <si>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</si>
  <si>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</si>
  <si>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</si>
  <si>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</si>
  <si>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</si>
  <si>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Total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</si>
  <si>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</si>
  <si>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</si>
  <si>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</si>
  <si>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</si>
  <si>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</si>
  <si>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</si>
  <si>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</si>
  <si>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</si>
  <si>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</si>
  <si>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</si>
  <si>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</si>
  <si>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</si>
  <si>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</si>
  <si>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</si>
  <si>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</si>
  <si>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</si>
  <si>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</si>
  <si>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</si>
  <si>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</si>
  <si>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</si>
  <si>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</si>
  <si>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</si>
  <si>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</si>
  <si>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</si>
  <si>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</si>
  <si>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</si>
  <si>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</si>
  <si>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</si>
  <si>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</si>
  <si>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</si>
  <si>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</si>
  <si>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</si>
  <si>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</si>
  <si>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</si>
  <si>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</si>
  <si>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</si>
  <si>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</si>
  <si>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</si>
  <si>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</si>
  <si>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</si>
  <si>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</si>
  <si>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</si>
  <si>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</si>
  <si>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</si>
  <si>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</si>
  <si>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</si>
  <si>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</si>
  <si>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</si>
  <si>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</si>
  <si>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</si>
  <si>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</si>
  <si>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</si>
  <si>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</si>
  <si>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</si>
  <si>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</si>
  <si>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</si>
  <si>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</si>
  <si>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</si>
  <si>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</si>
  <si>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</si>
  <si>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</si>
  <si>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</si>
  <si>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</si>
  <si>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</si>
  <si>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</si>
  <si>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</si>
  <si>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</si>
  <si>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</si>
  <si>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</si>
  <si>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</si>
  <si>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</si>
  <si>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</si>
  <si>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</si>
  <si>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</si>
  <si>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</si>
  <si>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</si>
  <si>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</si>
  <si>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</si>
  <si>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</si>
  <si>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</si>
  <si>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</si>
  <si>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</si>
  <si>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</si>
  <si>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</si>
  <si>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</si>
  <si>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</si>
  <si>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>Heading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</si>
  <si>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</si>
  <si>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</si>
  <si>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</si>
  <si>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</si>
  <si>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</si>
  <si>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</si>
  <si>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</si>
  <si>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</si>
  <si>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</si>
  <si>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</si>
  <si>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</si>
  <si>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</si>
  <si>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</si>
  <si>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</si>
  <si>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</si>
  <si>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</si>
  <si>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</si>
  <si>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</si>
  <si>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</si>
  <si>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</si>
  <si>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</si>
  <si>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</si>
  <si>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</si>
  <si>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</si>
  <si>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</si>
  <si>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</si>
  <si>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</si>
  <si>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</si>
  <si>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</si>
  <si>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</si>
  <si>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</si>
  <si>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</si>
  <si>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</si>
  <si>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</si>
  <si>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</si>
  <si>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</si>
  <si>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</si>
  <si>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</si>
  <si>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</si>
  <si>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</si>
  <si>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</si>
  <si>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</si>
  <si>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</si>
  <si>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</si>
  <si>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</si>
  <si>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</si>
  <si>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</si>
  <si>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</si>
  <si>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</si>
  <si>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</si>
  <si>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</si>
  <si>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</si>
  <si>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</si>
  <si>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</si>
  <si>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</si>
  <si>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</si>
  <si>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</si>
  <si>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</si>
  <si>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</si>
  <si>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</si>
  <si>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</si>
  <si>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</si>
  <si>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</si>
  <si>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</si>
  <si>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</si>
  <si>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</si>
  <si>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</si>
  <si>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</si>
  <si>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</si>
  <si>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</si>
  <si>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</si>
  <si>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</si>
  <si>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</si>
  <si>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</si>
  <si>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</si>
  <si>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</si>
  <si>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</si>
  <si>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</si>
  <si>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</si>
  <si>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</si>
  <si>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</si>
  <si>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</si>
  <si>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</si>
  <si>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</si>
  <si>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</si>
  <si>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</si>
  <si>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</si>
  <si>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</si>
  <si>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</si>
  <si>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</si>
  <si>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</si>
  <si>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</si>
  <si>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</si>
  <si>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</si>
  <si>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</si>
  <si>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</si>
  <si>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</si>
  <si>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</si>
  <si>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</si>
  <si>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</si>
  <si>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</si>
  <si>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</si>
  <si>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</si>
  <si>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</si>
  <si>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</si>
  <si>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</si>
  <si>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</si>
  <si>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</si>
  <si>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</si>
  <si>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</si>
  <si>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</si>
  <si>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</si>
  <si>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</si>
  <si>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</si>
  <si>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</si>
  <si>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</si>
  <si>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</si>
  <si>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</si>
  <si>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</si>
  <si>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</si>
  <si>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</si>
  <si>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</si>
  <si>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</si>
  <si>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</si>
  <si>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</si>
  <si>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</si>
  <si>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</si>
  <si>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</si>
  <si>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</si>
  <si>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</si>
  <si>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</si>
  <si>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</si>
  <si>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</si>
  <si>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</si>
  <si>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</si>
  <si>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</si>
  <si>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</si>
  <si>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</si>
  <si>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</si>
  <si>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</si>
  <si>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</si>
  <si>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</si>
  <si>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</si>
  <si>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</si>
  <si>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</si>
  <si>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</si>
  <si>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</si>
  <si>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</si>
  <si>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</si>
  <si>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</si>
  <si>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</si>
  <si>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</si>
  <si>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</si>
  <si>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</si>
  <si>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</si>
  <si>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</si>
  <si>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</si>
  <si>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</si>
  <si>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</si>
  <si>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header</t>
  </si>
  <si>
    <t>code</t>
  </si>
  <si>
    <t xml:space="preserve">Total Revenue </t>
  </si>
  <si>
    <t>Total Other Income</t>
  </si>
  <si>
    <t>Income</t>
  </si>
  <si>
    <t>Total Direct Costs</t>
  </si>
  <si>
    <t>Total Staff Costs</t>
  </si>
  <si>
    <t>Total Other External Costs</t>
  </si>
  <si>
    <t>Costs</t>
  </si>
  <si>
    <t>Total Finance Income</t>
  </si>
  <si>
    <t>Total Finance Expenses</t>
  </si>
  <si>
    <t>Finance Income &amp; Expenses</t>
  </si>
  <si>
    <t>Total Tangible Assets</t>
  </si>
  <si>
    <t>Total Depreciations and impairment</t>
  </si>
  <si>
    <t>sheet</t>
  </si>
  <si>
    <t>PPE</t>
  </si>
  <si>
    <t>Total Inventories</t>
  </si>
  <si>
    <t>Inventories</t>
  </si>
  <si>
    <t>Total Investments in Subsidiaries</t>
  </si>
  <si>
    <t>Total Investments in Associcated Companies</t>
  </si>
  <si>
    <t>Total Other Securities</t>
  </si>
  <si>
    <t>Investments</t>
  </si>
  <si>
    <t>Total Intercompany Receivables</t>
  </si>
  <si>
    <t>Total Intercompany Payables</t>
  </si>
  <si>
    <t>Intercompany</t>
  </si>
  <si>
    <t>Total Long Term Contracts</t>
  </si>
  <si>
    <t>Total Trade Receivables</t>
  </si>
  <si>
    <t>Trade Receivables</t>
  </si>
  <si>
    <t>Total Other Receivables</t>
  </si>
  <si>
    <t>Total Other Long Term Receivables</t>
  </si>
  <si>
    <t>Other Receivables</t>
  </si>
  <si>
    <t>Corp. &amp; Deferred Tax</t>
  </si>
  <si>
    <t>Total Tax in P/L</t>
  </si>
  <si>
    <t>Total Deferred Tax Assets</t>
  </si>
  <si>
    <t>Total Deferred Tax Liabilties</t>
  </si>
  <si>
    <t>Total Corporation Tax Payable</t>
  </si>
  <si>
    <t>Total Prepaid Expenses</t>
  </si>
  <si>
    <t>Prepayments</t>
  </si>
  <si>
    <t>Total Cash &amp; Cash in Hand</t>
  </si>
  <si>
    <t>Cash &amp; Cash Equivalent</t>
  </si>
  <si>
    <t>Total Share Capital</t>
  </si>
  <si>
    <t>Total Retained Earnings</t>
  </si>
  <si>
    <t xml:space="preserve">Total Hybrid Capital </t>
  </si>
  <si>
    <t>Total Minitory Interests</t>
  </si>
  <si>
    <t>Equity</t>
  </si>
  <si>
    <t>Total Provisions</t>
  </si>
  <si>
    <t>Total Reclassifications/Transfer</t>
  </si>
  <si>
    <t>Provisions</t>
  </si>
  <si>
    <t>Total Long Term Liabilities</t>
  </si>
  <si>
    <t>Total Short Term Liabilities</t>
  </si>
  <si>
    <t>Mortage Credit</t>
  </si>
  <si>
    <t>Total Trade Payables</t>
  </si>
  <si>
    <t>Trade Payables</t>
  </si>
  <si>
    <t>Total Accruals &amp; Other Payables</t>
  </si>
  <si>
    <t>Accruals &amp; Other Payables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</si>
  <si>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</si>
  <si>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</si>
  <si>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</si>
  <si>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</si>
  <si>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</si>
  <si>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</si>
  <si>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Deferred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</si>
</sst>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" fontId="3" fillId="2" borderId="0" xfId="0" applyNumberFormat="1" applyFont="1" applyFill="1" applyAlignment="1">
      <alignment horizontal="center"/>
    </xf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  <cell r="D1"/>
          <cell r="E1"/>
          <cell r="F1"/>
          <cell r="J1"/>
          <cell r="K1"/>
          <cell r="L1"/>
        </row>
        <row r="2">
          <cell r="C2"/>
          <cell r="D2"/>
          <cell r="E2" t="str">
            <v>Selected Quarter</v>
          </cell>
          <cell r="F2"/>
          <cell r="J2"/>
          <cell r="L2"/>
        </row>
        <row r="3">
          <cell r="C3" t="str">
            <v>GLAccount Income Balance</v>
          </cell>
          <cell r="D3" t="str" vm="1">
            <v>All</v>
          </cell>
          <cell r="E3" t="str">
            <v>Q3 2025</v>
          </cell>
          <cell r="F3">
            <v>0</v>
          </cell>
          <cell r="J3"/>
          <cell r="K3"/>
          <cell r="L3"/>
        </row>
        <row r="4">
          <cell r="C4" t="str">
            <v>Company Name</v>
          </cell>
          <cell r="D4" t="str" vm="2">
            <v>European Wind Farms Kåre 1 AB</v>
          </cell>
          <cell r="E4"/>
          <cell r="F4"/>
          <cell r="J4"/>
          <cell r="K4"/>
          <cell r="L4"/>
        </row>
        <row r="5">
          <cell r="A5"/>
          <cell r="B5"/>
          <cell r="C5" t="str">
            <v>Company Active Status</v>
          </cell>
          <cell r="D5" t="str" vm="3">
            <v>True</v>
          </cell>
          <cell r="E5"/>
          <cell r="F5"/>
          <cell r="G5"/>
          <cell r="H5"/>
          <cell r="I5"/>
          <cell r="J5"/>
          <cell r="K5"/>
          <cell r="L5"/>
        </row>
        <row r="6">
          <cell r="C6" t="str">
            <v>GAAP Code</v>
          </cell>
          <cell r="D6" t="str" vm="4">
            <v>(Multiple Items)</v>
          </cell>
          <cell r="E6"/>
          <cell r="F6"/>
          <cell r="G6"/>
          <cell r="H6"/>
          <cell r="I6"/>
          <cell r="J6"/>
          <cell r="K6"/>
          <cell r="L6"/>
        </row>
        <row r="7">
          <cell r="C7"/>
          <cell r="D7"/>
          <cell r="E7" t="str">
            <v>Q1 2023</v>
          </cell>
          <cell r="F7" t="str">
            <v>Q2 2023</v>
          </cell>
          <cell r="G7" t="str">
            <v>Q3 2023</v>
          </cell>
          <cell r="H7" t="str">
            <v>Q4 2023</v>
          </cell>
          <cell r="I7" t="str">
            <v>Q1 2024</v>
          </cell>
          <cell r="J7" t="str">
            <v>Q2 2024</v>
          </cell>
          <cell r="K7" t="str">
            <v>Q3 2024</v>
          </cell>
          <cell r="L7" t="str">
            <v>Q4 2024</v>
          </cell>
          <cell r="M7" t="str">
            <v xml:space="preserve"> </v>
          </cell>
          <cell r="N7" t="str">
            <v xml:space="preserve"> </v>
          </cell>
          <cell r="O7" t="str">
            <v xml:space="preserve"> 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  <cell r="BJ7"/>
          <cell r="BK7"/>
          <cell r="BL7"/>
          <cell r="BM7"/>
          <cell r="BN7"/>
          <cell r="BO7"/>
          <cell r="BP7"/>
          <cell r="BQ7"/>
          <cell r="BR7"/>
          <cell r="BS7"/>
          <cell r="BT7"/>
          <cell r="BU7"/>
          <cell r="BV7"/>
          <cell r="BW7"/>
          <cell r="BX7"/>
          <cell r="BY7"/>
          <cell r="BZ7"/>
          <cell r="CA7"/>
          <cell r="CB7"/>
          <cell r="CC7"/>
          <cell r="CD7"/>
          <cell r="CE7"/>
          <cell r="CF7"/>
          <cell r="CG7"/>
          <cell r="CH7"/>
          <cell r="CI7"/>
          <cell r="CJ7"/>
          <cell r="CK7"/>
          <cell r="CL7"/>
          <cell r="CM7"/>
          <cell r="CN7"/>
          <cell r="CO7"/>
          <cell r="CP7"/>
          <cell r="CQ7"/>
          <cell r="CR7"/>
          <cell r="CS7"/>
          <cell r="CT7"/>
          <cell r="CU7"/>
          <cell r="CV7"/>
          <cell r="CW7"/>
          <cell r="CX7"/>
          <cell r="CY7"/>
          <cell r="CZ7"/>
          <cell r="DA7"/>
          <cell r="DB7"/>
          <cell r="DC7"/>
          <cell r="DD7"/>
          <cell r="DE7"/>
          <cell r="DF7"/>
          <cell r="DG7"/>
          <cell r="DH7"/>
          <cell r="DI7"/>
          <cell r="DJ7"/>
          <cell r="DK7"/>
          <cell r="DL7"/>
          <cell r="DM7"/>
          <cell r="DN7"/>
          <cell r="DO7"/>
          <cell r="DP7"/>
          <cell r="DQ7"/>
          <cell r="DR7"/>
          <cell r="DS7"/>
          <cell r="DT7"/>
          <cell r="DU7"/>
          <cell r="DV7"/>
          <cell r="DW7"/>
          <cell r="DX7"/>
          <cell r="DY7"/>
          <cell r="DZ7"/>
          <cell r="EA7"/>
          <cell r="EB7"/>
          <cell r="EC7"/>
          <cell r="ED7"/>
          <cell r="EE7"/>
          <cell r="EF7"/>
          <cell r="EG7"/>
          <cell r="EH7"/>
          <cell r="EI7"/>
          <cell r="EJ7"/>
          <cell r="EK7"/>
          <cell r="EL7"/>
          <cell r="EM7"/>
          <cell r="EN7"/>
          <cell r="EO7"/>
          <cell r="EP7"/>
          <cell r="EQ7"/>
          <cell r="ER7"/>
          <cell r="ES7"/>
          <cell r="ET7"/>
          <cell r="EU7"/>
          <cell r="EV7"/>
          <cell r="EW7"/>
          <cell r="EX7"/>
          <cell r="EY7"/>
          <cell r="EZ7"/>
          <cell r="FA7"/>
          <cell r="FB7"/>
          <cell r="FC7"/>
          <cell r="FD7"/>
          <cell r="FE7"/>
          <cell r="FF7"/>
          <cell r="FG7"/>
          <cell r="FH7"/>
          <cell r="FI7"/>
          <cell r="FJ7"/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/>
          <cell r="GE7"/>
          <cell r="GF7"/>
          <cell r="GG7"/>
          <cell r="GH7"/>
          <cell r="GI7"/>
          <cell r="GJ7"/>
          <cell r="GK7"/>
          <cell r="GL7"/>
          <cell r="GM7"/>
          <cell r="GN7"/>
          <cell r="GO7"/>
          <cell r="GP7"/>
          <cell r="GQ7"/>
          <cell r="GR7"/>
          <cell r="GS7"/>
          <cell r="GT7"/>
          <cell r="GU7"/>
          <cell r="GV7"/>
          <cell r="GW7"/>
          <cell r="GX7"/>
          <cell r="GY7"/>
          <cell r="GZ7"/>
          <cell r="HA7"/>
          <cell r="HB7"/>
          <cell r="HC7"/>
          <cell r="HD7"/>
          <cell r="HE7"/>
          <cell r="HF7"/>
          <cell r="HG7"/>
          <cell r="HH7"/>
          <cell r="HI7"/>
          <cell r="HJ7"/>
          <cell r="HK7"/>
          <cell r="HL7"/>
          <cell r="HM7"/>
          <cell r="HN7"/>
          <cell r="HO7"/>
          <cell r="HP7"/>
          <cell r="HQ7"/>
          <cell r="HR7"/>
          <cell r="HS7"/>
          <cell r="HT7"/>
          <cell r="HU7"/>
          <cell r="HV7"/>
          <cell r="HW7"/>
          <cell r="HX7"/>
          <cell r="HY7"/>
          <cell r="HZ7"/>
          <cell r="IA7"/>
          <cell r="IB7"/>
          <cell r="IC7"/>
          <cell r="ID7"/>
          <cell r="IE7"/>
          <cell r="IF7"/>
          <cell r="IG7"/>
          <cell r="IH7"/>
          <cell r="II7"/>
          <cell r="IJ7"/>
          <cell r="IK7"/>
          <cell r="IL7"/>
          <cell r="IM7"/>
          <cell r="IN7"/>
          <cell r="IO7"/>
          <cell r="IP7"/>
          <cell r="IQ7"/>
          <cell r="IR7"/>
          <cell r="IS7"/>
          <cell r="IT7"/>
          <cell r="IU7"/>
          <cell r="IV7"/>
          <cell r="IW7"/>
          <cell r="IX7"/>
          <cell r="IY7"/>
          <cell r="IZ7"/>
          <cell r="JA7"/>
          <cell r="JB7"/>
          <cell r="JC7"/>
          <cell r="JD7"/>
          <cell r="JE7"/>
          <cell r="JF7"/>
          <cell r="JG7"/>
          <cell r="JH7"/>
          <cell r="JI7"/>
          <cell r="JJ7"/>
          <cell r="JK7"/>
          <cell r="JL7"/>
          <cell r="JM7"/>
          <cell r="JN7"/>
          <cell r="JO7"/>
          <cell r="JP7"/>
          <cell r="JQ7"/>
          <cell r="JR7"/>
          <cell r="JS7"/>
          <cell r="JT7"/>
          <cell r="JU7"/>
          <cell r="JV7"/>
          <cell r="JW7"/>
          <cell r="JX7"/>
          <cell r="JY7"/>
          <cell r="JZ7"/>
          <cell r="KA7"/>
          <cell r="KB7"/>
          <cell r="KC7"/>
          <cell r="KD7"/>
          <cell r="KE7"/>
          <cell r="KF7"/>
          <cell r="KG7"/>
          <cell r="KH7"/>
          <cell r="KI7"/>
          <cell r="KJ7"/>
          <cell r="KK7"/>
          <cell r="KL7"/>
          <cell r="KM7"/>
          <cell r="KN7"/>
          <cell r="KO7"/>
          <cell r="KP7"/>
          <cell r="KQ7"/>
          <cell r="KR7"/>
          <cell r="KS7"/>
          <cell r="KT7"/>
          <cell r="KU7"/>
          <cell r="KV7"/>
          <cell r="KW7"/>
          <cell r="KX7"/>
          <cell r="KY7"/>
          <cell r="KZ7"/>
          <cell r="LA7"/>
          <cell r="LB7"/>
          <cell r="LC7"/>
          <cell r="LD7"/>
          <cell r="LE7"/>
          <cell r="LF7"/>
          <cell r="LG7"/>
          <cell r="LH7"/>
          <cell r="LI7"/>
          <cell r="LJ7"/>
          <cell r="LK7"/>
          <cell r="LL7"/>
          <cell r="LM7"/>
          <cell r="LN7"/>
          <cell r="LO7"/>
          <cell r="LP7"/>
          <cell r="LQ7"/>
          <cell r="LR7"/>
          <cell r="LS7"/>
          <cell r="LT7"/>
          <cell r="LU7"/>
          <cell r="LV7"/>
          <cell r="LW7"/>
          <cell r="LX7"/>
          <cell r="LY7"/>
          <cell r="LZ7"/>
          <cell r="MA7"/>
          <cell r="MB7"/>
          <cell r="MC7"/>
          <cell r="MD7"/>
          <cell r="ME7"/>
          <cell r="MF7"/>
          <cell r="MG7"/>
          <cell r="MH7"/>
          <cell r="MI7"/>
          <cell r="MJ7"/>
          <cell r="MK7"/>
          <cell r="ML7"/>
          <cell r="MM7"/>
          <cell r="MN7"/>
          <cell r="MO7"/>
          <cell r="MP7"/>
          <cell r="MQ7"/>
          <cell r="MR7"/>
          <cell r="MS7"/>
          <cell r="MT7"/>
          <cell r="MU7"/>
          <cell r="MV7"/>
          <cell r="MW7"/>
          <cell r="MX7"/>
          <cell r="MY7"/>
          <cell r="MZ7"/>
          <cell r="NA7"/>
          <cell r="NB7"/>
          <cell r="NC7"/>
          <cell r="ND7"/>
          <cell r="NE7"/>
          <cell r="NF7"/>
          <cell r="NG7"/>
          <cell r="NH7"/>
          <cell r="NI7"/>
          <cell r="NJ7"/>
          <cell r="NK7"/>
          <cell r="NL7"/>
          <cell r="NM7"/>
          <cell r="NN7"/>
          <cell r="NO7"/>
          <cell r="NP7"/>
          <cell r="NQ7"/>
          <cell r="NR7"/>
          <cell r="NS7"/>
          <cell r="NT7"/>
          <cell r="NU7"/>
          <cell r="NV7"/>
          <cell r="NW7"/>
          <cell r="NX7"/>
          <cell r="NY7"/>
          <cell r="NZ7"/>
          <cell r="OA7"/>
          <cell r="OB7"/>
          <cell r="OC7"/>
          <cell r="OD7"/>
          <cell r="OE7"/>
          <cell r="OF7"/>
          <cell r="OG7"/>
          <cell r="OH7"/>
          <cell r="OI7"/>
          <cell r="OJ7"/>
          <cell r="OK7"/>
          <cell r="OL7"/>
          <cell r="OM7"/>
          <cell r="ON7"/>
          <cell r="OO7"/>
          <cell r="OP7"/>
          <cell r="OQ7"/>
          <cell r="OR7"/>
          <cell r="OS7"/>
          <cell r="OT7"/>
          <cell r="OU7"/>
          <cell r="OV7"/>
          <cell r="OW7"/>
          <cell r="OX7"/>
          <cell r="OY7"/>
          <cell r="OZ7"/>
          <cell r="PA7"/>
          <cell r="PB7"/>
          <cell r="PC7"/>
          <cell r="PD7"/>
          <cell r="PE7"/>
          <cell r="PF7"/>
          <cell r="PG7"/>
          <cell r="PH7"/>
          <cell r="PI7"/>
          <cell r="PJ7"/>
          <cell r="PK7"/>
          <cell r="PL7"/>
          <cell r="PM7"/>
          <cell r="PN7"/>
          <cell r="PO7"/>
          <cell r="PP7"/>
          <cell r="PQ7"/>
          <cell r="PR7"/>
          <cell r="PS7"/>
          <cell r="PT7"/>
          <cell r="PU7"/>
          <cell r="PV7"/>
          <cell r="PW7"/>
          <cell r="PX7"/>
          <cell r="PY7"/>
          <cell r="PZ7"/>
          <cell r="QA7"/>
          <cell r="QB7"/>
          <cell r="QC7"/>
          <cell r="QD7"/>
          <cell r="QE7"/>
          <cell r="QF7"/>
          <cell r="QG7"/>
          <cell r="QH7"/>
          <cell r="QI7"/>
          <cell r="QJ7"/>
          <cell r="QK7"/>
          <cell r="QL7"/>
          <cell r="QM7"/>
          <cell r="QN7"/>
          <cell r="QO7"/>
          <cell r="QP7"/>
          <cell r="QQ7"/>
          <cell r="QR7"/>
          <cell r="QS7"/>
          <cell r="QT7"/>
          <cell r="QU7"/>
          <cell r="QV7"/>
          <cell r="QW7"/>
          <cell r="QX7"/>
          <cell r="QY7"/>
          <cell r="QZ7"/>
          <cell r="RA7"/>
          <cell r="RB7"/>
          <cell r="RC7"/>
          <cell r="RD7"/>
          <cell r="RE7"/>
          <cell r="RF7"/>
          <cell r="RG7"/>
          <cell r="RH7"/>
          <cell r="RI7"/>
          <cell r="RJ7"/>
          <cell r="RK7"/>
          <cell r="RL7"/>
          <cell r="RM7"/>
          <cell r="RN7"/>
          <cell r="RO7"/>
          <cell r="RP7"/>
          <cell r="RQ7"/>
          <cell r="RR7"/>
          <cell r="RS7"/>
          <cell r="RT7"/>
          <cell r="RU7"/>
          <cell r="RV7"/>
          <cell r="RW7"/>
          <cell r="RX7"/>
          <cell r="RY7"/>
          <cell r="RZ7"/>
          <cell r="SA7"/>
          <cell r="SB7"/>
          <cell r="SC7"/>
          <cell r="SD7"/>
          <cell r="SE7"/>
          <cell r="SF7"/>
          <cell r="SG7"/>
        </row>
        <row r="8">
          <cell r="C8" t="str">
            <v>Amount Income LCY</v>
          </cell>
          <cell r="D8"/>
          <cell r="E8" t="str">
            <v>Year</v>
          </cell>
          <cell r="F8" t="str">
            <v>QuarterNameShort</v>
          </cell>
          <cell r="G8"/>
          <cell r="H8"/>
          <cell r="I8"/>
          <cell r="J8"/>
          <cell r="K8"/>
          <cell r="L8"/>
        </row>
        <row r="9">
          <cell r="C9"/>
          <cell r="D9"/>
          <cell r="E9" t="str">
            <v>2023</v>
          </cell>
          <cell r="F9" t="str">
            <v>2023</v>
          </cell>
          <cell r="G9" t="str">
            <v>2023</v>
          </cell>
          <cell r="H9" t="str">
            <v>2023</v>
          </cell>
          <cell r="I9" t="str">
            <v>2024</v>
          </cell>
          <cell r="J9" t="str">
            <v>2024</v>
          </cell>
          <cell r="K9" t="str">
            <v>2024</v>
          </cell>
          <cell r="L9" t="str">
            <v>2024</v>
          </cell>
        </row>
        <row r="10">
          <cell r="C10" t="str">
            <v>GLAccount No</v>
          </cell>
          <cell r="D10" t="str">
            <v>GLAccount Name</v>
          </cell>
          <cell r="E10" t="str">
            <v>Q1</v>
          </cell>
          <cell r="F10" t="str">
            <v>Q2</v>
          </cell>
          <cell r="G10" t="str">
            <v>Q3</v>
          </cell>
          <cell r="H10" t="str">
            <v>Q4</v>
          </cell>
          <cell r="I10" t="str">
            <v>Q1</v>
          </cell>
          <cell r="J10" t="str">
            <v>Q2</v>
          </cell>
          <cell r="K10" t="str">
            <v>Q3</v>
          </cell>
          <cell r="L10" t="str">
            <v>Q4</v>
          </cell>
        </row>
        <row r="11">
          <cell r="A11">
            <v>102110</v>
          </cell>
          <cell r="B11">
            <v>0</v>
          </cell>
          <cell r="C11" t="str">
            <v>102110</v>
          </cell>
          <cell r="D11" t="str">
            <v>Sale of electricity Spot</v>
          </cell>
          <cell r="E11">
            <v>-10279715.720000001</v>
          </cell>
          <cell r="F11"/>
          <cell r="G11"/>
          <cell r="H11"/>
          <cell r="I11"/>
          <cell r="J11"/>
          <cell r="K11"/>
          <cell r="L11"/>
        </row>
        <row r="12">
          <cell r="A12">
            <v>102111</v>
          </cell>
          <cell r="B12">
            <v>0</v>
          </cell>
          <cell r="C12" t="str">
            <v>102111</v>
          </cell>
          <cell r="D12" t="str">
            <v>Sale of electricity - Fixed price</v>
          </cell>
          <cell r="E12"/>
          <cell r="F12">
            <v>-1458116.05</v>
          </cell>
          <cell r="G12">
            <v>-263091.84999999998</v>
          </cell>
          <cell r="H12">
            <v>-1617526.86</v>
          </cell>
          <cell r="I12">
            <v>808089.72</v>
          </cell>
          <cell r="J12">
            <v>692680.38</v>
          </cell>
          <cell r="K12">
            <v>545979.53</v>
          </cell>
          <cell r="L12">
            <v>-2803123.26</v>
          </cell>
        </row>
        <row r="13">
          <cell r="A13">
            <v>102120</v>
          </cell>
          <cell r="B13">
            <v>0</v>
          </cell>
          <cell r="C13" t="str">
            <v>102120</v>
          </cell>
          <cell r="D13" t="str">
            <v>Sale of electricity - Variable</v>
          </cell>
          <cell r="E13">
            <v>0</v>
          </cell>
          <cell r="F13">
            <v>0</v>
          </cell>
          <cell r="G13">
            <v>-4126329.25</v>
          </cell>
          <cell r="H13">
            <v>-6983574.0300000003</v>
          </cell>
          <cell r="I13">
            <v>-9693027.3399999999</v>
          </cell>
          <cell r="J13">
            <v>-7553823.71</v>
          </cell>
          <cell r="K13">
            <v>-5886261.2400000002</v>
          </cell>
          <cell r="L13">
            <v>-6843704.3799999999</v>
          </cell>
        </row>
        <row r="14">
          <cell r="A14">
            <v>103130</v>
          </cell>
          <cell r="B14">
            <v>0</v>
          </cell>
          <cell r="C14" t="str">
            <v>103130</v>
          </cell>
          <cell r="D14" t="str">
            <v>Other fees</v>
          </cell>
          <cell r="E14">
            <v>-10952.87</v>
          </cell>
          <cell r="F14"/>
          <cell r="G14">
            <v>-10952.87</v>
          </cell>
          <cell r="H14">
            <v>10952.87</v>
          </cell>
          <cell r="I14"/>
          <cell r="J14"/>
          <cell r="K14"/>
          <cell r="L14"/>
        </row>
        <row r="15">
          <cell r="A15">
            <v>103131</v>
          </cell>
          <cell r="B15">
            <v>0</v>
          </cell>
          <cell r="C15" t="str">
            <v>103131</v>
          </cell>
          <cell r="D15" t="str">
            <v>I/C Other fees</v>
          </cell>
          <cell r="E15"/>
          <cell r="F15"/>
          <cell r="G15">
            <v>-3105000</v>
          </cell>
          <cell r="H15">
            <v>0</v>
          </cell>
          <cell r="I15">
            <v>-15988028</v>
          </cell>
          <cell r="J15"/>
          <cell r="K15"/>
          <cell r="L15"/>
        </row>
        <row r="16">
          <cell r="A16">
            <v>112120</v>
          </cell>
          <cell r="B16">
            <v>0</v>
          </cell>
          <cell r="C16" t="str">
            <v>112120</v>
          </cell>
          <cell r="D16" t="str">
            <v>Land Lease - variable</v>
          </cell>
          <cell r="E16">
            <v>743253.09</v>
          </cell>
          <cell r="F16">
            <v>0</v>
          </cell>
          <cell r="G16"/>
          <cell r="H16">
            <v>-58805</v>
          </cell>
          <cell r="I16">
            <v>981740.46</v>
          </cell>
          <cell r="J16">
            <v>-97933.01</v>
          </cell>
          <cell r="K16"/>
          <cell r="L16"/>
        </row>
        <row r="17">
          <cell r="A17">
            <v>112130</v>
          </cell>
          <cell r="B17">
            <v>0</v>
          </cell>
          <cell r="C17" t="str">
            <v>112130</v>
          </cell>
          <cell r="D17" t="str">
            <v>Land taxes</v>
          </cell>
          <cell r="E17"/>
          <cell r="F17"/>
          <cell r="G17"/>
          <cell r="H17">
            <v>0</v>
          </cell>
          <cell r="I17">
            <v>0</v>
          </cell>
          <cell r="J17"/>
          <cell r="K17"/>
          <cell r="L17"/>
        </row>
        <row r="18">
          <cell r="A18">
            <v>112210</v>
          </cell>
          <cell r="B18">
            <v>0</v>
          </cell>
          <cell r="C18" t="str">
            <v>112210</v>
          </cell>
          <cell r="D18" t="str">
            <v>Other Operation &amp; Maintenance</v>
          </cell>
          <cell r="E18"/>
          <cell r="F18">
            <v>1009306.94</v>
          </cell>
          <cell r="G18">
            <v>6995.2</v>
          </cell>
          <cell r="H18">
            <v>84557.04</v>
          </cell>
          <cell r="I18">
            <v>90480.42</v>
          </cell>
          <cell r="J18">
            <v>895745.4</v>
          </cell>
          <cell r="K18">
            <v>1018452.85</v>
          </cell>
          <cell r="L18">
            <v>1004463.66</v>
          </cell>
        </row>
        <row r="19">
          <cell r="A19">
            <v>112212</v>
          </cell>
          <cell r="B19">
            <v>0</v>
          </cell>
          <cell r="C19" t="str">
            <v>112212</v>
          </cell>
          <cell r="D19" t="str">
            <v>High voltage Operation &amp; Maintenance</v>
          </cell>
          <cell r="E19"/>
          <cell r="F19"/>
          <cell r="G19">
            <v>22937</v>
          </cell>
          <cell r="H19"/>
          <cell r="I19"/>
          <cell r="J19"/>
          <cell r="K19"/>
          <cell r="L19"/>
        </row>
        <row r="20">
          <cell r="A20">
            <v>112221</v>
          </cell>
          <cell r="B20">
            <v>0</v>
          </cell>
          <cell r="C20" t="str">
            <v>112221</v>
          </cell>
          <cell r="D20" t="str">
            <v>I/C Operational Technology expenses</v>
          </cell>
          <cell r="E20"/>
          <cell r="F20">
            <v>169749.43</v>
          </cell>
          <cell r="G20"/>
          <cell r="H20">
            <v>225948.49</v>
          </cell>
          <cell r="I20"/>
          <cell r="J20"/>
          <cell r="K20"/>
          <cell r="L20"/>
        </row>
        <row r="21">
          <cell r="A21">
            <v>112230</v>
          </cell>
          <cell r="B21">
            <v>0</v>
          </cell>
          <cell r="C21" t="str">
            <v>112230</v>
          </cell>
          <cell r="D21" t="str">
            <v>Ordinary Operation &amp; Maintenance</v>
          </cell>
          <cell r="E21"/>
          <cell r="F21">
            <v>971022.4</v>
          </cell>
          <cell r="G21">
            <v>1032914.66</v>
          </cell>
          <cell r="H21"/>
          <cell r="I21">
            <v>1860079.72</v>
          </cell>
          <cell r="J21">
            <v>0</v>
          </cell>
          <cell r="K21"/>
          <cell r="L21"/>
        </row>
        <row r="22">
          <cell r="A22">
            <v>112310</v>
          </cell>
          <cell r="B22">
            <v>0</v>
          </cell>
          <cell r="C22" t="str">
            <v>112310</v>
          </cell>
          <cell r="D22" t="str">
            <v>Insurance premium</v>
          </cell>
          <cell r="E22"/>
          <cell r="F22">
            <v>8165.96</v>
          </cell>
          <cell r="G22">
            <v>140276.93</v>
          </cell>
          <cell r="H22">
            <v>60118.7</v>
          </cell>
          <cell r="I22">
            <v>60269.1</v>
          </cell>
          <cell r="J22">
            <v>60268.08</v>
          </cell>
          <cell r="K22">
            <v>60268.08</v>
          </cell>
          <cell r="L22">
            <v>60268.12</v>
          </cell>
        </row>
        <row r="23">
          <cell r="A23">
            <v>112410</v>
          </cell>
          <cell r="B23">
            <v>0</v>
          </cell>
          <cell r="C23" t="str">
            <v>112410</v>
          </cell>
          <cell r="D23" t="str">
            <v>Electricity costs</v>
          </cell>
          <cell r="E23">
            <v>-987321.53</v>
          </cell>
          <cell r="F23">
            <v>366847.05</v>
          </cell>
          <cell r="G23">
            <v>85541.35</v>
          </cell>
          <cell r="H23">
            <v>-187304.62</v>
          </cell>
          <cell r="I23">
            <v>-92893.74</v>
          </cell>
          <cell r="J23">
            <v>74748.5</v>
          </cell>
          <cell r="K23">
            <v>127304.27</v>
          </cell>
          <cell r="L23">
            <v>-69978.37</v>
          </cell>
        </row>
        <row r="24">
          <cell r="A24">
            <v>112520</v>
          </cell>
          <cell r="B24">
            <v>0</v>
          </cell>
          <cell r="C24" t="str">
            <v>112520</v>
          </cell>
          <cell r="D24" t="str">
            <v>Repairs</v>
          </cell>
          <cell r="E24"/>
          <cell r="F24"/>
          <cell r="G24">
            <v>30142.799999999999</v>
          </cell>
          <cell r="H24">
            <v>218603.6</v>
          </cell>
          <cell r="I24"/>
          <cell r="J24">
            <v>0</v>
          </cell>
          <cell r="K24">
            <v>334752.8</v>
          </cell>
          <cell r="L24">
            <v>-54936.49</v>
          </cell>
        </row>
        <row r="25">
          <cell r="A25">
            <v>112610</v>
          </cell>
          <cell r="B25">
            <v>0</v>
          </cell>
          <cell r="C25" t="str">
            <v>112610</v>
          </cell>
          <cell r="D25" t="str">
            <v>Communication &amp; data</v>
          </cell>
          <cell r="E25">
            <v>1760</v>
          </cell>
          <cell r="F25">
            <v>2574.65</v>
          </cell>
          <cell r="G25">
            <v>19250.7</v>
          </cell>
          <cell r="H25">
            <v>32498.98</v>
          </cell>
          <cell r="I25">
            <v>9736.7999999999993</v>
          </cell>
          <cell r="J25">
            <v>5088</v>
          </cell>
          <cell r="K25">
            <v>5088</v>
          </cell>
          <cell r="L25"/>
        </row>
        <row r="26">
          <cell r="A26">
            <v>112620</v>
          </cell>
          <cell r="B26">
            <v>0</v>
          </cell>
          <cell r="C26" t="str">
            <v>112620</v>
          </cell>
          <cell r="D26" t="str">
            <v>Other direct costs</v>
          </cell>
          <cell r="E26">
            <v>2277801.2400000002</v>
          </cell>
          <cell r="F26">
            <v>106111.53</v>
          </cell>
          <cell r="G26">
            <v>1287.8599999999999</v>
          </cell>
          <cell r="H26">
            <v>-1287.8599999999999</v>
          </cell>
          <cell r="I26"/>
          <cell r="J26"/>
          <cell r="K26"/>
          <cell r="L26">
            <v>-533296.43000000005</v>
          </cell>
        </row>
        <row r="27">
          <cell r="A27">
            <v>112630</v>
          </cell>
          <cell r="B27">
            <v>0</v>
          </cell>
          <cell r="C27" t="str">
            <v>112630</v>
          </cell>
          <cell r="D27" t="str">
            <v>Fees to market representatives</v>
          </cell>
          <cell r="E27">
            <v>487870.43</v>
          </cell>
          <cell r="F27"/>
          <cell r="G27"/>
          <cell r="H27">
            <v>573149.57999999996</v>
          </cell>
          <cell r="I27">
            <v>0</v>
          </cell>
          <cell r="J27">
            <v>247034.22</v>
          </cell>
          <cell r="K27">
            <v>157230.69</v>
          </cell>
          <cell r="L27">
            <v>109802.84</v>
          </cell>
        </row>
        <row r="28">
          <cell r="A28">
            <v>112651</v>
          </cell>
          <cell r="B28">
            <v>0</v>
          </cell>
          <cell r="C28" t="str">
            <v>112651</v>
          </cell>
          <cell r="D28" t="str">
            <v>Other taxes</v>
          </cell>
          <cell r="E28"/>
          <cell r="F28">
            <v>1449</v>
          </cell>
          <cell r="G28"/>
          <cell r="H28"/>
          <cell r="I28"/>
          <cell r="J28"/>
          <cell r="K28"/>
          <cell r="L28"/>
        </row>
        <row r="29">
          <cell r="A29">
            <v>112675</v>
          </cell>
          <cell r="B29">
            <v>0</v>
          </cell>
          <cell r="C29" t="str">
            <v>112675</v>
          </cell>
          <cell r="D29" t="str">
            <v>Producer Fee</v>
          </cell>
          <cell r="E29"/>
          <cell r="F29">
            <v>5000</v>
          </cell>
          <cell r="G29"/>
          <cell r="H29"/>
          <cell r="I29"/>
          <cell r="J29"/>
          <cell r="K29"/>
          <cell r="L29"/>
        </row>
        <row r="30">
          <cell r="A30">
            <v>124120</v>
          </cell>
          <cell r="B30">
            <v>0</v>
          </cell>
          <cell r="C30" t="str">
            <v>124120</v>
          </cell>
          <cell r="D30" t="str">
            <v>Communication charges</v>
          </cell>
          <cell r="E30"/>
          <cell r="F30">
            <v>2847.2</v>
          </cell>
          <cell r="G30"/>
          <cell r="H30"/>
          <cell r="I30"/>
          <cell r="J30"/>
          <cell r="K30"/>
          <cell r="L30"/>
        </row>
        <row r="31">
          <cell r="A31">
            <v>133110</v>
          </cell>
          <cell r="B31">
            <v>0</v>
          </cell>
          <cell r="C31" t="str">
            <v>133110</v>
          </cell>
          <cell r="D31" t="str">
            <v>Communication charges</v>
          </cell>
          <cell r="E31"/>
          <cell r="F31"/>
          <cell r="G31"/>
          <cell r="H31"/>
          <cell r="I31"/>
          <cell r="J31"/>
          <cell r="K31"/>
          <cell r="L31">
            <v>7111.2</v>
          </cell>
        </row>
        <row r="32">
          <cell r="A32">
            <v>134111</v>
          </cell>
          <cell r="B32">
            <v>0</v>
          </cell>
          <cell r="C32" t="str">
            <v>134111</v>
          </cell>
          <cell r="D32" t="str">
            <v>I/C Asset management fees</v>
          </cell>
          <cell r="E32"/>
          <cell r="F32">
            <v>169749.43</v>
          </cell>
          <cell r="G32"/>
          <cell r="H32">
            <v>225948.48</v>
          </cell>
          <cell r="I32">
            <v>153745.64000000001</v>
          </cell>
          <cell r="J32">
            <v>115068.44</v>
          </cell>
          <cell r="K32">
            <v>133333.99</v>
          </cell>
          <cell r="L32">
            <v>-46297.71</v>
          </cell>
        </row>
        <row r="33">
          <cell r="A33">
            <v>134113</v>
          </cell>
          <cell r="B33">
            <v>0</v>
          </cell>
          <cell r="C33" t="str">
            <v>134113</v>
          </cell>
          <cell r="D33" t="str">
            <v>I/C Corp.Serv. fee</v>
          </cell>
          <cell r="E33"/>
          <cell r="F33"/>
          <cell r="G33"/>
          <cell r="H33">
            <v>4865135.7300000004</v>
          </cell>
          <cell r="I33"/>
          <cell r="J33"/>
          <cell r="K33"/>
          <cell r="L33"/>
        </row>
        <row r="34">
          <cell r="A34">
            <v>134130</v>
          </cell>
          <cell r="B34">
            <v>0</v>
          </cell>
          <cell r="C34" t="str">
            <v>134130</v>
          </cell>
          <cell r="D34" t="str">
            <v>Auditing fee</v>
          </cell>
          <cell r="E34">
            <v>6750</v>
          </cell>
          <cell r="F34">
            <v>6230.4</v>
          </cell>
          <cell r="G34">
            <v>20370</v>
          </cell>
          <cell r="H34">
            <v>6750</v>
          </cell>
          <cell r="I34">
            <v>7500</v>
          </cell>
          <cell r="J34">
            <v>20250.400000000001</v>
          </cell>
          <cell r="K34">
            <v>7500</v>
          </cell>
          <cell r="L34">
            <v>7500</v>
          </cell>
        </row>
        <row r="35">
          <cell r="A35">
            <v>134140</v>
          </cell>
          <cell r="B35">
            <v>0</v>
          </cell>
          <cell r="C35" t="str">
            <v>134140</v>
          </cell>
          <cell r="D35" t="str">
            <v>Fees from company auditor other than auditing/tax</v>
          </cell>
          <cell r="E35">
            <v>5250</v>
          </cell>
          <cell r="F35">
            <v>-750</v>
          </cell>
          <cell r="G35">
            <v>5250</v>
          </cell>
          <cell r="H35">
            <v>5250</v>
          </cell>
          <cell r="I35">
            <v>9900</v>
          </cell>
          <cell r="J35">
            <v>3900</v>
          </cell>
          <cell r="K35">
            <v>9900</v>
          </cell>
          <cell r="L35">
            <v>9900</v>
          </cell>
        </row>
        <row r="36">
          <cell r="A36">
            <v>134160</v>
          </cell>
          <cell r="B36">
            <v>0</v>
          </cell>
          <cell r="C36" t="str">
            <v>134160</v>
          </cell>
          <cell r="D36" t="str">
            <v>Other consultancy fees</v>
          </cell>
          <cell r="E36"/>
          <cell r="F36"/>
          <cell r="G36"/>
          <cell r="H36">
            <v>32500</v>
          </cell>
          <cell r="I36">
            <v>44600</v>
          </cell>
          <cell r="J36"/>
          <cell r="K36"/>
          <cell r="L36"/>
        </row>
        <row r="37">
          <cell r="A37">
            <v>134170</v>
          </cell>
          <cell r="B37">
            <v>0</v>
          </cell>
          <cell r="C37" t="str">
            <v>134170</v>
          </cell>
          <cell r="D37" t="str">
            <v>Local Tax and Compliance</v>
          </cell>
          <cell r="E37"/>
          <cell r="F37">
            <v>3400</v>
          </cell>
          <cell r="G37">
            <v>15000</v>
          </cell>
          <cell r="H37">
            <v>55464.800000000003</v>
          </cell>
          <cell r="I37">
            <v>34300</v>
          </cell>
          <cell r="J37">
            <v>59250.400000000001</v>
          </cell>
          <cell r="K37">
            <v>29875.200000000001</v>
          </cell>
          <cell r="L37">
            <v>10600</v>
          </cell>
        </row>
        <row r="38">
          <cell r="A38">
            <v>134171</v>
          </cell>
          <cell r="B38">
            <v>0</v>
          </cell>
          <cell r="C38" t="str">
            <v>134171</v>
          </cell>
          <cell r="D38" t="str">
            <v>Bookkeeping fee</v>
          </cell>
          <cell r="E38">
            <v>32750.400000000001</v>
          </cell>
          <cell r="F38">
            <v>20150</v>
          </cell>
          <cell r="G38"/>
          <cell r="H38">
            <v>0</v>
          </cell>
          <cell r="I38">
            <v>0</v>
          </cell>
          <cell r="J38"/>
          <cell r="K38"/>
          <cell r="L38"/>
        </row>
        <row r="39">
          <cell r="A39">
            <v>134220</v>
          </cell>
          <cell r="B39">
            <v>0</v>
          </cell>
          <cell r="C39" t="str">
            <v>134220</v>
          </cell>
          <cell r="D39" t="str">
            <v>Bank charges</v>
          </cell>
          <cell r="E39">
            <v>1205.25</v>
          </cell>
          <cell r="F39">
            <v>46337.49</v>
          </cell>
          <cell r="G39">
            <v>4040.08</v>
          </cell>
          <cell r="H39">
            <v>3924.56</v>
          </cell>
          <cell r="I39">
            <v>6797.19</v>
          </cell>
          <cell r="J39">
            <v>8596.15</v>
          </cell>
          <cell r="K39">
            <v>4966.28</v>
          </cell>
          <cell r="L39">
            <v>5229.2299999999996</v>
          </cell>
        </row>
        <row r="40">
          <cell r="A40">
            <v>134230</v>
          </cell>
          <cell r="B40">
            <v>0</v>
          </cell>
          <cell r="C40" t="str">
            <v>134230</v>
          </cell>
          <cell r="D40" t="str">
            <v>Other fees</v>
          </cell>
          <cell r="E40">
            <v>59.72</v>
          </cell>
          <cell r="F40">
            <v>1710</v>
          </cell>
          <cell r="G40"/>
          <cell r="H40">
            <v>1423</v>
          </cell>
          <cell r="I40"/>
          <cell r="J40">
            <v>1789</v>
          </cell>
          <cell r="K40">
            <v>250</v>
          </cell>
          <cell r="L40">
            <v>3368</v>
          </cell>
        </row>
        <row r="41">
          <cell r="A41">
            <v>139140</v>
          </cell>
          <cell r="B41">
            <v>0</v>
          </cell>
          <cell r="C41" t="str">
            <v>139140</v>
          </cell>
          <cell r="D41" t="str">
            <v>Rounding differences</v>
          </cell>
          <cell r="E41">
            <v>0.27</v>
          </cell>
          <cell r="F41">
            <v>1.01</v>
          </cell>
          <cell r="G41">
            <v>1.01</v>
          </cell>
          <cell r="H41">
            <v>0.2</v>
          </cell>
          <cell r="I41">
            <v>-0.67</v>
          </cell>
          <cell r="J41">
            <v>-0.73</v>
          </cell>
          <cell r="K41">
            <v>-0.26</v>
          </cell>
          <cell r="L41">
            <v>-0.04</v>
          </cell>
        </row>
        <row r="42">
          <cell r="A42">
            <v>139170</v>
          </cell>
          <cell r="B42">
            <v>0</v>
          </cell>
          <cell r="C42" t="str">
            <v>139170</v>
          </cell>
          <cell r="D42" t="str">
            <v>Non tax deductable expenses</v>
          </cell>
          <cell r="E42"/>
          <cell r="F42"/>
          <cell r="G42"/>
          <cell r="H42"/>
          <cell r="I42"/>
          <cell r="J42"/>
          <cell r="K42"/>
          <cell r="L42">
            <v>31736</v>
          </cell>
        </row>
        <row r="43">
          <cell r="A43">
            <v>142110</v>
          </cell>
          <cell r="B43">
            <v>0</v>
          </cell>
          <cell r="C43" t="str">
            <v>142110</v>
          </cell>
          <cell r="D43" t="str">
            <v>Depreciation of wind turbines</v>
          </cell>
          <cell r="E43"/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A44">
            <v>145110</v>
          </cell>
          <cell r="B44">
            <v>0</v>
          </cell>
          <cell r="C44" t="str">
            <v>145110</v>
          </cell>
          <cell r="D44" t="str">
            <v>DO NOT USE Nonrecurring income</v>
          </cell>
          <cell r="E44"/>
          <cell r="F44"/>
          <cell r="G44"/>
          <cell r="H44"/>
          <cell r="I44"/>
          <cell r="J44"/>
          <cell r="K44">
            <v>-13820404.529999999</v>
          </cell>
          <cell r="L44"/>
        </row>
        <row r="45">
          <cell r="A45">
            <v>153110</v>
          </cell>
          <cell r="B45">
            <v>0</v>
          </cell>
          <cell r="C45" t="str">
            <v>153110</v>
          </cell>
          <cell r="D45" t="str">
            <v>Interest income from bank accounts</v>
          </cell>
          <cell r="E45">
            <v>-0.31</v>
          </cell>
          <cell r="F45">
            <v>-692.87</v>
          </cell>
          <cell r="G45">
            <v>-6.69</v>
          </cell>
          <cell r="H45">
            <v>-19662</v>
          </cell>
          <cell r="I45">
            <v>-2572.31</v>
          </cell>
          <cell r="J45">
            <v>-388.27</v>
          </cell>
          <cell r="K45">
            <v>-343.32</v>
          </cell>
          <cell r="L45">
            <v>-4263.28</v>
          </cell>
        </row>
        <row r="46">
          <cell r="A46">
            <v>153130</v>
          </cell>
          <cell r="B46">
            <v>0</v>
          </cell>
          <cell r="C46" t="str">
            <v>153130</v>
          </cell>
          <cell r="D46" t="str">
            <v>Other interest income</v>
          </cell>
          <cell r="E46">
            <v>-217.68</v>
          </cell>
          <cell r="F46"/>
          <cell r="G46"/>
          <cell r="H46"/>
          <cell r="I46"/>
          <cell r="J46"/>
          <cell r="K46"/>
          <cell r="L46">
            <v>-13880728.380000001</v>
          </cell>
        </row>
        <row r="47">
          <cell r="A47">
            <v>153140</v>
          </cell>
          <cell r="B47">
            <v>0</v>
          </cell>
          <cell r="C47" t="str">
            <v>153140</v>
          </cell>
          <cell r="D47" t="str">
            <v>Non-taxable interest income</v>
          </cell>
          <cell r="E47">
            <v>-585</v>
          </cell>
          <cell r="F47">
            <v>-18143</v>
          </cell>
          <cell r="G47">
            <v>2145</v>
          </cell>
          <cell r="H47">
            <v>-1435.61</v>
          </cell>
          <cell r="I47">
            <v>-2004</v>
          </cell>
          <cell r="J47">
            <v>116</v>
          </cell>
          <cell r="K47">
            <v>-34093</v>
          </cell>
          <cell r="L47"/>
        </row>
        <row r="48">
          <cell r="A48">
            <v>153210</v>
          </cell>
          <cell r="B48">
            <v>0</v>
          </cell>
          <cell r="C48" t="str">
            <v>153210</v>
          </cell>
          <cell r="D48" t="str">
            <v>I/C Interest income</v>
          </cell>
          <cell r="E48"/>
          <cell r="F48"/>
          <cell r="G48"/>
          <cell r="H48">
            <v>-1205669.3999999999</v>
          </cell>
          <cell r="I48">
            <v>-723662.73</v>
          </cell>
          <cell r="J48"/>
          <cell r="K48"/>
          <cell r="L48"/>
        </row>
        <row r="49">
          <cell r="A49">
            <v>153410</v>
          </cell>
          <cell r="B49">
            <v>0</v>
          </cell>
          <cell r="C49" t="str">
            <v>153410</v>
          </cell>
          <cell r="D49" t="str">
            <v>Income from currency gains - r</v>
          </cell>
          <cell r="E49">
            <v>-196976.94</v>
          </cell>
          <cell r="F49">
            <v>-103607.01</v>
          </cell>
          <cell r="G49">
            <v>3677337.01</v>
          </cell>
          <cell r="H49">
            <v>-234074.56</v>
          </cell>
          <cell r="I49">
            <v>-125187.28</v>
          </cell>
          <cell r="J49">
            <v>-150909.64000000001</v>
          </cell>
          <cell r="K49">
            <v>-90047.14</v>
          </cell>
          <cell r="L49">
            <v>-26960.03</v>
          </cell>
        </row>
        <row r="50">
          <cell r="A50">
            <v>153411</v>
          </cell>
          <cell r="B50">
            <v>0</v>
          </cell>
          <cell r="C50" t="str">
            <v>153411</v>
          </cell>
          <cell r="D50" t="str">
            <v>Income from currency gains - u</v>
          </cell>
          <cell r="E50">
            <v>-327304.33</v>
          </cell>
          <cell r="F50">
            <v>-377392.6</v>
          </cell>
          <cell r="G50">
            <v>-22835313.890000001</v>
          </cell>
          <cell r="H50">
            <v>15999370.390000001</v>
          </cell>
          <cell r="I50">
            <v>-1212741.3700000001</v>
          </cell>
          <cell r="J50">
            <v>2020678.99</v>
          </cell>
          <cell r="K50">
            <v>-148915.93</v>
          </cell>
          <cell r="L50"/>
        </row>
        <row r="51">
          <cell r="A51">
            <v>154112</v>
          </cell>
          <cell r="B51">
            <v>0</v>
          </cell>
          <cell r="C51" t="str">
            <v>154112</v>
          </cell>
          <cell r="D51" t="str">
            <v>Bank charges from project finan</v>
          </cell>
          <cell r="E51"/>
          <cell r="F51">
            <v>0</v>
          </cell>
          <cell r="G51"/>
          <cell r="H51"/>
          <cell r="I51"/>
          <cell r="J51"/>
          <cell r="K51"/>
          <cell r="L51"/>
        </row>
        <row r="52">
          <cell r="A52">
            <v>154120</v>
          </cell>
          <cell r="B52">
            <v>0</v>
          </cell>
          <cell r="C52" t="str">
            <v>154120</v>
          </cell>
          <cell r="D52" t="str">
            <v>Interest expenses from bank acccounts</v>
          </cell>
          <cell r="E52"/>
          <cell r="F52">
            <v>8517344.4000000004</v>
          </cell>
          <cell r="G52">
            <v>5574152.6100000003</v>
          </cell>
          <cell r="H52">
            <v>5574367.0899999999</v>
          </cell>
          <cell r="I52">
            <v>5289014.17</v>
          </cell>
          <cell r="J52">
            <v>5612769.7199999997</v>
          </cell>
          <cell r="K52">
            <v>5261211.5999999996</v>
          </cell>
          <cell r="L52">
            <v>2000580.29</v>
          </cell>
        </row>
        <row r="53">
          <cell r="A53">
            <v>154131</v>
          </cell>
          <cell r="B53">
            <v>0</v>
          </cell>
          <cell r="C53" t="str">
            <v>154131</v>
          </cell>
          <cell r="D53" t="str">
            <v>Capitalised Interest Expence</v>
          </cell>
          <cell r="E53">
            <v>-2707137.85</v>
          </cell>
          <cell r="F53">
            <v>-3806489.54</v>
          </cell>
          <cell r="G53">
            <v>6513627.3899999997</v>
          </cell>
          <cell r="H53">
            <v>0</v>
          </cell>
          <cell r="I53"/>
          <cell r="J53"/>
          <cell r="K53"/>
          <cell r="L53"/>
        </row>
        <row r="54">
          <cell r="A54">
            <v>154140</v>
          </cell>
          <cell r="B54">
            <v>0</v>
          </cell>
          <cell r="C54" t="str">
            <v>154140</v>
          </cell>
          <cell r="D54" t="str">
            <v>Guarantee provisions</v>
          </cell>
          <cell r="E54"/>
          <cell r="F54"/>
          <cell r="G54">
            <v>160050.19</v>
          </cell>
          <cell r="H54">
            <v>163049.97</v>
          </cell>
          <cell r="I54">
            <v>156826.18</v>
          </cell>
          <cell r="J54">
            <v>161366.26999999999</v>
          </cell>
          <cell r="K54"/>
          <cell r="L54"/>
        </row>
        <row r="55">
          <cell r="A55">
            <v>154141</v>
          </cell>
          <cell r="B55">
            <v>0</v>
          </cell>
          <cell r="C55" t="str">
            <v>154141</v>
          </cell>
          <cell r="D55" t="str">
            <v>I/C Parent Company Guarantee expense</v>
          </cell>
          <cell r="E55"/>
          <cell r="F55">
            <v>1195464.02</v>
          </cell>
          <cell r="G55"/>
          <cell r="H55">
            <v>1286707.96</v>
          </cell>
          <cell r="I55"/>
          <cell r="J55">
            <v>671302.64</v>
          </cell>
          <cell r="K55">
            <v>666210.88</v>
          </cell>
          <cell r="L55"/>
        </row>
        <row r="56">
          <cell r="A56">
            <v>154142</v>
          </cell>
          <cell r="B56">
            <v>0</v>
          </cell>
          <cell r="C56" t="str">
            <v>154142</v>
          </cell>
          <cell r="D56" t="str">
            <v>Capitalised guarantee provision</v>
          </cell>
          <cell r="E56"/>
          <cell r="F56">
            <v>0</v>
          </cell>
          <cell r="G56"/>
          <cell r="H56">
            <v>0</v>
          </cell>
          <cell r="I56">
            <v>0</v>
          </cell>
          <cell r="J56"/>
          <cell r="K56"/>
          <cell r="L56"/>
        </row>
        <row r="57">
          <cell r="A57">
            <v>154150</v>
          </cell>
          <cell r="B57">
            <v>0</v>
          </cell>
          <cell r="C57" t="str">
            <v>154150</v>
          </cell>
          <cell r="D57" t="str">
            <v>Other interest expenses</v>
          </cell>
          <cell r="E57">
            <v>605.83000000000004</v>
          </cell>
          <cell r="F57"/>
          <cell r="G57">
            <v>338</v>
          </cell>
          <cell r="H57">
            <v>359.72</v>
          </cell>
          <cell r="I57">
            <v>1115.05</v>
          </cell>
          <cell r="J57">
            <v>1250</v>
          </cell>
          <cell r="K57"/>
          <cell r="L57"/>
        </row>
        <row r="58">
          <cell r="A58">
            <v>154160</v>
          </cell>
          <cell r="B58">
            <v>0</v>
          </cell>
          <cell r="C58" t="str">
            <v>154160</v>
          </cell>
          <cell r="D58" t="str">
            <v>Non-deductible interest expenses</v>
          </cell>
          <cell r="E58"/>
          <cell r="F58"/>
          <cell r="G58">
            <v>4</v>
          </cell>
          <cell r="H58"/>
          <cell r="I58"/>
          <cell r="J58">
            <v>628</v>
          </cell>
          <cell r="K58">
            <v>-523</v>
          </cell>
          <cell r="L58"/>
        </row>
        <row r="59">
          <cell r="A59">
            <v>154210</v>
          </cell>
          <cell r="B59">
            <v>0</v>
          </cell>
          <cell r="C59" t="str">
            <v>154210</v>
          </cell>
          <cell r="D59" t="str">
            <v>I/C Interest expenses</v>
          </cell>
          <cell r="E59">
            <v>2437772.5299999998</v>
          </cell>
          <cell r="F59">
            <v>2222214.0699999998</v>
          </cell>
          <cell r="G59">
            <v>1016369.06</v>
          </cell>
          <cell r="H59">
            <v>2416751.5499999998</v>
          </cell>
          <cell r="I59">
            <v>2399744.2999999998</v>
          </cell>
          <cell r="J59">
            <v>1880207.39</v>
          </cell>
          <cell r="K59">
            <v>1804671.46</v>
          </cell>
          <cell r="L59"/>
        </row>
        <row r="60">
          <cell r="A60">
            <v>154310</v>
          </cell>
          <cell r="B60">
            <v>0</v>
          </cell>
          <cell r="C60" t="str">
            <v>154310</v>
          </cell>
          <cell r="D60" t="str">
            <v>Costs from currency losses - r</v>
          </cell>
          <cell r="E60">
            <v>96659.68</v>
          </cell>
          <cell r="F60">
            <v>75144.759999999995</v>
          </cell>
          <cell r="G60">
            <v>-1131267.83</v>
          </cell>
          <cell r="H60">
            <v>287467.83</v>
          </cell>
          <cell r="I60">
            <v>37097.83</v>
          </cell>
          <cell r="J60">
            <v>90930.07</v>
          </cell>
          <cell r="K60">
            <v>25802</v>
          </cell>
          <cell r="L60">
            <v>0</v>
          </cell>
        </row>
        <row r="61">
          <cell r="A61">
            <v>154311</v>
          </cell>
          <cell r="B61">
            <v>0</v>
          </cell>
          <cell r="C61" t="str">
            <v>154311</v>
          </cell>
          <cell r="D61" t="str">
            <v>Costs from currency losses - u</v>
          </cell>
          <cell r="E61">
            <v>269365.33</v>
          </cell>
          <cell r="F61">
            <v>5380441.1699999999</v>
          </cell>
          <cell r="G61">
            <v>3166623.68</v>
          </cell>
          <cell r="H61">
            <v>-5176936.97</v>
          </cell>
          <cell r="I61">
            <v>-730305.76</v>
          </cell>
          <cell r="J61">
            <v>282211.11</v>
          </cell>
          <cell r="K61">
            <v>304.52</v>
          </cell>
          <cell r="L61"/>
        </row>
        <row r="62">
          <cell r="A62">
            <v>161111</v>
          </cell>
          <cell r="B62">
            <v>0</v>
          </cell>
          <cell r="C62" t="str">
            <v>161111</v>
          </cell>
          <cell r="D62" t="str">
            <v>Corporation tax - other jurisd</v>
          </cell>
          <cell r="E62">
            <v>0</v>
          </cell>
          <cell r="F62"/>
          <cell r="G62"/>
          <cell r="H62">
            <v>424917.16</v>
          </cell>
          <cell r="I62"/>
          <cell r="J62"/>
          <cell r="K62"/>
          <cell r="L62"/>
        </row>
        <row r="63">
          <cell r="A63">
            <v>161220</v>
          </cell>
          <cell r="B63">
            <v>0</v>
          </cell>
          <cell r="C63" t="str">
            <v>161220</v>
          </cell>
          <cell r="D63" t="str">
            <v>Change in deferred tax - other</v>
          </cell>
          <cell r="E63">
            <v>2278503</v>
          </cell>
          <cell r="F63">
            <v>-2278503</v>
          </cell>
          <cell r="G63"/>
          <cell r="H63">
            <v>2585174.56</v>
          </cell>
          <cell r="I63"/>
          <cell r="J63"/>
          <cell r="K63"/>
          <cell r="L63"/>
        </row>
        <row r="64">
          <cell r="A64">
            <v>161221</v>
          </cell>
          <cell r="B64">
            <v>0</v>
          </cell>
          <cell r="C64" t="str">
            <v>161221</v>
          </cell>
          <cell r="D64" t="str">
            <v>Change in DTA prior years - oth. jur.</v>
          </cell>
          <cell r="E64">
            <v>0</v>
          </cell>
          <cell r="F64"/>
          <cell r="G64"/>
          <cell r="H64">
            <v>-2102679</v>
          </cell>
          <cell r="I64"/>
          <cell r="J64"/>
          <cell r="K64"/>
          <cell r="L64"/>
        </row>
        <row r="65">
          <cell r="A65">
            <v>161311</v>
          </cell>
          <cell r="B65">
            <v>0</v>
          </cell>
          <cell r="C65" t="str">
            <v>161311</v>
          </cell>
          <cell r="D65" t="str">
            <v>Adjustment of corporation tax</v>
          </cell>
          <cell r="E65"/>
          <cell r="F65"/>
          <cell r="G65"/>
          <cell r="H65">
            <v>-1074455</v>
          </cell>
          <cell r="I65"/>
          <cell r="J65"/>
          <cell r="K65"/>
          <cell r="L65"/>
        </row>
        <row r="66">
          <cell r="A66">
            <v>212120</v>
          </cell>
          <cell r="B66">
            <v>0</v>
          </cell>
          <cell r="C66" t="str">
            <v>212120</v>
          </cell>
          <cell r="D66" t="str">
            <v>Additions during the year</v>
          </cell>
          <cell r="E66">
            <v>8507849.5999999996</v>
          </cell>
          <cell r="F66">
            <v>5286992.32</v>
          </cell>
          <cell r="G66">
            <v>8214643.4699999997</v>
          </cell>
          <cell r="H66">
            <v>-7840027.2599999998</v>
          </cell>
          <cell r="I66">
            <v>21389852.68</v>
          </cell>
          <cell r="J66">
            <v>-5933121.9900000002</v>
          </cell>
          <cell r="K66">
            <v>-2434431.1</v>
          </cell>
          <cell r="L66">
            <v>566039.86</v>
          </cell>
        </row>
        <row r="67">
          <cell r="A67">
            <v>212130</v>
          </cell>
          <cell r="B67">
            <v>0</v>
          </cell>
          <cell r="C67" t="str">
            <v>212130</v>
          </cell>
          <cell r="D67" t="str">
            <v>Disposals during the year</v>
          </cell>
          <cell r="E67"/>
          <cell r="F67">
            <v>0</v>
          </cell>
          <cell r="G67"/>
          <cell r="H67">
            <v>0</v>
          </cell>
          <cell r="I67">
            <v>0</v>
          </cell>
          <cell r="J67"/>
          <cell r="K67"/>
          <cell r="L67"/>
        </row>
        <row r="68">
          <cell r="A68">
            <v>221120</v>
          </cell>
          <cell r="B68">
            <v>0</v>
          </cell>
          <cell r="C68" t="str">
            <v>221120</v>
          </cell>
          <cell r="D68" t="str">
            <v>Additions during the year</v>
          </cell>
          <cell r="E68"/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/>
          <cell r="K68"/>
          <cell r="L68"/>
        </row>
        <row r="69">
          <cell r="A69">
            <v>221320</v>
          </cell>
          <cell r="B69">
            <v>0</v>
          </cell>
          <cell r="C69" t="str">
            <v>221320</v>
          </cell>
          <cell r="D69" t="str">
            <v>Amortisation for the year</v>
          </cell>
          <cell r="E69"/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>
            <v>311000</v>
          </cell>
          <cell r="B70">
            <v>0</v>
          </cell>
          <cell r="C70" t="str">
            <v>311000</v>
          </cell>
          <cell r="D70" t="str">
            <v>Trade receivables</v>
          </cell>
          <cell r="E70">
            <v>-8021135.5</v>
          </cell>
          <cell r="F70">
            <v>-2449244.13</v>
          </cell>
          <cell r="G70">
            <v>981135</v>
          </cell>
          <cell r="H70">
            <v>1183533.02</v>
          </cell>
          <cell r="I70">
            <v>-259625.23</v>
          </cell>
          <cell r="J70">
            <v>103772.93</v>
          </cell>
          <cell r="K70">
            <v>-91536.56</v>
          </cell>
          <cell r="L70">
            <v>17263582.82</v>
          </cell>
        </row>
        <row r="71">
          <cell r="A71">
            <v>312000</v>
          </cell>
          <cell r="B71">
            <v>0</v>
          </cell>
          <cell r="C71" t="str">
            <v>312000</v>
          </cell>
          <cell r="D71" t="str">
            <v>Accrued income from sale of el</v>
          </cell>
          <cell r="E71">
            <v>0</v>
          </cell>
          <cell r="F71">
            <v>1458116.05</v>
          </cell>
          <cell r="G71">
            <v>274044.71999999997</v>
          </cell>
          <cell r="H71">
            <v>1606573.99</v>
          </cell>
          <cell r="I71">
            <v>-804470.04</v>
          </cell>
          <cell r="J71">
            <v>-696300.06</v>
          </cell>
          <cell r="K71">
            <v>13274425</v>
          </cell>
          <cell r="L71">
            <v>2803123.26</v>
          </cell>
        </row>
        <row r="72">
          <cell r="A72">
            <v>321000</v>
          </cell>
          <cell r="B72">
            <v>0</v>
          </cell>
          <cell r="C72" t="str">
            <v>321000</v>
          </cell>
          <cell r="D72" t="str">
            <v>I/C Amounts owed by affiliated com</v>
          </cell>
          <cell r="E72">
            <v>-0.01</v>
          </cell>
          <cell r="F72">
            <v>26154245.199999999</v>
          </cell>
          <cell r="G72">
            <v>32730577.850000001</v>
          </cell>
          <cell r="H72">
            <v>-28857648.489999998</v>
          </cell>
          <cell r="I72">
            <v>17212885.52</v>
          </cell>
          <cell r="J72">
            <v>-45740060.07</v>
          </cell>
          <cell r="K72">
            <v>-1500000</v>
          </cell>
          <cell r="L72"/>
        </row>
        <row r="73">
          <cell r="A73">
            <v>351010</v>
          </cell>
          <cell r="B73">
            <v>0</v>
          </cell>
          <cell r="C73" t="str">
            <v>351010</v>
          </cell>
          <cell r="D73" t="str">
            <v>Travel costs to be reimbursed</v>
          </cell>
          <cell r="E73">
            <v>0</v>
          </cell>
          <cell r="F73"/>
          <cell r="G73"/>
          <cell r="H73"/>
          <cell r="I73"/>
          <cell r="J73"/>
          <cell r="K73"/>
          <cell r="L73"/>
        </row>
        <row r="74">
          <cell r="A74">
            <v>351020</v>
          </cell>
          <cell r="B74">
            <v>0</v>
          </cell>
          <cell r="C74" t="str">
            <v>351020</v>
          </cell>
          <cell r="D74" t="str">
            <v>Project costs to be reimbursed</v>
          </cell>
          <cell r="E74">
            <v>1881</v>
          </cell>
          <cell r="F74">
            <v>3762</v>
          </cell>
          <cell r="G74">
            <v>-5643</v>
          </cell>
          <cell r="H74"/>
          <cell r="I74"/>
          <cell r="J74"/>
          <cell r="K74"/>
          <cell r="L74"/>
        </row>
        <row r="75">
          <cell r="A75">
            <v>351030</v>
          </cell>
          <cell r="B75">
            <v>0</v>
          </cell>
          <cell r="C75" t="str">
            <v>351030</v>
          </cell>
          <cell r="D75" t="str">
            <v>Other costs to be reimbursed</v>
          </cell>
          <cell r="E75">
            <v>1569.5</v>
          </cell>
          <cell r="F75"/>
          <cell r="G75">
            <v>-1658.8</v>
          </cell>
          <cell r="H75">
            <v>-2103.1999999999998</v>
          </cell>
          <cell r="I75"/>
          <cell r="J75"/>
          <cell r="K75"/>
          <cell r="L75"/>
        </row>
        <row r="76">
          <cell r="A76">
            <v>354500</v>
          </cell>
          <cell r="B76">
            <v>0</v>
          </cell>
          <cell r="C76" t="str">
            <v>354500</v>
          </cell>
          <cell r="D76" t="str">
            <v>Other receivables</v>
          </cell>
          <cell r="E76">
            <v>-1498222.45</v>
          </cell>
          <cell r="F76">
            <v>-3487058</v>
          </cell>
          <cell r="G76">
            <v>-392090.55</v>
          </cell>
          <cell r="H76">
            <v>2412367.6800000002</v>
          </cell>
          <cell r="I76">
            <v>-649832.44999999995</v>
          </cell>
          <cell r="J76">
            <v>128250</v>
          </cell>
          <cell r="K76">
            <v>-2110681.5499999998</v>
          </cell>
          <cell r="L76">
            <v>16910</v>
          </cell>
        </row>
        <row r="77">
          <cell r="A77">
            <v>361200</v>
          </cell>
          <cell r="B77">
            <v>0</v>
          </cell>
          <cell r="C77" t="str">
            <v>361200</v>
          </cell>
          <cell r="D77" t="str">
            <v>Prepaid insurance premium</v>
          </cell>
          <cell r="E77"/>
          <cell r="F77"/>
          <cell r="G77">
            <v>130618.7</v>
          </cell>
          <cell r="H77">
            <v>-64618.7</v>
          </cell>
          <cell r="I77">
            <v>176304.28</v>
          </cell>
          <cell r="J77">
            <v>-64768.08</v>
          </cell>
          <cell r="K77">
            <v>-64768.08</v>
          </cell>
          <cell r="L77">
            <v>-64768.12</v>
          </cell>
        </row>
        <row r="78">
          <cell r="A78">
            <v>362000</v>
          </cell>
          <cell r="B78">
            <v>0</v>
          </cell>
          <cell r="C78" t="str">
            <v>362000</v>
          </cell>
          <cell r="D78" t="str">
            <v>Other prepaid expenses</v>
          </cell>
          <cell r="E78"/>
          <cell r="F78"/>
          <cell r="G78"/>
          <cell r="H78">
            <v>54000</v>
          </cell>
          <cell r="I78">
            <v>-54000</v>
          </cell>
          <cell r="J78"/>
          <cell r="K78"/>
          <cell r="L78"/>
        </row>
        <row r="79">
          <cell r="A79">
            <v>391010</v>
          </cell>
          <cell r="B79">
            <v>0</v>
          </cell>
          <cell r="C79" t="str">
            <v>391010</v>
          </cell>
          <cell r="D79" t="str">
            <v>Nordea 5036626927</v>
          </cell>
          <cell r="E79">
            <v>0.59</v>
          </cell>
          <cell r="F79">
            <v>0.92</v>
          </cell>
          <cell r="G79">
            <v>0.92</v>
          </cell>
          <cell r="H79">
            <v>0.91</v>
          </cell>
          <cell r="I79">
            <v>1.22</v>
          </cell>
          <cell r="J79">
            <v>0.91</v>
          </cell>
          <cell r="K79">
            <v>0.92</v>
          </cell>
          <cell r="L79">
            <v>0.92</v>
          </cell>
        </row>
        <row r="80">
          <cell r="A80">
            <v>393010</v>
          </cell>
          <cell r="B80">
            <v>0</v>
          </cell>
          <cell r="C80" t="str">
            <v>393010</v>
          </cell>
          <cell r="D80" t="str">
            <v>Nordea 4045 17 22058</v>
          </cell>
          <cell r="E80">
            <v>-601764.59</v>
          </cell>
          <cell r="F80">
            <v>0</v>
          </cell>
          <cell r="G80"/>
          <cell r="H80"/>
          <cell r="I80"/>
          <cell r="J80"/>
          <cell r="K80"/>
          <cell r="L80"/>
        </row>
        <row r="81">
          <cell r="A81">
            <v>393015</v>
          </cell>
          <cell r="B81">
            <v>0</v>
          </cell>
          <cell r="C81" t="str">
            <v>393015</v>
          </cell>
          <cell r="D81" t="str">
            <v>Danske Bank 4316130860 EUR</v>
          </cell>
          <cell r="E81">
            <v>431.24</v>
          </cell>
          <cell r="F81">
            <v>-97771.76</v>
          </cell>
          <cell r="G81">
            <v>-1112.33</v>
          </cell>
          <cell r="H81">
            <v>32538.28</v>
          </cell>
          <cell r="I81">
            <v>11953.68</v>
          </cell>
          <cell r="J81">
            <v>-3165.83</v>
          </cell>
          <cell r="K81">
            <v>286437.94</v>
          </cell>
          <cell r="L81">
            <v>-161797.35999999999</v>
          </cell>
        </row>
        <row r="82">
          <cell r="A82">
            <v>393020</v>
          </cell>
          <cell r="B82">
            <v>0</v>
          </cell>
          <cell r="C82" t="str">
            <v>393020</v>
          </cell>
          <cell r="D82" t="str">
            <v>Nordea 92 19 19-7 SEK</v>
          </cell>
          <cell r="E82">
            <v>-6897607.3499999996</v>
          </cell>
          <cell r="F82">
            <v>4800943.1900000004</v>
          </cell>
          <cell r="G82">
            <v>39293.86</v>
          </cell>
          <cell r="H82">
            <v>2359241.6800000002</v>
          </cell>
          <cell r="I82">
            <v>26815.52</v>
          </cell>
          <cell r="J82">
            <v>-7153319.7999999998</v>
          </cell>
          <cell r="K82">
            <v>1923760.62</v>
          </cell>
          <cell r="L82">
            <v>-1598147.53</v>
          </cell>
        </row>
        <row r="83">
          <cell r="A83">
            <v>393025</v>
          </cell>
          <cell r="B83">
            <v>0</v>
          </cell>
          <cell r="C83" t="str">
            <v>393025</v>
          </cell>
          <cell r="D83" t="str">
            <v>Nordea 92 19 19-7 EUR</v>
          </cell>
          <cell r="E83">
            <v>-11180813.34</v>
          </cell>
          <cell r="F83">
            <v>740065.71</v>
          </cell>
          <cell r="G83">
            <v>-115506.21</v>
          </cell>
          <cell r="H83">
            <v>-498609.51</v>
          </cell>
          <cell r="I83">
            <v>-96580.2</v>
          </cell>
          <cell r="J83">
            <v>-11855.41</v>
          </cell>
          <cell r="K83">
            <v>-5173.29</v>
          </cell>
          <cell r="L83">
            <v>14383203.699999999</v>
          </cell>
        </row>
        <row r="84">
          <cell r="A84">
            <v>393030</v>
          </cell>
          <cell r="B84">
            <v>0</v>
          </cell>
          <cell r="C84" t="str">
            <v>393030</v>
          </cell>
          <cell r="D84" t="str">
            <v>Sparekassen Kronjylland 6680 0017902504</v>
          </cell>
          <cell r="E84">
            <v>12974.93</v>
          </cell>
          <cell r="F84">
            <v>2656617.61</v>
          </cell>
          <cell r="G84">
            <v>-5906028.9000000004</v>
          </cell>
          <cell r="H84">
            <v>12489.86</v>
          </cell>
          <cell r="I84">
            <v>-110090.06</v>
          </cell>
          <cell r="J84">
            <v>-309.08</v>
          </cell>
          <cell r="K84">
            <v>-124.63</v>
          </cell>
          <cell r="L84">
            <v>3454.11</v>
          </cell>
        </row>
        <row r="85">
          <cell r="A85">
            <v>456000</v>
          </cell>
          <cell r="B85">
            <v>0</v>
          </cell>
          <cell r="C85" t="str">
            <v>456000</v>
          </cell>
          <cell r="D85" t="str">
            <v>Other movements on retained earning</v>
          </cell>
          <cell r="E85">
            <v>-152604.41</v>
          </cell>
          <cell r="F85">
            <v>-507931.25</v>
          </cell>
          <cell r="G85">
            <v>-25358212.829999998</v>
          </cell>
          <cell r="H85">
            <v>1393831.6</v>
          </cell>
          <cell r="I85">
            <v>-2332424.7799999998</v>
          </cell>
          <cell r="J85">
            <v>297152.32</v>
          </cell>
          <cell r="K85">
            <v>92060.02</v>
          </cell>
          <cell r="L85"/>
        </row>
        <row r="86">
          <cell r="A86">
            <v>500120</v>
          </cell>
          <cell r="B86">
            <v>0</v>
          </cell>
          <cell r="C86" t="str">
            <v>500120</v>
          </cell>
          <cell r="D86" t="str">
            <v>Additions during the year</v>
          </cell>
          <cell r="E86"/>
          <cell r="F86"/>
          <cell r="G86"/>
          <cell r="H86"/>
          <cell r="I86"/>
          <cell r="J86"/>
          <cell r="K86">
            <v>-4535209.3499999996</v>
          </cell>
          <cell r="L86"/>
        </row>
        <row r="87">
          <cell r="A87">
            <v>500150</v>
          </cell>
          <cell r="B87">
            <v>0</v>
          </cell>
          <cell r="C87" t="str">
            <v>500150</v>
          </cell>
          <cell r="D87" t="str">
            <v>Reclassifications/transfer</v>
          </cell>
          <cell r="E87"/>
          <cell r="F87">
            <v>0</v>
          </cell>
          <cell r="G87"/>
          <cell r="H87">
            <v>0</v>
          </cell>
          <cell r="I87">
            <v>-4535209.3499999996</v>
          </cell>
          <cell r="J87"/>
          <cell r="K87">
            <v>4535209.3499999996</v>
          </cell>
          <cell r="L87"/>
        </row>
        <row r="88">
          <cell r="A88">
            <v>512005</v>
          </cell>
          <cell r="B88">
            <v>0</v>
          </cell>
          <cell r="C88" t="str">
            <v>512005</v>
          </cell>
          <cell r="D88" t="str">
            <v>Ajust of deferred tax prior years other jurisdic</v>
          </cell>
          <cell r="E88"/>
          <cell r="F88"/>
          <cell r="G88"/>
          <cell r="H88">
            <v>2102679</v>
          </cell>
          <cell r="I88"/>
          <cell r="J88"/>
          <cell r="K88"/>
          <cell r="L88"/>
        </row>
        <row r="89">
          <cell r="A89">
            <v>512020</v>
          </cell>
          <cell r="B89">
            <v>0</v>
          </cell>
          <cell r="C89" t="str">
            <v>512020</v>
          </cell>
          <cell r="D89" t="str">
            <v>Other changes in deferred tax - other jurisdiction</v>
          </cell>
          <cell r="E89">
            <v>-2278503</v>
          </cell>
          <cell r="F89">
            <v>2278503</v>
          </cell>
          <cell r="G89"/>
          <cell r="H89">
            <v>-2585174.56</v>
          </cell>
          <cell r="I89"/>
          <cell r="J89"/>
          <cell r="K89"/>
          <cell r="L89"/>
        </row>
        <row r="90">
          <cell r="A90">
            <v>621000</v>
          </cell>
          <cell r="B90">
            <v>0</v>
          </cell>
          <cell r="C90" t="str">
            <v>621000</v>
          </cell>
          <cell r="D90" t="str">
            <v>Long-term project financing</v>
          </cell>
          <cell r="E90">
            <v>19248.25</v>
          </cell>
          <cell r="F90">
            <v>-48895993.369999997</v>
          </cell>
          <cell r="G90">
            <v>-1205341.19</v>
          </cell>
          <cell r="H90">
            <v>6893702.8700000001</v>
          </cell>
          <cell r="I90">
            <v>128952386.47</v>
          </cell>
          <cell r="J90">
            <v>11713421.720000001</v>
          </cell>
          <cell r="K90">
            <v>7202294.9699999997</v>
          </cell>
          <cell r="L90">
            <v>3430579.21</v>
          </cell>
        </row>
        <row r="91">
          <cell r="A91">
            <v>621030</v>
          </cell>
          <cell r="B91">
            <v>0</v>
          </cell>
          <cell r="C91" t="str">
            <v>621030</v>
          </cell>
          <cell r="D91" t="str">
            <v>Sparekassen Thy Erhvervskredit DKK 100.000.000</v>
          </cell>
          <cell r="E91"/>
          <cell r="F91"/>
          <cell r="G91"/>
          <cell r="H91"/>
          <cell r="I91">
            <v>-151815834.63</v>
          </cell>
          <cell r="J91">
            <v>-379249.71</v>
          </cell>
          <cell r="K91">
            <v>806751.12</v>
          </cell>
          <cell r="L91">
            <v>-16928.310000000001</v>
          </cell>
        </row>
        <row r="92">
          <cell r="A92">
            <v>634010</v>
          </cell>
          <cell r="B92">
            <v>0</v>
          </cell>
          <cell r="C92" t="str">
            <v>634010</v>
          </cell>
          <cell r="D92" t="str">
            <v>I/C Other long term liabilities</v>
          </cell>
          <cell r="E92">
            <v>-3487630.96</v>
          </cell>
          <cell r="F92">
            <v>-7596647.1900000004</v>
          </cell>
          <cell r="G92">
            <v>486432.49</v>
          </cell>
          <cell r="H92">
            <v>2264699.5</v>
          </cell>
          <cell r="I92">
            <v>-6863691.9699999997</v>
          </cell>
          <cell r="J92">
            <v>126948404.75</v>
          </cell>
          <cell r="K92"/>
          <cell r="L92"/>
        </row>
        <row r="93">
          <cell r="A93">
            <v>721000</v>
          </cell>
          <cell r="B93">
            <v>0</v>
          </cell>
          <cell r="C93" t="str">
            <v>721000</v>
          </cell>
          <cell r="D93" t="str">
            <v>Trade payables</v>
          </cell>
          <cell r="E93">
            <v>24216151.18</v>
          </cell>
          <cell r="F93">
            <v>-43302.39</v>
          </cell>
          <cell r="G93">
            <v>119365.19</v>
          </cell>
          <cell r="H93">
            <v>-221937.28</v>
          </cell>
          <cell r="I93">
            <v>228205.28</v>
          </cell>
          <cell r="J93">
            <v>-8133.05</v>
          </cell>
          <cell r="K93">
            <v>1883.05</v>
          </cell>
          <cell r="L93">
            <v>-14377848.34</v>
          </cell>
        </row>
        <row r="94">
          <cell r="A94">
            <v>722000</v>
          </cell>
          <cell r="B94">
            <v>0</v>
          </cell>
          <cell r="C94" t="str">
            <v>722000</v>
          </cell>
          <cell r="D94" t="str">
            <v>Accrued rent of land</v>
          </cell>
          <cell r="E94"/>
          <cell r="F94"/>
          <cell r="G94"/>
          <cell r="H94"/>
          <cell r="I94">
            <v>-388263.28</v>
          </cell>
          <cell r="J94">
            <v>388263.28</v>
          </cell>
          <cell r="K94"/>
          <cell r="L94"/>
        </row>
        <row r="95">
          <cell r="A95">
            <v>722040</v>
          </cell>
          <cell r="B95">
            <v>0</v>
          </cell>
          <cell r="C95" t="str">
            <v>722040</v>
          </cell>
          <cell r="D95" t="str">
            <v>Accrued electricity costs</v>
          </cell>
          <cell r="E95">
            <v>-6161793.3799999999</v>
          </cell>
          <cell r="F95">
            <v>3779168.47</v>
          </cell>
          <cell r="G95">
            <v>-1287.8599999999999</v>
          </cell>
          <cell r="H95">
            <v>1287.8599999999999</v>
          </cell>
          <cell r="I95">
            <v>0</v>
          </cell>
          <cell r="J95"/>
          <cell r="K95"/>
          <cell r="L95">
            <v>2382624.91</v>
          </cell>
        </row>
        <row r="96">
          <cell r="A96">
            <v>722055</v>
          </cell>
          <cell r="B96">
            <v>0</v>
          </cell>
          <cell r="C96" t="str">
            <v>722055</v>
          </cell>
          <cell r="D96" t="str">
            <v>I/C Accrued commercial mgmt fees</v>
          </cell>
          <cell r="E96"/>
          <cell r="F96"/>
          <cell r="G96"/>
          <cell r="H96"/>
          <cell r="I96">
            <v>-153745.64000000001</v>
          </cell>
          <cell r="J96">
            <v>121655.1</v>
          </cell>
          <cell r="K96">
            <v>-14207.17</v>
          </cell>
          <cell r="L96">
            <v>46297.71</v>
          </cell>
        </row>
        <row r="97">
          <cell r="A97">
            <v>722057</v>
          </cell>
          <cell r="B97">
            <v>0</v>
          </cell>
          <cell r="C97" t="str">
            <v>722057</v>
          </cell>
          <cell r="D97" t="str">
            <v>IC FMA fees expense accrued</v>
          </cell>
          <cell r="E97"/>
          <cell r="F97"/>
          <cell r="G97"/>
          <cell r="H97">
            <v>-1286707.96</v>
          </cell>
          <cell r="I97"/>
          <cell r="J97">
            <v>-671302.64</v>
          </cell>
          <cell r="K97">
            <v>-666210.88</v>
          </cell>
          <cell r="L97"/>
        </row>
        <row r="98">
          <cell r="A98">
            <v>722070</v>
          </cell>
          <cell r="B98">
            <v>0</v>
          </cell>
          <cell r="C98" t="str">
            <v>722070</v>
          </cell>
          <cell r="D98" t="str">
            <v>Accrued auditing fee</v>
          </cell>
          <cell r="E98">
            <v>-6750</v>
          </cell>
          <cell r="F98">
            <v>18250</v>
          </cell>
          <cell r="G98">
            <v>-6750</v>
          </cell>
          <cell r="H98">
            <v>-6750</v>
          </cell>
          <cell r="I98">
            <v>-7500</v>
          </cell>
          <cell r="J98">
            <v>19500</v>
          </cell>
          <cell r="K98">
            <v>-7500</v>
          </cell>
          <cell r="L98">
            <v>-7500</v>
          </cell>
        </row>
        <row r="99">
          <cell r="A99">
            <v>722100</v>
          </cell>
          <cell r="B99">
            <v>0</v>
          </cell>
          <cell r="C99" t="str">
            <v>722100</v>
          </cell>
          <cell r="D99" t="str">
            <v>Accrued other consultancy fees</v>
          </cell>
          <cell r="E99">
            <v>10000</v>
          </cell>
          <cell r="F99"/>
          <cell r="G99"/>
          <cell r="H99">
            <v>0</v>
          </cell>
          <cell r="I99">
            <v>0</v>
          </cell>
          <cell r="J99"/>
          <cell r="K99"/>
          <cell r="L99"/>
        </row>
        <row r="100">
          <cell r="A100">
            <v>722110</v>
          </cell>
          <cell r="B100">
            <v>0</v>
          </cell>
          <cell r="C100" t="str">
            <v>722110</v>
          </cell>
          <cell r="D100" t="str">
            <v>Accrued administrative service</v>
          </cell>
          <cell r="E100">
            <v>9750</v>
          </cell>
          <cell r="F100">
            <v>750</v>
          </cell>
          <cell r="G100">
            <v>-5250</v>
          </cell>
          <cell r="H100">
            <v>-5250</v>
          </cell>
          <cell r="I100">
            <v>5100</v>
          </cell>
          <cell r="J100">
            <v>-3900</v>
          </cell>
          <cell r="K100">
            <v>-9900</v>
          </cell>
          <cell r="L100">
            <v>-9900</v>
          </cell>
        </row>
        <row r="101">
          <cell r="A101">
            <v>722130</v>
          </cell>
          <cell r="B101">
            <v>0</v>
          </cell>
          <cell r="C101" t="str">
            <v>722130</v>
          </cell>
          <cell r="D101" t="str">
            <v>Accrued construction costs</v>
          </cell>
          <cell r="E101">
            <v>-371001.59999999998</v>
          </cell>
          <cell r="F101">
            <v>38417.599999999999</v>
          </cell>
          <cell r="G101">
            <v>0.2</v>
          </cell>
          <cell r="H101">
            <v>58804.800000000003</v>
          </cell>
          <cell r="I101">
            <v>164855.69</v>
          </cell>
          <cell r="J101">
            <v>108923.31</v>
          </cell>
          <cell r="K101"/>
          <cell r="L101"/>
        </row>
        <row r="102">
          <cell r="A102">
            <v>731000</v>
          </cell>
          <cell r="B102">
            <v>0</v>
          </cell>
          <cell r="C102" t="str">
            <v>731000</v>
          </cell>
          <cell r="D102" t="str">
            <v>I/C Shareholder loans</v>
          </cell>
          <cell r="E102">
            <v>14098037.869999999</v>
          </cell>
          <cell r="F102">
            <v>3302223.15</v>
          </cell>
          <cell r="G102">
            <v>0</v>
          </cell>
          <cell r="H102">
            <v>0</v>
          </cell>
          <cell r="I102">
            <v>15988028.01</v>
          </cell>
          <cell r="J102">
            <v>-83729353.420000002</v>
          </cell>
          <cell r="K102">
            <v>-6898657.6399999997</v>
          </cell>
          <cell r="L102">
            <v>-3595063.39</v>
          </cell>
        </row>
        <row r="103">
          <cell r="A103">
            <v>743110</v>
          </cell>
          <cell r="B103">
            <v>0</v>
          </cell>
          <cell r="C103" t="str">
            <v>743110</v>
          </cell>
          <cell r="D103" t="str">
            <v>Adj. of corp tax payble. prior</v>
          </cell>
          <cell r="E103"/>
          <cell r="F103"/>
          <cell r="G103"/>
          <cell r="H103">
            <v>1074455</v>
          </cell>
          <cell r="I103"/>
          <cell r="J103"/>
          <cell r="K103"/>
          <cell r="L103"/>
        </row>
        <row r="104">
          <cell r="A104">
            <v>743200</v>
          </cell>
          <cell r="B104">
            <v>0</v>
          </cell>
          <cell r="C104" t="str">
            <v>743200</v>
          </cell>
          <cell r="D104" t="str">
            <v>Corp tax payble. curr  - other</v>
          </cell>
          <cell r="E104">
            <v>0</v>
          </cell>
          <cell r="F104"/>
          <cell r="G104"/>
          <cell r="H104">
            <v>-424917.16</v>
          </cell>
          <cell r="I104"/>
          <cell r="J104"/>
          <cell r="K104"/>
          <cell r="L104"/>
        </row>
        <row r="105">
          <cell r="A105">
            <v>752100</v>
          </cell>
          <cell r="B105">
            <v>0</v>
          </cell>
          <cell r="C105" t="str">
            <v>752100</v>
          </cell>
          <cell r="D105" t="str">
            <v>Output taxes.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-25941.03</v>
          </cell>
          <cell r="K105">
            <v>25941.03</v>
          </cell>
          <cell r="L105">
            <v>-33416.5</v>
          </cell>
        </row>
        <row r="106">
          <cell r="A106">
            <v>752120</v>
          </cell>
          <cell r="B106">
            <v>0</v>
          </cell>
          <cell r="C106" t="str">
            <v>752120</v>
          </cell>
          <cell r="D106" t="str">
            <v>EU Acquisition/purchase VAT - Service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/>
          <cell r="K106">
            <v>0</v>
          </cell>
          <cell r="L106">
            <v>69954.080000000002</v>
          </cell>
        </row>
        <row r="107">
          <cell r="A107">
            <v>752200</v>
          </cell>
          <cell r="B107">
            <v>0</v>
          </cell>
          <cell r="C107" t="str">
            <v>752200</v>
          </cell>
          <cell r="D107" t="str">
            <v>Input taxes</v>
          </cell>
          <cell r="E107">
            <v>-25558.25</v>
          </cell>
          <cell r="F107">
            <v>-128.83000000000001</v>
          </cell>
          <cell r="G107">
            <v>77.86</v>
          </cell>
          <cell r="H107">
            <v>25609.67</v>
          </cell>
          <cell r="I107">
            <v>0</v>
          </cell>
          <cell r="J107">
            <v>22877.05</v>
          </cell>
          <cell r="K107">
            <v>-22877.5</v>
          </cell>
          <cell r="L107">
            <v>290851.08</v>
          </cell>
        </row>
        <row r="108">
          <cell r="A108">
            <v>752220</v>
          </cell>
          <cell r="B108">
            <v>0</v>
          </cell>
          <cell r="C108" t="str">
            <v>752220</v>
          </cell>
          <cell r="D108" t="str">
            <v>EU acqusition/purhase VAT - Services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/>
          <cell r="K108">
            <v>0</v>
          </cell>
          <cell r="L108">
            <v>-69954.080000000002</v>
          </cell>
        </row>
        <row r="109">
          <cell r="A109">
            <v>752300</v>
          </cell>
          <cell r="B109">
            <v>0</v>
          </cell>
          <cell r="C109" t="str">
            <v>752300</v>
          </cell>
          <cell r="D109" t="str">
            <v>Refundable electricity tax</v>
          </cell>
          <cell r="E109">
            <v>0</v>
          </cell>
          <cell r="F109">
            <v>0</v>
          </cell>
          <cell r="G109">
            <v>-0.45</v>
          </cell>
          <cell r="H109">
            <v>-0.45</v>
          </cell>
          <cell r="I109">
            <v>536678.9</v>
          </cell>
          <cell r="J109">
            <v>-536678</v>
          </cell>
          <cell r="K109">
            <v>0</v>
          </cell>
          <cell r="L109">
            <v>-308569</v>
          </cell>
        </row>
        <row r="110">
          <cell r="A110">
            <v>752400</v>
          </cell>
          <cell r="B110">
            <v>0</v>
          </cell>
          <cell r="C110" t="str">
            <v>752400</v>
          </cell>
          <cell r="D110" t="str">
            <v>VAT settlement</v>
          </cell>
          <cell r="E110">
            <v>803250</v>
          </cell>
          <cell r="F110">
            <v>-803250</v>
          </cell>
          <cell r="G110"/>
          <cell r="H110"/>
          <cell r="I110">
            <v>0</v>
          </cell>
          <cell r="J110"/>
          <cell r="K110">
            <v>0</v>
          </cell>
          <cell r="L110"/>
        </row>
        <row r="111">
          <cell r="A111">
            <v>752500</v>
          </cell>
          <cell r="B111">
            <v>0</v>
          </cell>
          <cell r="C111" t="str">
            <v>752500</v>
          </cell>
          <cell r="D111" t="str">
            <v>VAT payable/receivable</v>
          </cell>
          <cell r="E111">
            <v>-1127153.8600000001</v>
          </cell>
          <cell r="F111">
            <v>1127153.8600000001</v>
          </cell>
          <cell r="G111">
            <v>-0.28999999999999998</v>
          </cell>
          <cell r="H111">
            <v>0.28999999999999998</v>
          </cell>
          <cell r="I111">
            <v>-2413</v>
          </cell>
          <cell r="J111">
            <v>2413</v>
          </cell>
          <cell r="K111">
            <v>0</v>
          </cell>
          <cell r="L111">
            <v>0</v>
          </cell>
        </row>
        <row r="112">
          <cell r="A112">
            <v>752730</v>
          </cell>
          <cell r="B112">
            <v>0</v>
          </cell>
          <cell r="C112" t="str">
            <v>752730</v>
          </cell>
          <cell r="D112" t="str">
            <v>Other taxes addition</v>
          </cell>
          <cell r="E112"/>
          <cell r="F112">
            <v>-1449</v>
          </cell>
          <cell r="G112"/>
          <cell r="H112">
            <v>1449</v>
          </cell>
          <cell r="I112"/>
          <cell r="J112"/>
          <cell r="K112"/>
          <cell r="L112"/>
        </row>
        <row r="113">
          <cell r="A113">
            <v>753400</v>
          </cell>
          <cell r="B113">
            <v>0</v>
          </cell>
          <cell r="C113" t="str">
            <v>753400</v>
          </cell>
          <cell r="D113" t="str">
            <v>Other payables</v>
          </cell>
          <cell r="E113"/>
          <cell r="F113"/>
          <cell r="G113"/>
          <cell r="H113">
            <v>3839498.21</v>
          </cell>
          <cell r="I113">
            <v>0</v>
          </cell>
          <cell r="J113"/>
          <cell r="K113"/>
          <cell r="L113"/>
        </row>
        <row r="114">
          <cell r="A114">
            <v>0</v>
          </cell>
          <cell r="B114">
            <v>0</v>
          </cell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</row>
        <row r="115">
          <cell r="A115">
            <v>0</v>
          </cell>
          <cell r="B115">
            <v>0</v>
          </cell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</row>
        <row r="116">
          <cell r="A116">
            <v>0</v>
          </cell>
          <cell r="B116">
            <v>0</v>
          </cell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</row>
        <row r="117">
          <cell r="A117">
            <v>0</v>
          </cell>
          <cell r="B117">
            <v>0</v>
          </cell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</row>
        <row r="118">
          <cell r="A118">
            <v>0</v>
          </cell>
          <cell r="B118">
            <v>0</v>
          </cell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</row>
        <row r="119">
          <cell r="A119">
            <v>0</v>
          </cell>
          <cell r="B119">
            <v>0</v>
          </cell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</row>
        <row r="120">
          <cell r="A120">
            <v>0</v>
          </cell>
          <cell r="B120">
            <v>0</v>
          </cell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</row>
        <row r="121">
          <cell r="A121">
            <v>0</v>
          </cell>
          <cell r="B121">
            <v>0</v>
          </cell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</row>
        <row r="122">
          <cell r="A122">
            <v>0</v>
          </cell>
          <cell r="B122">
            <v>0</v>
          </cell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</row>
        <row r="123">
          <cell r="A123">
            <v>0</v>
          </cell>
          <cell r="B123">
            <v>0</v>
          </cell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</row>
        <row r="124">
          <cell r="A124">
            <v>0</v>
          </cell>
          <cell r="B124">
            <v>0</v>
          </cell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</row>
        <row r="125">
          <cell r="A125">
            <v>0</v>
          </cell>
          <cell r="B125">
            <v>0</v>
          </cell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</row>
        <row r="126">
          <cell r="A126">
            <v>0</v>
          </cell>
          <cell r="B126">
            <v>0</v>
          </cell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</row>
        <row r="127">
          <cell r="A127">
            <v>0</v>
          </cell>
          <cell r="B127">
            <v>0</v>
          </cell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</row>
        <row r="128">
          <cell r="A128">
            <v>0</v>
          </cell>
          <cell r="B128">
            <v>0</v>
          </cell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</row>
        <row r="129">
          <cell r="A129">
            <v>0</v>
          </cell>
          <cell r="B129">
            <v>0</v>
          </cell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</row>
        <row r="130">
          <cell r="A130">
            <v>0</v>
          </cell>
          <cell r="B130">
            <v>0</v>
          </cell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</row>
        <row r="131">
          <cell r="A131">
            <v>0</v>
          </cell>
          <cell r="B131">
            <v>0</v>
          </cell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</row>
        <row r="132">
          <cell r="A132">
            <v>0</v>
          </cell>
          <cell r="B132">
            <v>0</v>
          </cell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</row>
        <row r="133">
          <cell r="A133">
            <v>0</v>
          </cell>
          <cell r="B133">
            <v>0</v>
          </cell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</row>
        <row r="134">
          <cell r="A134">
            <v>0</v>
          </cell>
          <cell r="B134">
            <v>0</v>
          </cell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</row>
        <row r="135">
          <cell r="A135">
            <v>0</v>
          </cell>
          <cell r="B135">
            <v>0</v>
          </cell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</row>
        <row r="136">
          <cell r="A136">
            <v>0</v>
          </cell>
          <cell r="B136">
            <v>0</v>
          </cell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</row>
        <row r="137">
          <cell r="A137">
            <v>0</v>
          </cell>
          <cell r="B137">
            <v>0</v>
          </cell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</row>
        <row r="138">
          <cell r="A138">
            <v>0</v>
          </cell>
          <cell r="B138">
            <v>0</v>
          </cell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</row>
        <row r="139">
          <cell r="A139">
            <v>0</v>
          </cell>
          <cell r="B139">
            <v>0</v>
          </cell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</row>
        <row r="140">
          <cell r="A140">
            <v>0</v>
          </cell>
          <cell r="B140">
            <v>0</v>
          </cell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</row>
        <row r="141">
          <cell r="A141">
            <v>0</v>
          </cell>
          <cell r="B141">
            <v>0</v>
          </cell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</row>
        <row r="142">
          <cell r="A142">
            <v>0</v>
          </cell>
          <cell r="B142">
            <v>0</v>
          </cell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A143">
            <v>0</v>
          </cell>
          <cell r="B143">
            <v>0</v>
          </cell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A144">
            <v>0</v>
          </cell>
          <cell r="B144">
            <v>0</v>
          </cell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</row>
        <row r="145">
          <cell r="A145">
            <v>0</v>
          </cell>
          <cell r="B145">
            <v>0</v>
          </cell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</row>
        <row r="146">
          <cell r="A146">
            <v>0</v>
          </cell>
          <cell r="B146">
            <v>0</v>
          </cell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</row>
        <row r="147">
          <cell r="A147">
            <v>0</v>
          </cell>
          <cell r="B147">
            <v>0</v>
          </cell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A148">
            <v>0</v>
          </cell>
          <cell r="B148">
            <v>0</v>
          </cell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A149">
            <v>0</v>
          </cell>
          <cell r="B149">
            <v>0</v>
          </cell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A150">
            <v>0</v>
          </cell>
          <cell r="B150">
            <v>0</v>
          </cell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A151">
            <v>0</v>
          </cell>
          <cell r="B151">
            <v>0</v>
          </cell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A152">
            <v>0</v>
          </cell>
          <cell r="B152">
            <v>0</v>
          </cell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A153">
            <v>0</v>
          </cell>
          <cell r="B153">
            <v>0</v>
          </cell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A154">
            <v>0</v>
          </cell>
          <cell r="B154">
            <v>0</v>
          </cell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A155">
            <v>0</v>
          </cell>
          <cell r="B155">
            <v>0</v>
          </cell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A156">
            <v>0</v>
          </cell>
          <cell r="B156">
            <v>0</v>
          </cell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A157">
            <v>0</v>
          </cell>
          <cell r="B157">
            <v>0</v>
          </cell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A158">
            <v>0</v>
          </cell>
          <cell r="B158">
            <v>0</v>
          </cell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A159">
            <v>0</v>
          </cell>
          <cell r="B159">
            <v>0</v>
          </cell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A160">
            <v>0</v>
          </cell>
          <cell r="B160">
            <v>0</v>
          </cell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A161">
            <v>0</v>
          </cell>
          <cell r="B161">
            <v>0</v>
          </cell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</row>
        <row r="162">
          <cell r="A162">
            <v>0</v>
          </cell>
          <cell r="B162">
            <v>0</v>
          </cell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</row>
        <row r="163">
          <cell r="A163">
            <v>0</v>
          </cell>
          <cell r="B163">
            <v>0</v>
          </cell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</row>
        <row r="164">
          <cell r="A164">
            <v>0</v>
          </cell>
          <cell r="B164">
            <v>0</v>
          </cell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</row>
        <row r="165">
          <cell r="A165">
            <v>0</v>
          </cell>
          <cell r="B165">
            <v>0</v>
          </cell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</row>
        <row r="166">
          <cell r="A166">
            <v>0</v>
          </cell>
          <cell r="B166">
            <v>0</v>
          </cell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</row>
        <row r="167">
          <cell r="A167">
            <v>0</v>
          </cell>
          <cell r="B167">
            <v>0</v>
          </cell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</row>
        <row r="168">
          <cell r="A168">
            <v>0</v>
          </cell>
          <cell r="B168">
            <v>0</v>
          </cell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</row>
        <row r="169">
          <cell r="A169">
            <v>0</v>
          </cell>
          <cell r="B169">
            <v>0</v>
          </cell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</row>
        <row r="170">
          <cell r="A170">
            <v>0</v>
          </cell>
          <cell r="B170">
            <v>0</v>
          </cell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</row>
        <row r="171">
          <cell r="A171">
            <v>0</v>
          </cell>
          <cell r="B171">
            <v>0</v>
          </cell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</row>
        <row r="172">
          <cell r="A172">
            <v>0</v>
          </cell>
          <cell r="B172">
            <v>0</v>
          </cell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</row>
        <row r="173">
          <cell r="A173">
            <v>0</v>
          </cell>
          <cell r="B173">
            <v>0</v>
          </cell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</row>
        <row r="174">
          <cell r="A174">
            <v>0</v>
          </cell>
          <cell r="B174">
            <v>0</v>
          </cell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</row>
        <row r="175">
          <cell r="A175">
            <v>0</v>
          </cell>
          <cell r="B175">
            <v>0</v>
          </cell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</row>
        <row r="176">
          <cell r="A176">
            <v>0</v>
          </cell>
          <cell r="B176">
            <v>0</v>
          </cell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</row>
        <row r="177">
          <cell r="A177">
            <v>0</v>
          </cell>
          <cell r="B177">
            <v>0</v>
          </cell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</row>
        <row r="178">
          <cell r="A178">
            <v>0</v>
          </cell>
          <cell r="B178">
            <v>0</v>
          </cell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</row>
        <row r="179">
          <cell r="A179">
            <v>0</v>
          </cell>
          <cell r="B179">
            <v>0</v>
          </cell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</row>
        <row r="180">
          <cell r="A180">
            <v>0</v>
          </cell>
          <cell r="B180">
            <v>0</v>
          </cell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</row>
        <row r="181">
          <cell r="A181">
            <v>0</v>
          </cell>
          <cell r="B181">
            <v>0</v>
          </cell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</row>
        <row r="182">
          <cell r="A182">
            <v>0</v>
          </cell>
          <cell r="B182">
            <v>0</v>
          </cell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</row>
        <row r="183">
          <cell r="A183">
            <v>0</v>
          </cell>
          <cell r="B183">
            <v>0</v>
          </cell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</row>
        <row r="184">
          <cell r="A184">
            <v>0</v>
          </cell>
          <cell r="B184">
            <v>0</v>
          </cell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</row>
        <row r="185">
          <cell r="A185">
            <v>0</v>
          </cell>
          <cell r="B185">
            <v>0</v>
          </cell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</row>
        <row r="186">
          <cell r="A186">
            <v>0</v>
          </cell>
          <cell r="B186">
            <v>0</v>
          </cell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</row>
        <row r="187">
          <cell r="A187">
            <v>0</v>
          </cell>
          <cell r="B187">
            <v>0</v>
          </cell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</row>
        <row r="188">
          <cell r="A188">
            <v>0</v>
          </cell>
          <cell r="B188">
            <v>0</v>
          </cell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</row>
        <row r="189">
          <cell r="A189">
            <v>0</v>
          </cell>
          <cell r="B189">
            <v>0</v>
          </cell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</row>
        <row r="190">
          <cell r="A190">
            <v>0</v>
          </cell>
          <cell r="B190">
            <v>0</v>
          </cell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</row>
        <row r="191">
          <cell r="A191">
            <v>0</v>
          </cell>
          <cell r="B191">
            <v>0</v>
          </cell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</row>
        <row r="192">
          <cell r="A192">
            <v>0</v>
          </cell>
          <cell r="B192">
            <v>0</v>
          </cell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</row>
        <row r="193">
          <cell r="A193">
            <v>0</v>
          </cell>
          <cell r="B193">
            <v>0</v>
          </cell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</row>
        <row r="194">
          <cell r="A194">
            <v>0</v>
          </cell>
          <cell r="B194">
            <v>0</v>
          </cell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</row>
        <row r="195">
          <cell r="A195">
            <v>0</v>
          </cell>
          <cell r="B195">
            <v>0</v>
          </cell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</row>
        <row r="196">
          <cell r="A196">
            <v>0</v>
          </cell>
          <cell r="B196">
            <v>0</v>
          </cell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</row>
        <row r="197">
          <cell r="A197">
            <v>0</v>
          </cell>
          <cell r="B197">
            <v>0</v>
          </cell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</row>
        <row r="198">
          <cell r="A198">
            <v>0</v>
          </cell>
          <cell r="B198">
            <v>0</v>
          </cell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</row>
        <row r="199">
          <cell r="A199">
            <v>0</v>
          </cell>
          <cell r="B199">
            <v>0</v>
          </cell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</row>
        <row r="200">
          <cell r="A200">
            <v>0</v>
          </cell>
          <cell r="B200">
            <v>0</v>
          </cell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</row>
        <row r="201">
          <cell r="A201">
            <v>0</v>
          </cell>
          <cell r="B201">
            <v>0</v>
          </cell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</row>
        <row r="202">
          <cell r="A202">
            <v>0</v>
          </cell>
          <cell r="B202">
            <v>0</v>
          </cell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</row>
        <row r="203">
          <cell r="A203">
            <v>0</v>
          </cell>
          <cell r="B203">
            <v>0</v>
          </cell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</row>
        <row r="204">
          <cell r="A204">
            <v>0</v>
          </cell>
          <cell r="B204">
            <v>0</v>
          </cell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</row>
        <row r="205">
          <cell r="A205">
            <v>0</v>
          </cell>
          <cell r="B205">
            <v>0</v>
          </cell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</row>
        <row r="206">
          <cell r="A206">
            <v>0</v>
          </cell>
          <cell r="B206">
            <v>0</v>
          </cell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</row>
        <row r="207">
          <cell r="A207">
            <v>0</v>
          </cell>
          <cell r="B207">
            <v>0</v>
          </cell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</row>
        <row r="208">
          <cell r="A208">
            <v>0</v>
          </cell>
          <cell r="B208">
            <v>0</v>
          </cell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</row>
        <row r="209">
          <cell r="A209">
            <v>0</v>
          </cell>
          <cell r="B209">
            <v>0</v>
          </cell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</row>
        <row r="210">
          <cell r="A210">
            <v>0</v>
          </cell>
          <cell r="B210">
            <v>0</v>
          </cell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</row>
        <row r="211">
          <cell r="A211">
            <v>0</v>
          </cell>
          <cell r="B211">
            <v>0</v>
          </cell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</row>
        <row r="212">
          <cell r="A212">
            <v>0</v>
          </cell>
          <cell r="B212">
            <v>0</v>
          </cell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</row>
        <row r="213">
          <cell r="A213">
            <v>0</v>
          </cell>
          <cell r="B213">
            <v>0</v>
          </cell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</row>
        <row r="214">
          <cell r="A214">
            <v>0</v>
          </cell>
          <cell r="B214">
            <v>0</v>
          </cell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</row>
        <row r="215">
          <cell r="A215">
            <v>0</v>
          </cell>
          <cell r="B215">
            <v>0</v>
          </cell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</row>
        <row r="216">
          <cell r="A216">
            <v>0</v>
          </cell>
          <cell r="B216">
            <v>0</v>
          </cell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</row>
        <row r="217">
          <cell r="A217">
            <v>0</v>
          </cell>
          <cell r="B217">
            <v>0</v>
          </cell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</row>
        <row r="218">
          <cell r="A218">
            <v>0</v>
          </cell>
          <cell r="B218">
            <v>0</v>
          </cell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</row>
        <row r="219">
          <cell r="A219">
            <v>0</v>
          </cell>
          <cell r="B219">
            <v>0</v>
          </cell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</row>
        <row r="220">
          <cell r="A220">
            <v>0</v>
          </cell>
          <cell r="B220">
            <v>0</v>
          </cell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</row>
        <row r="221">
          <cell r="A221">
            <v>0</v>
          </cell>
          <cell r="B221">
            <v>0</v>
          </cell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</row>
        <row r="222">
          <cell r="A222">
            <v>0</v>
          </cell>
          <cell r="B222">
            <v>0</v>
          </cell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</row>
        <row r="223">
          <cell r="A223">
            <v>0</v>
          </cell>
          <cell r="B223">
            <v>0</v>
          </cell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</row>
        <row r="224">
          <cell r="A224">
            <v>0</v>
          </cell>
          <cell r="B224">
            <v>0</v>
          </cell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</row>
        <row r="225">
          <cell r="A225">
            <v>0</v>
          </cell>
          <cell r="B225">
            <v>0</v>
          </cell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</row>
        <row r="226">
          <cell r="A226">
            <v>0</v>
          </cell>
          <cell r="B226">
            <v>0</v>
          </cell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</row>
        <row r="227">
          <cell r="A227">
            <v>0</v>
          </cell>
          <cell r="B227">
            <v>0</v>
          </cell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</row>
        <row r="228">
          <cell r="A228">
            <v>0</v>
          </cell>
          <cell r="B228">
            <v>0</v>
          </cell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</row>
        <row r="229">
          <cell r="A229">
            <v>0</v>
          </cell>
          <cell r="B229">
            <v>0</v>
          </cell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</row>
        <row r="230">
          <cell r="A230">
            <v>0</v>
          </cell>
          <cell r="B230">
            <v>0</v>
          </cell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</row>
        <row r="231">
          <cell r="A231">
            <v>0</v>
          </cell>
          <cell r="B231">
            <v>0</v>
          </cell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</row>
        <row r="232">
          <cell r="A232">
            <v>0</v>
          </cell>
          <cell r="B232">
            <v>0</v>
          </cell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</row>
        <row r="233">
          <cell r="A233">
            <v>0</v>
          </cell>
          <cell r="B233">
            <v>0</v>
          </cell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</row>
        <row r="234">
          <cell r="A234">
            <v>0</v>
          </cell>
          <cell r="B234">
            <v>0</v>
          </cell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</row>
        <row r="235">
          <cell r="A235">
            <v>0</v>
          </cell>
          <cell r="B235">
            <v>0</v>
          </cell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</row>
        <row r="236">
          <cell r="A236">
            <v>0</v>
          </cell>
          <cell r="B236">
            <v>0</v>
          </cell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</row>
        <row r="237">
          <cell r="A237">
            <v>0</v>
          </cell>
          <cell r="B237">
            <v>0</v>
          </cell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</row>
        <row r="238">
          <cell r="A238">
            <v>0</v>
          </cell>
          <cell r="B238">
            <v>0</v>
          </cell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</row>
        <row r="239">
          <cell r="A239">
            <v>0</v>
          </cell>
          <cell r="B239">
            <v>0</v>
          </cell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</row>
        <row r="240">
          <cell r="A240">
            <v>0</v>
          </cell>
          <cell r="B240">
            <v>0</v>
          </cell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</row>
        <row r="241">
          <cell r="A241">
            <v>0</v>
          </cell>
          <cell r="B241">
            <v>0</v>
          </cell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</row>
        <row r="242">
          <cell r="A242">
            <v>0</v>
          </cell>
          <cell r="B242">
            <v>0</v>
          </cell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</row>
        <row r="243">
          <cell r="A243">
            <v>0</v>
          </cell>
          <cell r="B243">
            <v>0</v>
          </cell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</row>
        <row r="244">
          <cell r="A244">
            <v>0</v>
          </cell>
          <cell r="B244">
            <v>0</v>
          </cell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</row>
        <row r="245">
          <cell r="A245">
            <v>0</v>
          </cell>
          <cell r="B245">
            <v>0</v>
          </cell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</row>
        <row r="246">
          <cell r="A246">
            <v>0</v>
          </cell>
          <cell r="B246">
            <v>0</v>
          </cell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</row>
        <row r="247">
          <cell r="A247">
            <v>0</v>
          </cell>
          <cell r="B247">
            <v>0</v>
          </cell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</row>
        <row r="248">
          <cell r="A248">
            <v>0</v>
          </cell>
          <cell r="B248">
            <v>0</v>
          </cell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</row>
        <row r="249">
          <cell r="A249">
            <v>0</v>
          </cell>
          <cell r="B249">
            <v>0</v>
          </cell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</row>
        <row r="250">
          <cell r="A250">
            <v>0</v>
          </cell>
          <cell r="B250">
            <v>0</v>
          </cell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</row>
        <row r="251">
          <cell r="A251">
            <v>0</v>
          </cell>
          <cell r="B251">
            <v>0</v>
          </cell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</row>
        <row r="252">
          <cell r="A252">
            <v>0</v>
          </cell>
          <cell r="B252">
            <v>0</v>
          </cell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</row>
        <row r="253">
          <cell r="A253">
            <v>0</v>
          </cell>
          <cell r="B253">
            <v>0</v>
          </cell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</row>
        <row r="254">
          <cell r="A254">
            <v>0</v>
          </cell>
          <cell r="B254">
            <v>0</v>
          </cell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</row>
        <row r="255">
          <cell r="A255">
            <v>0</v>
          </cell>
          <cell r="B255">
            <v>0</v>
          </cell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</row>
        <row r="256">
          <cell r="A256">
            <v>0</v>
          </cell>
          <cell r="B256">
            <v>0</v>
          </cell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</row>
        <row r="257">
          <cell r="A257">
            <v>0</v>
          </cell>
          <cell r="B257">
            <v>0</v>
          </cell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</row>
        <row r="258">
          <cell r="A258">
            <v>0</v>
          </cell>
          <cell r="B258">
            <v>0</v>
          </cell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</row>
        <row r="259">
          <cell r="A259">
            <v>0</v>
          </cell>
          <cell r="B259">
            <v>0</v>
          </cell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</row>
        <row r="260">
          <cell r="A260">
            <v>0</v>
          </cell>
          <cell r="B260">
            <v>0</v>
          </cell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</row>
        <row r="261">
          <cell r="A261">
            <v>0</v>
          </cell>
          <cell r="B261">
            <v>0</v>
          </cell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</row>
        <row r="262">
          <cell r="A262">
            <v>0</v>
          </cell>
          <cell r="B262">
            <v>0</v>
          </cell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</row>
        <row r="263">
          <cell r="A263">
            <v>0</v>
          </cell>
          <cell r="B263">
            <v>0</v>
          </cell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</row>
        <row r="264">
          <cell r="A264">
            <v>0</v>
          </cell>
          <cell r="B264">
            <v>0</v>
          </cell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</row>
        <row r="265">
          <cell r="A265">
            <v>0</v>
          </cell>
          <cell r="B265">
            <v>0</v>
          </cell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</row>
        <row r="266">
          <cell r="A266">
            <v>0</v>
          </cell>
          <cell r="B266">
            <v>0</v>
          </cell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</row>
        <row r="267">
          <cell r="A267">
            <v>0</v>
          </cell>
          <cell r="B267">
            <v>0</v>
          </cell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</row>
        <row r="268">
          <cell r="A268">
            <v>0</v>
          </cell>
          <cell r="B268">
            <v>0</v>
          </cell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</row>
        <row r="269">
          <cell r="A269">
            <v>0</v>
          </cell>
          <cell r="B269">
            <v>0</v>
          </cell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</row>
        <row r="270">
          <cell r="A270">
            <v>0</v>
          </cell>
          <cell r="B270">
            <v>0</v>
          </cell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</row>
        <row r="271">
          <cell r="A271">
            <v>0</v>
          </cell>
          <cell r="B271">
            <v>0</v>
          </cell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</row>
        <row r="272">
          <cell r="A272">
            <v>0</v>
          </cell>
          <cell r="B272">
            <v>0</v>
          </cell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</row>
        <row r="273">
          <cell r="A273">
            <v>0</v>
          </cell>
          <cell r="B273">
            <v>0</v>
          </cell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</row>
        <row r="274">
          <cell r="A274">
            <v>0</v>
          </cell>
          <cell r="B274">
            <v>0</v>
          </cell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</row>
        <row r="275">
          <cell r="A275">
            <v>0</v>
          </cell>
          <cell r="B275">
            <v>0</v>
          </cell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</row>
        <row r="276">
          <cell r="A276">
            <v>0</v>
          </cell>
          <cell r="B276">
            <v>0</v>
          </cell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</row>
        <row r="277">
          <cell r="A277">
            <v>0</v>
          </cell>
          <cell r="B277">
            <v>0</v>
          </cell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</row>
        <row r="278">
          <cell r="A278">
            <v>0</v>
          </cell>
          <cell r="B278">
            <v>0</v>
          </cell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</row>
        <row r="279">
          <cell r="A279">
            <v>0</v>
          </cell>
          <cell r="B279">
            <v>0</v>
          </cell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</row>
        <row r="280">
          <cell r="A280">
            <v>0</v>
          </cell>
          <cell r="B280">
            <v>0</v>
          </cell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</row>
        <row r="281">
          <cell r="A281">
            <v>0</v>
          </cell>
          <cell r="B281">
            <v>0</v>
          </cell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</row>
        <row r="282">
          <cell r="A282">
            <v>0</v>
          </cell>
          <cell r="B282">
            <v>0</v>
          </cell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</row>
        <row r="283">
          <cell r="A283">
            <v>0</v>
          </cell>
          <cell r="B283">
            <v>0</v>
          </cell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</row>
        <row r="284">
          <cell r="A284">
            <v>0</v>
          </cell>
          <cell r="B284">
            <v>0</v>
          </cell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</row>
        <row r="285">
          <cell r="A285">
            <v>0</v>
          </cell>
          <cell r="B285">
            <v>0</v>
          </cell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</row>
        <row r="286">
          <cell r="A286">
            <v>0</v>
          </cell>
          <cell r="B286">
            <v>0</v>
          </cell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</row>
        <row r="287">
          <cell r="A287">
            <v>0</v>
          </cell>
          <cell r="B287">
            <v>0</v>
          </cell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</row>
        <row r="288">
          <cell r="A288">
            <v>0</v>
          </cell>
          <cell r="B288">
            <v>0</v>
          </cell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</row>
        <row r="289">
          <cell r="A289">
            <v>0</v>
          </cell>
          <cell r="B289">
            <v>0</v>
          </cell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</row>
        <row r="290">
          <cell r="A290">
            <v>0</v>
          </cell>
          <cell r="B290">
            <v>0</v>
          </cell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</row>
        <row r="291">
          <cell r="A291">
            <v>0</v>
          </cell>
          <cell r="B291">
            <v>0</v>
          </cell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</row>
        <row r="292">
          <cell r="A292">
            <v>0</v>
          </cell>
          <cell r="B292">
            <v>0</v>
          </cell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</row>
        <row r="293">
          <cell r="A293">
            <v>0</v>
          </cell>
          <cell r="B293">
            <v>0</v>
          </cell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</row>
        <row r="294">
          <cell r="A294">
            <v>0</v>
          </cell>
          <cell r="B294">
            <v>0</v>
          </cell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</row>
        <row r="295">
          <cell r="A295">
            <v>0</v>
          </cell>
          <cell r="B295">
            <v>0</v>
          </cell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</row>
        <row r="296">
          <cell r="A296">
            <v>0</v>
          </cell>
          <cell r="B296">
            <v>0</v>
          </cell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</row>
        <row r="297">
          <cell r="A297">
            <v>0</v>
          </cell>
          <cell r="B297">
            <v>0</v>
          </cell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</row>
        <row r="298">
          <cell r="A298">
            <v>0</v>
          </cell>
          <cell r="B298">
            <v>0</v>
          </cell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</row>
        <row r="299">
          <cell r="A299">
            <v>0</v>
          </cell>
          <cell r="B299">
            <v>0</v>
          </cell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</row>
        <row r="300">
          <cell r="A300">
            <v>0</v>
          </cell>
          <cell r="B300">
            <v>0</v>
          </cell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</row>
        <row r="301">
          <cell r="A301">
            <v>0</v>
          </cell>
          <cell r="B301">
            <v>0</v>
          </cell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</row>
        <row r="302">
          <cell r="A302">
            <v>0</v>
          </cell>
          <cell r="B302">
            <v>0</v>
          </cell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</row>
        <row r="303">
          <cell r="A303">
            <v>0</v>
          </cell>
          <cell r="B303">
            <v>0</v>
          </cell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</row>
        <row r="304">
          <cell r="A304">
            <v>0</v>
          </cell>
          <cell r="B304">
            <v>0</v>
          </cell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</row>
        <row r="305">
          <cell r="A305">
            <v>0</v>
          </cell>
          <cell r="B305">
            <v>0</v>
          </cell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</row>
        <row r="306">
          <cell r="A306">
            <v>0</v>
          </cell>
          <cell r="B306">
            <v>0</v>
          </cell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</row>
        <row r="307">
          <cell r="A307">
            <v>0</v>
          </cell>
          <cell r="B307">
            <v>0</v>
          </cell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</row>
        <row r="308">
          <cell r="A308">
            <v>0</v>
          </cell>
          <cell r="B308">
            <v>0</v>
          </cell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</row>
        <row r="309">
          <cell r="A309">
            <v>0</v>
          </cell>
          <cell r="B309">
            <v>0</v>
          </cell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</row>
        <row r="310">
          <cell r="A310">
            <v>0</v>
          </cell>
          <cell r="B310">
            <v>0</v>
          </cell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</row>
        <row r="311">
          <cell r="A311">
            <v>0</v>
          </cell>
          <cell r="B311">
            <v>0</v>
          </cell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</row>
        <row r="312">
          <cell r="A312">
            <v>0</v>
          </cell>
          <cell r="B312">
            <v>0</v>
          </cell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</row>
        <row r="313">
          <cell r="A313">
            <v>0</v>
          </cell>
          <cell r="B313">
            <v>0</v>
          </cell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</row>
        <row r="314">
          <cell r="A314">
            <v>0</v>
          </cell>
          <cell r="B314">
            <v>0</v>
          </cell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</row>
        <row r="315">
          <cell r="A315">
            <v>0</v>
          </cell>
          <cell r="B315">
            <v>0</v>
          </cell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</row>
        <row r="316">
          <cell r="A316">
            <v>0</v>
          </cell>
          <cell r="B316">
            <v>0</v>
          </cell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</row>
        <row r="317">
          <cell r="A317">
            <v>0</v>
          </cell>
          <cell r="B317">
            <v>0</v>
          </cell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</row>
        <row r="318">
          <cell r="A318">
            <v>0</v>
          </cell>
          <cell r="B318">
            <v>0</v>
          </cell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</row>
        <row r="319">
          <cell r="A319">
            <v>0</v>
          </cell>
          <cell r="B319">
            <v>0</v>
          </cell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</row>
        <row r="320">
          <cell r="A320">
            <v>0</v>
          </cell>
          <cell r="B320">
            <v>0</v>
          </cell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</row>
        <row r="321">
          <cell r="A321">
            <v>0</v>
          </cell>
          <cell r="B321">
            <v>0</v>
          </cell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</row>
        <row r="322">
          <cell r="A322">
            <v>0</v>
          </cell>
          <cell r="B322">
            <v>0</v>
          </cell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</row>
        <row r="323">
          <cell r="A323">
            <v>0</v>
          </cell>
          <cell r="B323">
            <v>0</v>
          </cell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</row>
        <row r="324">
          <cell r="A324">
            <v>0</v>
          </cell>
          <cell r="B324">
            <v>0</v>
          </cell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</row>
        <row r="325">
          <cell r="A325">
            <v>0</v>
          </cell>
          <cell r="B325">
            <v>0</v>
          </cell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</row>
        <row r="326">
          <cell r="A326">
            <v>0</v>
          </cell>
          <cell r="B326">
            <v>0</v>
          </cell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</row>
        <row r="327">
          <cell r="A327">
            <v>0</v>
          </cell>
          <cell r="B327">
            <v>0</v>
          </cell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</row>
        <row r="328">
          <cell r="A328">
            <v>0</v>
          </cell>
          <cell r="B328">
            <v>0</v>
          </cell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</row>
        <row r="329">
          <cell r="A329">
            <v>0</v>
          </cell>
          <cell r="B329">
            <v>0</v>
          </cell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</row>
        <row r="330">
          <cell r="A330">
            <v>0</v>
          </cell>
          <cell r="B330">
            <v>0</v>
          </cell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</row>
        <row r="331">
          <cell r="A331">
            <v>0</v>
          </cell>
          <cell r="B331">
            <v>0</v>
          </cell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</row>
        <row r="332">
          <cell r="A332">
            <v>0</v>
          </cell>
          <cell r="B332">
            <v>0</v>
          </cell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</row>
        <row r="333">
          <cell r="A333">
            <v>0</v>
          </cell>
          <cell r="B333">
            <v>0</v>
          </cell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</row>
        <row r="334">
          <cell r="A334">
            <v>0</v>
          </cell>
          <cell r="B334">
            <v>0</v>
          </cell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</row>
        <row r="335">
          <cell r="A335">
            <v>0</v>
          </cell>
          <cell r="B335">
            <v>0</v>
          </cell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</row>
        <row r="336">
          <cell r="A336">
            <v>0</v>
          </cell>
          <cell r="B336">
            <v>0</v>
          </cell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</row>
        <row r="337">
          <cell r="A337">
            <v>0</v>
          </cell>
          <cell r="B337">
            <v>0</v>
          </cell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</row>
        <row r="338">
          <cell r="A338">
            <v>0</v>
          </cell>
          <cell r="B338">
            <v>0</v>
          </cell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</row>
        <row r="339">
          <cell r="A339">
            <v>0</v>
          </cell>
          <cell r="B339">
            <v>0</v>
          </cell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</row>
        <row r="340">
          <cell r="A340">
            <v>0</v>
          </cell>
          <cell r="B340">
            <v>0</v>
          </cell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</row>
        <row r="341">
          <cell r="A341">
            <v>0</v>
          </cell>
          <cell r="B341">
            <v>0</v>
          </cell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</row>
        <row r="342">
          <cell r="A342">
            <v>0</v>
          </cell>
          <cell r="B342">
            <v>0</v>
          </cell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</row>
        <row r="343">
          <cell r="A343">
            <v>0</v>
          </cell>
          <cell r="B343">
            <v>0</v>
          </cell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</row>
        <row r="344">
          <cell r="A344">
            <v>0</v>
          </cell>
          <cell r="B344">
            <v>0</v>
          </cell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</row>
        <row r="345">
          <cell r="A345">
            <v>0</v>
          </cell>
          <cell r="B345">
            <v>0</v>
          </cell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</row>
        <row r="346">
          <cell r="A346">
            <v>0</v>
          </cell>
          <cell r="B346">
            <v>0</v>
          </cell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</row>
        <row r="347">
          <cell r="A347">
            <v>0</v>
          </cell>
          <cell r="B347">
            <v>0</v>
          </cell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</row>
        <row r="348">
          <cell r="A348">
            <v>0</v>
          </cell>
          <cell r="B348">
            <v>0</v>
          </cell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</row>
        <row r="349">
          <cell r="A349">
            <v>0</v>
          </cell>
          <cell r="B349">
            <v>0</v>
          </cell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</row>
        <row r="350">
          <cell r="A350">
            <v>0</v>
          </cell>
          <cell r="B350">
            <v>0</v>
          </cell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</row>
        <row r="351">
          <cell r="A351">
            <v>0</v>
          </cell>
          <cell r="B351">
            <v>0</v>
          </cell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</row>
        <row r="352">
          <cell r="A352">
            <v>0</v>
          </cell>
          <cell r="B352">
            <v>0</v>
          </cell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</row>
        <row r="353">
          <cell r="A353">
            <v>0</v>
          </cell>
          <cell r="B353">
            <v>0</v>
          </cell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</row>
        <row r="354">
          <cell r="A354">
            <v>0</v>
          </cell>
          <cell r="B354">
            <v>0</v>
          </cell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</row>
        <row r="355">
          <cell r="A355">
            <v>0</v>
          </cell>
          <cell r="B355">
            <v>0</v>
          </cell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</row>
        <row r="356">
          <cell r="A356">
            <v>0</v>
          </cell>
          <cell r="B356">
            <v>0</v>
          </cell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</row>
        <row r="357">
          <cell r="A357">
            <v>0</v>
          </cell>
          <cell r="B357">
            <v>0</v>
          </cell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</row>
        <row r="358">
          <cell r="A358">
            <v>0</v>
          </cell>
          <cell r="B358">
            <v>0</v>
          </cell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</row>
        <row r="359">
          <cell r="A359">
            <v>0</v>
          </cell>
          <cell r="B359">
            <v>0</v>
          </cell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</row>
        <row r="360">
          <cell r="A360">
            <v>0</v>
          </cell>
          <cell r="B360">
            <v>0</v>
          </cell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</row>
        <row r="361">
          <cell r="A361">
            <v>0</v>
          </cell>
          <cell r="B361">
            <v>0</v>
          </cell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</row>
        <row r="362">
          <cell r="A362">
            <v>0</v>
          </cell>
          <cell r="B362">
            <v>0</v>
          </cell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</row>
        <row r="363">
          <cell r="A363">
            <v>0</v>
          </cell>
          <cell r="B363">
            <v>0</v>
          </cell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</row>
        <row r="364">
          <cell r="A364">
            <v>0</v>
          </cell>
          <cell r="B364">
            <v>0</v>
          </cell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</row>
        <row r="365">
          <cell r="A365">
            <v>0</v>
          </cell>
          <cell r="B365">
            <v>0</v>
          </cell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</row>
        <row r="366">
          <cell r="A366">
            <v>0</v>
          </cell>
          <cell r="B366">
            <v>0</v>
          </cell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</row>
        <row r="367">
          <cell r="A367">
            <v>0</v>
          </cell>
          <cell r="B367">
            <v>0</v>
          </cell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</row>
        <row r="368">
          <cell r="A368">
            <v>0</v>
          </cell>
          <cell r="B368">
            <v>0</v>
          </cell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</row>
        <row r="369">
          <cell r="A369">
            <v>0</v>
          </cell>
          <cell r="B369">
            <v>0</v>
          </cell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</row>
        <row r="370">
          <cell r="A370">
            <v>0</v>
          </cell>
          <cell r="B370">
            <v>0</v>
          </cell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</row>
        <row r="371">
          <cell r="A371">
            <v>0</v>
          </cell>
          <cell r="B371">
            <v>0</v>
          </cell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</row>
        <row r="372">
          <cell r="A372">
            <v>0</v>
          </cell>
          <cell r="B372">
            <v>0</v>
          </cell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</row>
        <row r="373">
          <cell r="A373">
            <v>0</v>
          </cell>
          <cell r="B373">
            <v>0</v>
          </cell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</row>
        <row r="374">
          <cell r="A374">
            <v>0</v>
          </cell>
          <cell r="B374">
            <v>0</v>
          </cell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</row>
        <row r="375">
          <cell r="A375">
            <v>0</v>
          </cell>
          <cell r="B375">
            <v>0</v>
          </cell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</row>
        <row r="376">
          <cell r="A376">
            <v>0</v>
          </cell>
          <cell r="B376">
            <v>0</v>
          </cell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</row>
        <row r="377">
          <cell r="A377">
            <v>0</v>
          </cell>
          <cell r="B377">
            <v>0</v>
          </cell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</row>
        <row r="378">
          <cell r="A378">
            <v>0</v>
          </cell>
          <cell r="B378">
            <v>0</v>
          </cell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</row>
        <row r="379">
          <cell r="A379">
            <v>0</v>
          </cell>
          <cell r="B379">
            <v>0</v>
          </cell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</row>
        <row r="380">
          <cell r="A380">
            <v>0</v>
          </cell>
          <cell r="B380">
            <v>0</v>
          </cell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</row>
        <row r="381">
          <cell r="A381">
            <v>0</v>
          </cell>
          <cell r="B381">
            <v>0</v>
          </cell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</row>
        <row r="382">
          <cell r="A382">
            <v>0</v>
          </cell>
          <cell r="B382">
            <v>0</v>
          </cell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</row>
        <row r="383">
          <cell r="A383">
            <v>0</v>
          </cell>
          <cell r="B383">
            <v>0</v>
          </cell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</row>
        <row r="384">
          <cell r="A384">
            <v>0</v>
          </cell>
          <cell r="B384">
            <v>0</v>
          </cell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</row>
        <row r="385">
          <cell r="A385">
            <v>0</v>
          </cell>
          <cell r="B385">
            <v>0</v>
          </cell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</row>
        <row r="386">
          <cell r="A386">
            <v>0</v>
          </cell>
          <cell r="B386">
            <v>0</v>
          </cell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</row>
        <row r="387">
          <cell r="A387">
            <v>0</v>
          </cell>
          <cell r="B387">
            <v>0</v>
          </cell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</row>
        <row r="388">
          <cell r="A388">
            <v>0</v>
          </cell>
          <cell r="B388">
            <v>0</v>
          </cell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</row>
        <row r="389">
          <cell r="A389">
            <v>0</v>
          </cell>
          <cell r="B389">
            <v>0</v>
          </cell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</row>
        <row r="390">
          <cell r="A390">
            <v>0</v>
          </cell>
          <cell r="B390">
            <v>0</v>
          </cell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</row>
        <row r="391">
          <cell r="A391">
            <v>0</v>
          </cell>
          <cell r="B391">
            <v>0</v>
          </cell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</row>
        <row r="392">
          <cell r="A392">
            <v>0</v>
          </cell>
          <cell r="B392">
            <v>0</v>
          </cell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</row>
        <row r="393">
          <cell r="A393">
            <v>0</v>
          </cell>
          <cell r="B393">
            <v>0</v>
          </cell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</row>
        <row r="394">
          <cell r="A394">
            <v>0</v>
          </cell>
          <cell r="B394">
            <v>0</v>
          </cell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</row>
        <row r="395">
          <cell r="A395">
            <v>0</v>
          </cell>
          <cell r="B395">
            <v>0</v>
          </cell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</row>
        <row r="396">
          <cell r="A396">
            <v>0</v>
          </cell>
          <cell r="B396">
            <v>0</v>
          </cell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</row>
        <row r="397">
          <cell r="A397">
            <v>0</v>
          </cell>
          <cell r="B397">
            <v>0</v>
          </cell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</row>
        <row r="398">
          <cell r="A398">
            <v>0</v>
          </cell>
          <cell r="B398">
            <v>0</v>
          </cell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</row>
        <row r="399">
          <cell r="A399">
            <v>0</v>
          </cell>
          <cell r="B399">
            <v>0</v>
          </cell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</row>
        <row r="400">
          <cell r="A400">
            <v>0</v>
          </cell>
          <cell r="B400">
            <v>0</v>
          </cell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</row>
        <row r="401">
          <cell r="A401">
            <v>0</v>
          </cell>
          <cell r="B401">
            <v>0</v>
          </cell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</row>
        <row r="402">
          <cell r="A402">
            <v>0</v>
          </cell>
          <cell r="B402">
            <v>0</v>
          </cell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</row>
        <row r="403">
          <cell r="A403">
            <v>0</v>
          </cell>
          <cell r="B403">
            <v>0</v>
          </cell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</row>
        <row r="404">
          <cell r="A404">
            <v>0</v>
          </cell>
          <cell r="B404">
            <v>0</v>
          </cell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</row>
        <row r="405">
          <cell r="A405">
            <v>0</v>
          </cell>
          <cell r="B405">
            <v>0</v>
          </cell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</row>
        <row r="406">
          <cell r="A406">
            <v>0</v>
          </cell>
          <cell r="B406">
            <v>0</v>
          </cell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</row>
        <row r="407">
          <cell r="A407">
            <v>0</v>
          </cell>
          <cell r="B407">
            <v>0</v>
          </cell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</row>
        <row r="408">
          <cell r="A408">
            <v>0</v>
          </cell>
          <cell r="B408">
            <v>0</v>
          </cell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</row>
        <row r="409">
          <cell r="A409">
            <v>0</v>
          </cell>
          <cell r="B409">
            <v>0</v>
          </cell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</row>
        <row r="410">
          <cell r="A410">
            <v>0</v>
          </cell>
          <cell r="B410">
            <v>0</v>
          </cell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</row>
        <row r="411">
          <cell r="A411">
            <v>0</v>
          </cell>
          <cell r="B411">
            <v>0</v>
          </cell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</row>
        <row r="412">
          <cell r="A412">
            <v>0</v>
          </cell>
          <cell r="B412">
            <v>0</v>
          </cell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</row>
        <row r="413">
          <cell r="A413">
            <v>0</v>
          </cell>
          <cell r="B413">
            <v>0</v>
          </cell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</row>
        <row r="414">
          <cell r="A414">
            <v>0</v>
          </cell>
          <cell r="B414">
            <v>0</v>
          </cell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</row>
        <row r="415">
          <cell r="A415">
            <v>0</v>
          </cell>
          <cell r="B415">
            <v>0</v>
          </cell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</row>
        <row r="416">
          <cell r="A416">
            <v>0</v>
          </cell>
          <cell r="B416">
            <v>0</v>
          </cell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</row>
        <row r="417">
          <cell r="A417">
            <v>0</v>
          </cell>
          <cell r="B417">
            <v>0</v>
          </cell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</row>
        <row r="418">
          <cell r="A418">
            <v>0</v>
          </cell>
          <cell r="B418">
            <v>0</v>
          </cell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</row>
        <row r="419">
          <cell r="A419">
            <v>0</v>
          </cell>
          <cell r="B419">
            <v>0</v>
          </cell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</row>
        <row r="420">
          <cell r="A420">
            <v>0</v>
          </cell>
          <cell r="B420">
            <v>0</v>
          </cell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</row>
        <row r="421">
          <cell r="A421">
            <v>0</v>
          </cell>
          <cell r="B421">
            <v>0</v>
          </cell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</row>
        <row r="422">
          <cell r="A422">
            <v>0</v>
          </cell>
          <cell r="B422">
            <v>0</v>
          </cell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</row>
        <row r="423">
          <cell r="A423">
            <v>0</v>
          </cell>
          <cell r="B423">
            <v>0</v>
          </cell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</row>
        <row r="424">
          <cell r="A424">
            <v>0</v>
          </cell>
          <cell r="B424">
            <v>0</v>
          </cell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</row>
        <row r="425">
          <cell r="A425">
            <v>0</v>
          </cell>
          <cell r="B425">
            <v>0</v>
          </cell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</row>
        <row r="426">
          <cell r="A426">
            <v>0</v>
          </cell>
          <cell r="B426">
            <v>0</v>
          </cell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</row>
        <row r="427">
          <cell r="A427">
            <v>0</v>
          </cell>
          <cell r="B427">
            <v>0</v>
          </cell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</row>
        <row r="428">
          <cell r="A428">
            <v>0</v>
          </cell>
          <cell r="B428">
            <v>0</v>
          </cell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</row>
        <row r="429">
          <cell r="A429">
            <v>0</v>
          </cell>
          <cell r="B429">
            <v>0</v>
          </cell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</row>
        <row r="430">
          <cell r="A430">
            <v>0</v>
          </cell>
          <cell r="B430">
            <v>0</v>
          </cell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</row>
        <row r="431">
          <cell r="A431">
            <v>0</v>
          </cell>
          <cell r="B431">
            <v>0</v>
          </cell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</row>
        <row r="432">
          <cell r="A432">
            <v>0</v>
          </cell>
          <cell r="B432">
            <v>0</v>
          </cell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</row>
        <row r="433">
          <cell r="A433">
            <v>0</v>
          </cell>
          <cell r="B433">
            <v>0</v>
          </cell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</row>
        <row r="434">
          <cell r="A434">
            <v>0</v>
          </cell>
          <cell r="B434">
            <v>0</v>
          </cell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</row>
        <row r="435">
          <cell r="A435">
            <v>0</v>
          </cell>
          <cell r="B435">
            <v>0</v>
          </cell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</row>
        <row r="436">
          <cell r="A436">
            <v>0</v>
          </cell>
          <cell r="B436">
            <v>0</v>
          </cell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</row>
        <row r="437">
          <cell r="A437">
            <v>0</v>
          </cell>
          <cell r="B437">
            <v>0</v>
          </cell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</row>
        <row r="438">
          <cell r="A438">
            <v>0</v>
          </cell>
          <cell r="B438">
            <v>0</v>
          </cell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</row>
        <row r="439">
          <cell r="A439">
            <v>0</v>
          </cell>
          <cell r="B439">
            <v>0</v>
          </cell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</row>
        <row r="440">
          <cell r="A440">
            <v>0</v>
          </cell>
          <cell r="B440">
            <v>0</v>
          </cell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</row>
        <row r="441">
          <cell r="A441">
            <v>0</v>
          </cell>
          <cell r="B441">
            <v>0</v>
          </cell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</row>
        <row r="442">
          <cell r="A442">
            <v>0</v>
          </cell>
          <cell r="B442">
            <v>0</v>
          </cell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</row>
        <row r="443">
          <cell r="A443">
            <v>0</v>
          </cell>
          <cell r="B443">
            <v>0</v>
          </cell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</row>
        <row r="444">
          <cell r="A444">
            <v>0</v>
          </cell>
          <cell r="B444">
            <v>0</v>
          </cell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</row>
        <row r="445">
          <cell r="A445">
            <v>0</v>
          </cell>
          <cell r="B445">
            <v>0</v>
          </cell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</row>
        <row r="446">
          <cell r="A446">
            <v>0</v>
          </cell>
          <cell r="B446">
            <v>0</v>
          </cell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</row>
        <row r="447">
          <cell r="A447">
            <v>0</v>
          </cell>
          <cell r="B447">
            <v>0</v>
          </cell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</row>
        <row r="448">
          <cell r="A448">
            <v>0</v>
          </cell>
          <cell r="B448">
            <v>0</v>
          </cell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</row>
        <row r="449">
          <cell r="A449">
            <v>0</v>
          </cell>
          <cell r="B449">
            <v>0</v>
          </cell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</row>
        <row r="450">
          <cell r="A450">
            <v>0</v>
          </cell>
          <cell r="B450">
            <v>0</v>
          </cell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</row>
        <row r="451">
          <cell r="A451">
            <v>0</v>
          </cell>
          <cell r="B451">
            <v>0</v>
          </cell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</row>
        <row r="452">
          <cell r="A452">
            <v>0</v>
          </cell>
          <cell r="B452">
            <v>0</v>
          </cell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</row>
        <row r="453">
          <cell r="A453">
            <v>0</v>
          </cell>
          <cell r="B453">
            <v>0</v>
          </cell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</row>
        <row r="454">
          <cell r="A454">
            <v>0</v>
          </cell>
          <cell r="B454">
            <v>0</v>
          </cell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</row>
        <row r="455">
          <cell r="A455">
            <v>0</v>
          </cell>
          <cell r="B455">
            <v>0</v>
          </cell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</row>
        <row r="456">
          <cell r="A456">
            <v>0</v>
          </cell>
          <cell r="B456">
            <v>0</v>
          </cell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</row>
        <row r="457">
          <cell r="A457">
            <v>0</v>
          </cell>
          <cell r="B457">
            <v>0</v>
          </cell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</row>
        <row r="458">
          <cell r="A458">
            <v>0</v>
          </cell>
          <cell r="B458">
            <v>0</v>
          </cell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</row>
        <row r="459">
          <cell r="A459">
            <v>0</v>
          </cell>
          <cell r="B459">
            <v>0</v>
          </cell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</row>
        <row r="460">
          <cell r="A460">
            <v>0</v>
          </cell>
          <cell r="B460">
            <v>0</v>
          </cell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</row>
        <row r="461">
          <cell r="A461">
            <v>0</v>
          </cell>
          <cell r="B461">
            <v>0</v>
          </cell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</row>
        <row r="462">
          <cell r="A462">
            <v>0</v>
          </cell>
          <cell r="B462">
            <v>0</v>
          </cell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</row>
        <row r="463">
          <cell r="A463">
            <v>0</v>
          </cell>
          <cell r="B463">
            <v>0</v>
          </cell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</row>
        <row r="464">
          <cell r="A464">
            <v>0</v>
          </cell>
          <cell r="B464">
            <v>0</v>
          </cell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</row>
        <row r="465">
          <cell r="A465">
            <v>0</v>
          </cell>
          <cell r="B465">
            <v>0</v>
          </cell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</row>
        <row r="466">
          <cell r="A466">
            <v>0</v>
          </cell>
          <cell r="B466">
            <v>0</v>
          </cell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</row>
        <row r="467">
          <cell r="A467">
            <v>0</v>
          </cell>
          <cell r="B467">
            <v>0</v>
          </cell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</row>
        <row r="468">
          <cell r="A468">
            <v>0</v>
          </cell>
          <cell r="B468">
            <v>0</v>
          </cell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</row>
        <row r="469">
          <cell r="A469">
            <v>0</v>
          </cell>
          <cell r="B469">
            <v>0</v>
          </cell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</row>
        <row r="470">
          <cell r="A470">
            <v>0</v>
          </cell>
          <cell r="B470">
            <v>0</v>
          </cell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</row>
        <row r="471">
          <cell r="A471">
            <v>0</v>
          </cell>
          <cell r="B471">
            <v>0</v>
          </cell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</row>
        <row r="472">
          <cell r="A472">
            <v>0</v>
          </cell>
          <cell r="B472">
            <v>0</v>
          </cell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</row>
        <row r="473">
          <cell r="A473">
            <v>0</v>
          </cell>
          <cell r="B473">
            <v>0</v>
          </cell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</row>
        <row r="474">
          <cell r="A474">
            <v>0</v>
          </cell>
          <cell r="B474">
            <v>0</v>
          </cell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</row>
        <row r="475">
          <cell r="A475">
            <v>0</v>
          </cell>
          <cell r="B475">
            <v>0</v>
          </cell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</row>
        <row r="476">
          <cell r="A476">
            <v>0</v>
          </cell>
          <cell r="B476">
            <v>0</v>
          </cell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</row>
        <row r="477">
          <cell r="A477">
            <v>0</v>
          </cell>
          <cell r="B477">
            <v>0</v>
          </cell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</row>
        <row r="478">
          <cell r="A478">
            <v>0</v>
          </cell>
          <cell r="B478">
            <v>0</v>
          </cell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</row>
        <row r="479">
          <cell r="A479">
            <v>0</v>
          </cell>
          <cell r="B479">
            <v>0</v>
          </cell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</row>
        <row r="480">
          <cell r="A480">
            <v>0</v>
          </cell>
          <cell r="B480">
            <v>0</v>
          </cell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</row>
        <row r="481">
          <cell r="A481">
            <v>0</v>
          </cell>
          <cell r="B481">
            <v>0</v>
          </cell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</row>
        <row r="482">
          <cell r="A482">
            <v>0</v>
          </cell>
          <cell r="B482">
            <v>0</v>
          </cell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</row>
        <row r="483">
          <cell r="A483">
            <v>0</v>
          </cell>
          <cell r="B483">
            <v>0</v>
          </cell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</row>
        <row r="484">
          <cell r="A484">
            <v>0</v>
          </cell>
          <cell r="B484">
            <v>0</v>
          </cell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</row>
        <row r="485">
          <cell r="A485">
            <v>0</v>
          </cell>
          <cell r="B485">
            <v>0</v>
          </cell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</row>
        <row r="486">
          <cell r="A486">
            <v>0</v>
          </cell>
          <cell r="B486">
            <v>0</v>
          </cell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</row>
        <row r="487">
          <cell r="A487">
            <v>0</v>
          </cell>
          <cell r="B487">
            <v>0</v>
          </cell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</row>
        <row r="488">
          <cell r="A488">
            <v>0</v>
          </cell>
          <cell r="B488">
            <v>0</v>
          </cell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</row>
        <row r="489">
          <cell r="A489">
            <v>0</v>
          </cell>
          <cell r="B489">
            <v>0</v>
          </cell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</row>
        <row r="490">
          <cell r="A490">
            <v>0</v>
          </cell>
          <cell r="B490">
            <v>0</v>
          </cell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</row>
        <row r="491">
          <cell r="A491">
            <v>0</v>
          </cell>
          <cell r="B491">
            <v>0</v>
          </cell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</row>
        <row r="492">
          <cell r="A492">
            <v>0</v>
          </cell>
          <cell r="B492">
            <v>0</v>
          </cell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</row>
        <row r="493">
          <cell r="A493">
            <v>0</v>
          </cell>
          <cell r="B493">
            <v>0</v>
          </cell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</row>
        <row r="494">
          <cell r="A494">
            <v>0</v>
          </cell>
          <cell r="B494">
            <v>0</v>
          </cell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</row>
        <row r="495">
          <cell r="A495">
            <v>0</v>
          </cell>
          <cell r="B495">
            <v>0</v>
          </cell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</row>
        <row r="496">
          <cell r="A496">
            <v>0</v>
          </cell>
          <cell r="B496">
            <v>0</v>
          </cell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</row>
        <row r="497">
          <cell r="A497">
            <v>0</v>
          </cell>
          <cell r="B497">
            <v>0</v>
          </cell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</row>
        <row r="498">
          <cell r="A498">
            <v>0</v>
          </cell>
          <cell r="B498">
            <v>0</v>
          </cell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</row>
        <row r="499">
          <cell r="A499">
            <v>0</v>
          </cell>
          <cell r="B499">
            <v>0</v>
          </cell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</row>
        <row r="500">
          <cell r="A500">
            <v>0</v>
          </cell>
          <cell r="B500">
            <v>0</v>
          </cell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</row>
        <row r="501">
          <cell r="A501">
            <v>0</v>
          </cell>
          <cell r="B501">
            <v>0</v>
          </cell>
          <cell r="C501"/>
          <cell r="D501"/>
          <cell r="E501"/>
          <cell r="F501"/>
          <cell r="G501"/>
          <cell r="H501"/>
          <cell r="I501"/>
          <cell r="J501"/>
          <cell r="K501"/>
          <cell r="L501"/>
        </row>
        <row r="502">
          <cell r="A502">
            <v>0</v>
          </cell>
          <cell r="B502">
            <v>0</v>
          </cell>
          <cell r="C502"/>
          <cell r="D502"/>
          <cell r="E502"/>
          <cell r="F502"/>
          <cell r="G502"/>
          <cell r="H502"/>
          <cell r="I502"/>
          <cell r="J502"/>
          <cell r="K502"/>
          <cell r="L502"/>
        </row>
        <row r="503">
          <cell r="A503">
            <v>0</v>
          </cell>
          <cell r="B503">
            <v>0</v>
          </cell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</row>
        <row r="504">
          <cell r="A504">
            <v>0</v>
          </cell>
          <cell r="B504">
            <v>0</v>
          </cell>
          <cell r="C504"/>
          <cell r="D504"/>
          <cell r="E504"/>
          <cell r="F504"/>
          <cell r="G504"/>
          <cell r="H504"/>
          <cell r="I504"/>
          <cell r="J504"/>
          <cell r="K504"/>
          <cell r="L504"/>
        </row>
        <row r="505">
          <cell r="A505">
            <v>0</v>
          </cell>
          <cell r="B505">
            <v>0</v>
          </cell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</row>
        <row r="506">
          <cell r="A506">
            <v>0</v>
          </cell>
          <cell r="B506">
            <v>0</v>
          </cell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</row>
        <row r="507">
          <cell r="A507">
            <v>0</v>
          </cell>
          <cell r="B507">
            <v>0</v>
          </cell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</row>
        <row r="508">
          <cell r="A508">
            <v>0</v>
          </cell>
          <cell r="B508">
            <v>0</v>
          </cell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</row>
        <row r="509">
          <cell r="A509">
            <v>0</v>
          </cell>
          <cell r="B509">
            <v>0</v>
          </cell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</row>
        <row r="510">
          <cell r="A510">
            <v>0</v>
          </cell>
          <cell r="B510">
            <v>0</v>
          </cell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</row>
        <row r="511">
          <cell r="A511">
            <v>0</v>
          </cell>
          <cell r="B511">
            <v>0</v>
          </cell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</row>
        <row r="512">
          <cell r="A512">
            <v>0</v>
          </cell>
          <cell r="B512">
            <v>0</v>
          </cell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</row>
        <row r="513">
          <cell r="A513">
            <v>0</v>
          </cell>
          <cell r="B513">
            <v>0</v>
          </cell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</row>
        <row r="514">
          <cell r="A514">
            <v>0</v>
          </cell>
          <cell r="B514">
            <v>0</v>
          </cell>
          <cell r="C514"/>
          <cell r="D514"/>
          <cell r="E514"/>
          <cell r="F514"/>
          <cell r="G514"/>
          <cell r="H514"/>
          <cell r="I514"/>
          <cell r="J514"/>
          <cell r="K514"/>
          <cell r="L514"/>
        </row>
        <row r="515">
          <cell r="A515">
            <v>0</v>
          </cell>
          <cell r="B515">
            <v>0</v>
          </cell>
          <cell r="C515"/>
          <cell r="D515"/>
          <cell r="E515"/>
          <cell r="F515"/>
          <cell r="G515"/>
          <cell r="H515"/>
          <cell r="I515"/>
          <cell r="J515"/>
          <cell r="K515"/>
          <cell r="L515"/>
        </row>
        <row r="516">
          <cell r="A516">
            <v>0</v>
          </cell>
          <cell r="B516">
            <v>0</v>
          </cell>
          <cell r="C516"/>
          <cell r="D516"/>
          <cell r="E516"/>
          <cell r="F516"/>
          <cell r="G516"/>
          <cell r="H516"/>
          <cell r="I516"/>
          <cell r="J516"/>
          <cell r="K516"/>
          <cell r="L516"/>
        </row>
        <row r="517">
          <cell r="A517">
            <v>0</v>
          </cell>
          <cell r="B517">
            <v>0</v>
          </cell>
          <cell r="C517"/>
          <cell r="D517"/>
          <cell r="E517"/>
          <cell r="F517"/>
          <cell r="G517"/>
          <cell r="H517"/>
          <cell r="I517"/>
          <cell r="J517"/>
          <cell r="K517"/>
          <cell r="L517"/>
        </row>
        <row r="518">
          <cell r="A518">
            <v>0</v>
          </cell>
          <cell r="B518">
            <v>0</v>
          </cell>
          <cell r="C518"/>
          <cell r="D518"/>
          <cell r="E518"/>
          <cell r="F518"/>
          <cell r="G518"/>
          <cell r="H518"/>
          <cell r="I518"/>
          <cell r="J518"/>
          <cell r="K518"/>
          <cell r="L518"/>
        </row>
        <row r="519">
          <cell r="A519">
            <v>0</v>
          </cell>
          <cell r="B519">
            <v>0</v>
          </cell>
          <cell r="C519"/>
          <cell r="D519"/>
          <cell r="E519"/>
          <cell r="F519"/>
          <cell r="G519"/>
          <cell r="H519"/>
          <cell r="I519"/>
          <cell r="J519"/>
          <cell r="K519"/>
          <cell r="L519"/>
        </row>
        <row r="520">
          <cell r="A520">
            <v>0</v>
          </cell>
          <cell r="B520">
            <v>0</v>
          </cell>
          <cell r="C520"/>
          <cell r="D520"/>
          <cell r="E520"/>
          <cell r="F520"/>
          <cell r="G520"/>
          <cell r="H520"/>
          <cell r="I520"/>
          <cell r="J520"/>
          <cell r="K520"/>
          <cell r="L520"/>
        </row>
        <row r="521">
          <cell r="A521">
            <v>0</v>
          </cell>
          <cell r="B521">
            <v>0</v>
          </cell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</row>
        <row r="522">
          <cell r="A522">
            <v>0</v>
          </cell>
          <cell r="B522">
            <v>0</v>
          </cell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</row>
        <row r="523">
          <cell r="A523">
            <v>0</v>
          </cell>
          <cell r="B523">
            <v>0</v>
          </cell>
          <cell r="C523"/>
          <cell r="D523"/>
          <cell r="E523"/>
          <cell r="F523"/>
          <cell r="G523"/>
          <cell r="H523"/>
          <cell r="I523"/>
          <cell r="J523"/>
          <cell r="K523"/>
          <cell r="L523"/>
        </row>
        <row r="524">
          <cell r="A524">
            <v>0</v>
          </cell>
          <cell r="B524">
            <v>0</v>
          </cell>
          <cell r="C524"/>
          <cell r="D524"/>
          <cell r="E524"/>
          <cell r="F524"/>
          <cell r="G524"/>
          <cell r="H524"/>
          <cell r="I524"/>
          <cell r="J524"/>
          <cell r="K524"/>
          <cell r="L524"/>
        </row>
        <row r="525">
          <cell r="A525">
            <v>0</v>
          </cell>
          <cell r="B525">
            <v>0</v>
          </cell>
          <cell r="C525"/>
          <cell r="D525"/>
          <cell r="E525"/>
          <cell r="F525"/>
          <cell r="G525"/>
          <cell r="H525"/>
          <cell r="I525"/>
          <cell r="J525"/>
          <cell r="K525"/>
          <cell r="L525"/>
        </row>
        <row r="526">
          <cell r="A526">
            <v>0</v>
          </cell>
          <cell r="B526">
            <v>0</v>
          </cell>
          <cell r="C526"/>
          <cell r="D526"/>
          <cell r="E526"/>
          <cell r="F526"/>
          <cell r="G526"/>
          <cell r="H526"/>
          <cell r="I526"/>
          <cell r="J526"/>
          <cell r="K526"/>
          <cell r="L526"/>
        </row>
        <row r="527">
          <cell r="A527">
            <v>0</v>
          </cell>
          <cell r="B527">
            <v>0</v>
          </cell>
          <cell r="C527"/>
          <cell r="D527"/>
          <cell r="E527"/>
          <cell r="F527"/>
          <cell r="G527"/>
          <cell r="H527"/>
          <cell r="I527"/>
          <cell r="J527"/>
          <cell r="K527"/>
          <cell r="L527"/>
        </row>
        <row r="528">
          <cell r="A528">
            <v>0</v>
          </cell>
          <cell r="B528">
            <v>0</v>
          </cell>
          <cell r="C528"/>
          <cell r="D528"/>
          <cell r="E528"/>
          <cell r="F528"/>
          <cell r="G528"/>
          <cell r="H528"/>
          <cell r="I528"/>
          <cell r="J528"/>
          <cell r="K528"/>
          <cell r="L528"/>
        </row>
        <row r="529">
          <cell r="A529">
            <v>0</v>
          </cell>
          <cell r="B529">
            <v>0</v>
          </cell>
          <cell r="C529"/>
          <cell r="D529"/>
          <cell r="E529"/>
          <cell r="F529"/>
          <cell r="G529"/>
          <cell r="H529"/>
          <cell r="I529"/>
          <cell r="J529"/>
          <cell r="K529"/>
          <cell r="L529"/>
        </row>
        <row r="530">
          <cell r="A530">
            <v>0</v>
          </cell>
          <cell r="B530">
            <v>0</v>
          </cell>
          <cell r="C530"/>
          <cell r="D530"/>
          <cell r="E530"/>
          <cell r="F530"/>
          <cell r="G530"/>
          <cell r="H530"/>
          <cell r="I530"/>
          <cell r="J530"/>
          <cell r="K530"/>
          <cell r="L530"/>
        </row>
        <row r="531">
          <cell r="A531">
            <v>0</v>
          </cell>
          <cell r="C531"/>
          <cell r="D531"/>
          <cell r="E531"/>
          <cell r="F531"/>
          <cell r="G531"/>
          <cell r="H531"/>
          <cell r="I531"/>
          <cell r="J531"/>
          <cell r="K531"/>
          <cell r="L531"/>
        </row>
        <row r="532">
          <cell r="C532"/>
          <cell r="D532"/>
          <cell r="E532"/>
          <cell r="F532"/>
          <cell r="G532"/>
          <cell r="H532"/>
          <cell r="I532"/>
          <cell r="J532"/>
          <cell r="K532"/>
          <cell r="L532"/>
        </row>
        <row r="533">
          <cell r="C533"/>
          <cell r="D533"/>
          <cell r="E533"/>
          <cell r="F533"/>
          <cell r="G533"/>
          <cell r="H533"/>
          <cell r="I533"/>
          <cell r="J533"/>
          <cell r="K533"/>
          <cell r="L533"/>
        </row>
        <row r="534">
          <cell r="C534"/>
          <cell r="D534"/>
          <cell r="E534"/>
          <cell r="F534"/>
          <cell r="G534"/>
          <cell r="H534"/>
          <cell r="I534"/>
          <cell r="J534"/>
          <cell r="K534"/>
          <cell r="L534"/>
        </row>
        <row r="535">
          <cell r="C535"/>
          <cell r="D535"/>
          <cell r="E535"/>
          <cell r="F535"/>
          <cell r="G535"/>
          <cell r="H535"/>
          <cell r="I535"/>
          <cell r="J535"/>
          <cell r="K535"/>
          <cell r="L535"/>
        </row>
        <row r="536">
          <cell r="C536"/>
          <cell r="D536"/>
          <cell r="E536"/>
          <cell r="F536"/>
          <cell r="G536"/>
          <cell r="H536"/>
          <cell r="I536"/>
          <cell r="J536"/>
          <cell r="K536"/>
          <cell r="L536"/>
        </row>
        <row r="537">
          <cell r="C537"/>
          <cell r="D537"/>
          <cell r="E537"/>
          <cell r="F537"/>
          <cell r="G537"/>
          <cell r="H537"/>
          <cell r="I537"/>
          <cell r="J537"/>
          <cell r="K537"/>
          <cell r="L537"/>
        </row>
        <row r="538">
          <cell r="C538"/>
          <cell r="D538"/>
          <cell r="E538"/>
          <cell r="F538"/>
          <cell r="G538"/>
          <cell r="H538"/>
          <cell r="I538"/>
          <cell r="J538"/>
          <cell r="K538"/>
          <cell r="L538"/>
        </row>
        <row r="539">
          <cell r="C539"/>
          <cell r="D539"/>
          <cell r="E539"/>
          <cell r="F539"/>
          <cell r="G539"/>
          <cell r="H539"/>
          <cell r="I539"/>
          <cell r="J539"/>
          <cell r="K539"/>
          <cell r="L539"/>
        </row>
        <row r="540">
          <cell r="C540"/>
          <cell r="D540"/>
          <cell r="E540"/>
          <cell r="F540"/>
          <cell r="G540"/>
          <cell r="H540"/>
          <cell r="I540"/>
          <cell r="J540"/>
          <cell r="K540"/>
          <cell r="L540"/>
        </row>
        <row r="541">
          <cell r="C541"/>
          <cell r="D541"/>
          <cell r="E541"/>
          <cell r="F541"/>
          <cell r="G541"/>
          <cell r="H541"/>
          <cell r="I541"/>
          <cell r="J541"/>
          <cell r="K541"/>
          <cell r="L541"/>
        </row>
        <row r="542">
          <cell r="C542"/>
          <cell r="D542"/>
          <cell r="E542"/>
          <cell r="F542"/>
          <cell r="G542"/>
          <cell r="H542"/>
          <cell r="I542"/>
          <cell r="J542"/>
          <cell r="K542"/>
          <cell r="L542"/>
        </row>
        <row r="543">
          <cell r="C543"/>
          <cell r="D543"/>
          <cell r="E543"/>
          <cell r="F543"/>
          <cell r="G543"/>
          <cell r="H543"/>
          <cell r="I543"/>
          <cell r="J543"/>
          <cell r="K543"/>
          <cell r="L543"/>
        </row>
        <row r="544"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</row>
        <row r="545">
          <cell r="C545"/>
          <cell r="D545"/>
          <cell r="E545"/>
          <cell r="F545"/>
          <cell r="G545"/>
          <cell r="H545"/>
          <cell r="I545"/>
          <cell r="J545"/>
          <cell r="K545"/>
          <cell r="L545"/>
        </row>
        <row r="546">
          <cell r="C546"/>
          <cell r="D546"/>
          <cell r="E546"/>
          <cell r="F546"/>
          <cell r="G546"/>
          <cell r="H546"/>
          <cell r="I546"/>
          <cell r="J546"/>
          <cell r="K546"/>
          <cell r="L546"/>
        </row>
        <row r="547">
          <cell r="C547"/>
          <cell r="D547"/>
          <cell r="E547"/>
          <cell r="F547"/>
          <cell r="G547"/>
          <cell r="H547"/>
          <cell r="I547"/>
          <cell r="J547"/>
          <cell r="K547"/>
          <cell r="L547"/>
        </row>
        <row r="548">
          <cell r="C548"/>
          <cell r="D548"/>
          <cell r="E548"/>
          <cell r="F548"/>
          <cell r="G548"/>
          <cell r="H548"/>
          <cell r="I548"/>
          <cell r="J548"/>
          <cell r="K548"/>
          <cell r="L548"/>
        </row>
        <row r="549">
          <cell r="C549"/>
          <cell r="D549"/>
          <cell r="E549"/>
          <cell r="F549"/>
          <cell r="G549"/>
          <cell r="H549"/>
          <cell r="I549"/>
          <cell r="J549"/>
          <cell r="K549"/>
          <cell r="L549"/>
        </row>
        <row r="550">
          <cell r="C550"/>
          <cell r="D550"/>
          <cell r="E550"/>
          <cell r="F550"/>
          <cell r="G550"/>
          <cell r="H550"/>
          <cell r="I550"/>
          <cell r="J550"/>
          <cell r="K550"/>
          <cell r="L550"/>
        </row>
        <row r="551">
          <cell r="C551"/>
          <cell r="D551"/>
          <cell r="E551"/>
          <cell r="F551"/>
          <cell r="G551"/>
          <cell r="H551"/>
          <cell r="I551"/>
          <cell r="J551"/>
          <cell r="K551"/>
          <cell r="L551"/>
        </row>
        <row r="552">
          <cell r="C552"/>
          <cell r="D552"/>
          <cell r="E552"/>
          <cell r="F552"/>
          <cell r="G552"/>
          <cell r="H552"/>
          <cell r="I552"/>
          <cell r="J552"/>
          <cell r="K552"/>
          <cell r="L552"/>
        </row>
        <row r="553">
          <cell r="C553"/>
          <cell r="D553"/>
          <cell r="E553"/>
          <cell r="F553"/>
          <cell r="G553"/>
          <cell r="H553"/>
          <cell r="I553"/>
          <cell r="J553"/>
          <cell r="K553"/>
          <cell r="L553"/>
        </row>
        <row r="554">
          <cell r="C554"/>
          <cell r="D554"/>
          <cell r="E554"/>
          <cell r="F554"/>
          <cell r="G554"/>
          <cell r="H554"/>
          <cell r="I554"/>
          <cell r="J554"/>
          <cell r="K554"/>
          <cell r="L554"/>
        </row>
        <row r="555"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</row>
        <row r="556"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</row>
        <row r="557">
          <cell r="C557"/>
          <cell r="D557"/>
          <cell r="E557"/>
          <cell r="F557"/>
          <cell r="G557"/>
          <cell r="H557"/>
          <cell r="I557"/>
          <cell r="J557"/>
          <cell r="K557"/>
          <cell r="L557"/>
        </row>
        <row r="558"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</row>
        <row r="559">
          <cell r="C559"/>
          <cell r="D559"/>
          <cell r="E559"/>
          <cell r="F559"/>
          <cell r="G559"/>
          <cell r="H559"/>
          <cell r="I559"/>
          <cell r="J559"/>
          <cell r="K559"/>
          <cell r="L559"/>
        </row>
        <row r="560"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</row>
        <row r="561">
          <cell r="C561"/>
          <cell r="D561"/>
          <cell r="E561"/>
          <cell r="F561"/>
          <cell r="G561"/>
          <cell r="H561"/>
          <cell r="I561"/>
          <cell r="J561"/>
          <cell r="K561"/>
          <cell r="L561"/>
        </row>
        <row r="562">
          <cell r="C562"/>
          <cell r="D562"/>
          <cell r="E562"/>
          <cell r="F562"/>
          <cell r="G562"/>
          <cell r="H562"/>
          <cell r="I562"/>
          <cell r="J562"/>
          <cell r="K562"/>
          <cell r="L562"/>
        </row>
        <row r="563">
          <cell r="C563"/>
          <cell r="D563"/>
          <cell r="E563"/>
          <cell r="F563"/>
          <cell r="G563"/>
          <cell r="H563"/>
          <cell r="I563"/>
          <cell r="J563"/>
          <cell r="K563"/>
          <cell r="L563"/>
        </row>
        <row r="564">
          <cell r="C564"/>
          <cell r="D564"/>
          <cell r="E564"/>
          <cell r="F564"/>
          <cell r="G564"/>
          <cell r="H564"/>
          <cell r="I564"/>
          <cell r="J564"/>
          <cell r="K564"/>
          <cell r="L564"/>
        </row>
        <row r="565">
          <cell r="C565"/>
          <cell r="D565"/>
          <cell r="E565"/>
          <cell r="F565"/>
          <cell r="G565"/>
          <cell r="H565"/>
          <cell r="I565"/>
          <cell r="J565"/>
          <cell r="K565"/>
          <cell r="L565"/>
        </row>
        <row r="566">
          <cell r="C566"/>
          <cell r="D566"/>
          <cell r="E566"/>
          <cell r="F566"/>
          <cell r="G566"/>
          <cell r="H566"/>
          <cell r="I566"/>
          <cell r="J566"/>
          <cell r="K566"/>
          <cell r="L566"/>
        </row>
        <row r="567">
          <cell r="C567"/>
          <cell r="D567"/>
          <cell r="E567"/>
          <cell r="F567"/>
          <cell r="G567"/>
          <cell r="H567"/>
          <cell r="I567"/>
          <cell r="J567"/>
          <cell r="K567"/>
          <cell r="L567"/>
        </row>
        <row r="568">
          <cell r="C568"/>
          <cell r="D568"/>
          <cell r="E568"/>
          <cell r="F568"/>
          <cell r="G568"/>
          <cell r="H568"/>
          <cell r="I568"/>
          <cell r="J568"/>
          <cell r="K568"/>
          <cell r="L568"/>
        </row>
        <row r="569">
          <cell r="C569"/>
          <cell r="D569"/>
          <cell r="E569"/>
          <cell r="F569"/>
          <cell r="G569"/>
          <cell r="H569"/>
          <cell r="I569"/>
          <cell r="J569"/>
          <cell r="K569"/>
          <cell r="L569"/>
        </row>
        <row r="570">
          <cell r="C570"/>
          <cell r="D570"/>
          <cell r="E570"/>
          <cell r="F570"/>
          <cell r="G570"/>
          <cell r="H570"/>
          <cell r="I570"/>
          <cell r="J570"/>
          <cell r="K570"/>
          <cell r="L570"/>
        </row>
        <row r="571">
          <cell r="C571"/>
          <cell r="D571"/>
          <cell r="E571"/>
          <cell r="F571"/>
          <cell r="G571"/>
          <cell r="H571"/>
          <cell r="I571"/>
          <cell r="J571"/>
          <cell r="K571"/>
          <cell r="L571"/>
        </row>
        <row r="572">
          <cell r="C572"/>
          <cell r="D572"/>
          <cell r="E572"/>
          <cell r="F572"/>
          <cell r="G572"/>
          <cell r="H572"/>
          <cell r="I572"/>
          <cell r="J572"/>
          <cell r="K572"/>
          <cell r="L572"/>
        </row>
        <row r="573">
          <cell r="C573"/>
          <cell r="D573"/>
          <cell r="E573"/>
          <cell r="F573"/>
          <cell r="G573"/>
          <cell r="H573"/>
          <cell r="I573"/>
          <cell r="J573"/>
          <cell r="K573"/>
          <cell r="L573"/>
        </row>
        <row r="574">
          <cell r="C574"/>
          <cell r="D574"/>
          <cell r="E574"/>
          <cell r="F574"/>
          <cell r="G574"/>
          <cell r="H574"/>
          <cell r="I574"/>
          <cell r="J574"/>
          <cell r="K574"/>
          <cell r="L574"/>
        </row>
        <row r="575">
          <cell r="C575"/>
          <cell r="D575"/>
          <cell r="E575"/>
          <cell r="F575"/>
          <cell r="G575"/>
          <cell r="H575"/>
          <cell r="I575"/>
          <cell r="J575"/>
          <cell r="K575"/>
          <cell r="L575"/>
        </row>
        <row r="576">
          <cell r="C576"/>
          <cell r="D576"/>
          <cell r="E576"/>
          <cell r="F576"/>
          <cell r="G576"/>
          <cell r="H576"/>
          <cell r="I576"/>
          <cell r="J576"/>
          <cell r="K576"/>
          <cell r="L576"/>
        </row>
        <row r="577">
          <cell r="C577"/>
          <cell r="D577"/>
          <cell r="E577"/>
          <cell r="F577"/>
          <cell r="G577"/>
          <cell r="H577"/>
          <cell r="I577"/>
          <cell r="J577"/>
          <cell r="K577"/>
          <cell r="L577"/>
        </row>
        <row r="578">
          <cell r="C578"/>
          <cell r="D578"/>
          <cell r="E578"/>
          <cell r="F578"/>
          <cell r="G578"/>
          <cell r="H578"/>
          <cell r="I578"/>
          <cell r="J578"/>
          <cell r="K578"/>
          <cell r="L578"/>
        </row>
        <row r="579"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</row>
        <row r="580"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</row>
        <row r="581">
          <cell r="C581"/>
          <cell r="D581"/>
          <cell r="E581"/>
          <cell r="F581"/>
          <cell r="G581"/>
          <cell r="H581"/>
          <cell r="I581"/>
          <cell r="J581"/>
          <cell r="K581"/>
          <cell r="L581"/>
        </row>
        <row r="582">
          <cell r="C582"/>
          <cell r="D582"/>
          <cell r="E582"/>
          <cell r="F582"/>
          <cell r="G582"/>
          <cell r="H582"/>
          <cell r="I582"/>
          <cell r="J582"/>
          <cell r="K582"/>
          <cell r="L582"/>
        </row>
        <row r="583">
          <cell r="C583"/>
          <cell r="D583"/>
          <cell r="E583"/>
          <cell r="F583"/>
          <cell r="G583"/>
          <cell r="H583"/>
          <cell r="I583"/>
          <cell r="J583"/>
          <cell r="K583"/>
          <cell r="L583"/>
        </row>
        <row r="584">
          <cell r="C584"/>
          <cell r="D584"/>
          <cell r="E584"/>
          <cell r="F584"/>
          <cell r="G584"/>
          <cell r="H584"/>
          <cell r="I584"/>
          <cell r="J584"/>
          <cell r="K584"/>
          <cell r="L584"/>
        </row>
        <row r="585">
          <cell r="C585"/>
          <cell r="D585"/>
          <cell r="E585"/>
          <cell r="F585"/>
          <cell r="G585"/>
          <cell r="H585"/>
          <cell r="I585"/>
          <cell r="J585"/>
          <cell r="K585"/>
          <cell r="L585"/>
        </row>
        <row r="586">
          <cell r="C586"/>
          <cell r="D586"/>
          <cell r="E586"/>
          <cell r="F586"/>
          <cell r="G586"/>
          <cell r="H586"/>
          <cell r="I586"/>
          <cell r="J586"/>
          <cell r="K586"/>
          <cell r="L586"/>
        </row>
        <row r="587">
          <cell r="C587"/>
          <cell r="D587"/>
          <cell r="E587"/>
          <cell r="F587"/>
          <cell r="G587"/>
          <cell r="H587"/>
          <cell r="I587"/>
          <cell r="J587"/>
          <cell r="K587"/>
          <cell r="L587"/>
        </row>
        <row r="588">
          <cell r="C588"/>
          <cell r="D588"/>
          <cell r="E588"/>
          <cell r="F588"/>
          <cell r="G588"/>
          <cell r="H588"/>
          <cell r="I588"/>
          <cell r="J588"/>
          <cell r="K588"/>
          <cell r="L588"/>
        </row>
        <row r="589">
          <cell r="C589"/>
          <cell r="D589"/>
          <cell r="E589"/>
          <cell r="F589"/>
          <cell r="G589"/>
          <cell r="H589"/>
          <cell r="I589"/>
          <cell r="J589"/>
          <cell r="K589"/>
          <cell r="L589"/>
        </row>
        <row r="590">
          <cell r="C590"/>
          <cell r="D590"/>
          <cell r="E590"/>
          <cell r="F590"/>
          <cell r="G590"/>
          <cell r="H590"/>
          <cell r="I590"/>
          <cell r="J590"/>
          <cell r="K590"/>
          <cell r="L590"/>
        </row>
        <row r="591">
          <cell r="C591"/>
          <cell r="D591"/>
          <cell r="E591"/>
          <cell r="F591"/>
          <cell r="G591"/>
          <cell r="H591"/>
          <cell r="I591"/>
          <cell r="J591"/>
          <cell r="K591"/>
          <cell r="L591"/>
        </row>
        <row r="592">
          <cell r="C592"/>
          <cell r="D592"/>
          <cell r="E592"/>
          <cell r="F592"/>
          <cell r="G592"/>
          <cell r="H592"/>
          <cell r="I592"/>
          <cell r="J592"/>
          <cell r="K592"/>
          <cell r="L592"/>
        </row>
        <row r="593">
          <cell r="C593"/>
          <cell r="D593"/>
          <cell r="E593"/>
          <cell r="F593"/>
          <cell r="G593"/>
          <cell r="H593"/>
          <cell r="I593"/>
          <cell r="J593"/>
          <cell r="K593"/>
          <cell r="L593"/>
        </row>
        <row r="594">
          <cell r="C594"/>
          <cell r="D594"/>
          <cell r="E594"/>
          <cell r="F594"/>
          <cell r="G594"/>
          <cell r="H594"/>
          <cell r="I594"/>
          <cell r="J594"/>
          <cell r="K594"/>
          <cell r="L594"/>
        </row>
        <row r="595">
          <cell r="C595"/>
          <cell r="D595"/>
          <cell r="E595"/>
          <cell r="F595"/>
          <cell r="G595"/>
          <cell r="H595"/>
          <cell r="I595"/>
          <cell r="J595"/>
          <cell r="K595"/>
          <cell r="L595"/>
        </row>
        <row r="596">
          <cell r="C596"/>
          <cell r="D596"/>
          <cell r="E596"/>
          <cell r="F596"/>
          <cell r="G596"/>
          <cell r="H596"/>
          <cell r="I596"/>
          <cell r="J596"/>
          <cell r="K596"/>
          <cell r="L596"/>
        </row>
        <row r="597">
          <cell r="C597"/>
          <cell r="D597"/>
          <cell r="E597"/>
          <cell r="F597"/>
          <cell r="G597"/>
          <cell r="H597"/>
          <cell r="I597"/>
          <cell r="J597"/>
          <cell r="K597"/>
          <cell r="L597"/>
        </row>
        <row r="598">
          <cell r="C598"/>
          <cell r="D598"/>
          <cell r="E598"/>
          <cell r="F598"/>
          <cell r="G598"/>
          <cell r="H598"/>
          <cell r="I598"/>
          <cell r="J598"/>
          <cell r="K598"/>
          <cell r="L598"/>
        </row>
        <row r="599">
          <cell r="C599"/>
          <cell r="D599"/>
          <cell r="E599"/>
          <cell r="F599"/>
          <cell r="G599"/>
          <cell r="H599"/>
          <cell r="I599"/>
          <cell r="J599"/>
          <cell r="K599"/>
          <cell r="L599"/>
        </row>
        <row r="600">
          <cell r="C600"/>
          <cell r="D600"/>
          <cell r="E600"/>
          <cell r="F600"/>
          <cell r="G600"/>
          <cell r="H600"/>
          <cell r="I600"/>
          <cell r="J600"/>
          <cell r="K600"/>
          <cell r="L600"/>
        </row>
        <row r="601">
          <cell r="C601"/>
          <cell r="D601"/>
          <cell r="E601"/>
          <cell r="F601"/>
          <cell r="G601"/>
          <cell r="H601"/>
          <cell r="I601"/>
          <cell r="J601"/>
          <cell r="K601"/>
          <cell r="L601"/>
        </row>
        <row r="602">
          <cell r="C602"/>
          <cell r="D602"/>
          <cell r="E602"/>
          <cell r="F602"/>
          <cell r="G602"/>
          <cell r="H602"/>
          <cell r="I602"/>
          <cell r="J602"/>
          <cell r="K602"/>
          <cell r="L602"/>
        </row>
        <row r="603">
          <cell r="C603"/>
          <cell r="D603"/>
          <cell r="E603"/>
          <cell r="F603"/>
          <cell r="G603"/>
          <cell r="H603"/>
          <cell r="I603"/>
          <cell r="J603"/>
          <cell r="K603"/>
          <cell r="L603"/>
        </row>
        <row r="604">
          <cell r="C604"/>
          <cell r="D604"/>
          <cell r="E604"/>
          <cell r="F604"/>
          <cell r="G604"/>
          <cell r="H604"/>
          <cell r="I604"/>
          <cell r="J604"/>
          <cell r="K604"/>
          <cell r="L604"/>
        </row>
        <row r="605">
          <cell r="C605"/>
          <cell r="D605"/>
          <cell r="E605"/>
          <cell r="F605"/>
          <cell r="G605"/>
          <cell r="H605"/>
          <cell r="I605"/>
          <cell r="J605"/>
          <cell r="K605"/>
          <cell r="L605"/>
        </row>
        <row r="606">
          <cell r="C606"/>
          <cell r="D606"/>
          <cell r="E606"/>
          <cell r="F606"/>
          <cell r="G606"/>
          <cell r="H606"/>
          <cell r="I606"/>
          <cell r="J606"/>
          <cell r="K606"/>
          <cell r="L606"/>
        </row>
        <row r="607">
          <cell r="C607"/>
          <cell r="D607"/>
          <cell r="E607"/>
          <cell r="F607"/>
          <cell r="G607"/>
          <cell r="H607"/>
          <cell r="I607"/>
          <cell r="J607"/>
          <cell r="K607"/>
          <cell r="L607"/>
        </row>
        <row r="608">
          <cell r="C608"/>
          <cell r="D608"/>
          <cell r="E608"/>
          <cell r="F608"/>
          <cell r="G608"/>
          <cell r="H608"/>
          <cell r="I608"/>
          <cell r="J608"/>
          <cell r="K608"/>
          <cell r="L608"/>
        </row>
        <row r="609">
          <cell r="C609"/>
          <cell r="D609"/>
          <cell r="E609"/>
          <cell r="F609"/>
          <cell r="G609"/>
          <cell r="H609"/>
          <cell r="I609"/>
          <cell r="J609"/>
          <cell r="K609"/>
          <cell r="L609"/>
        </row>
        <row r="610">
          <cell r="C610"/>
          <cell r="D610"/>
          <cell r="E610"/>
          <cell r="F610"/>
          <cell r="G610"/>
          <cell r="H610"/>
          <cell r="I610"/>
          <cell r="J610"/>
          <cell r="K610"/>
          <cell r="L610"/>
        </row>
        <row r="611">
          <cell r="C611"/>
          <cell r="D611"/>
          <cell r="E611"/>
          <cell r="F611"/>
          <cell r="G611"/>
          <cell r="H611"/>
          <cell r="I611"/>
          <cell r="J611"/>
          <cell r="K611"/>
          <cell r="L611"/>
        </row>
        <row r="612">
          <cell r="C612"/>
          <cell r="D612"/>
          <cell r="E612"/>
          <cell r="F612"/>
          <cell r="G612"/>
          <cell r="H612"/>
          <cell r="I612"/>
          <cell r="J612"/>
          <cell r="K612"/>
          <cell r="L612"/>
        </row>
        <row r="613">
          <cell r="C613"/>
          <cell r="D613"/>
          <cell r="E613"/>
          <cell r="F613"/>
          <cell r="G613"/>
          <cell r="H613"/>
          <cell r="I613"/>
          <cell r="J613"/>
          <cell r="K613"/>
          <cell r="L613"/>
        </row>
        <row r="614">
          <cell r="C614"/>
          <cell r="D614"/>
          <cell r="E614"/>
          <cell r="F614"/>
          <cell r="G614"/>
          <cell r="H614"/>
          <cell r="I614"/>
          <cell r="J614"/>
          <cell r="K614"/>
          <cell r="L614"/>
        </row>
        <row r="615">
          <cell r="C615"/>
          <cell r="D615"/>
          <cell r="E615"/>
          <cell r="F615"/>
          <cell r="G615"/>
          <cell r="H615"/>
          <cell r="I615"/>
          <cell r="J615"/>
          <cell r="K615"/>
          <cell r="L615"/>
        </row>
        <row r="616">
          <cell r="C616"/>
          <cell r="D616"/>
          <cell r="E616"/>
          <cell r="F616"/>
          <cell r="G616"/>
          <cell r="H616"/>
          <cell r="I616"/>
          <cell r="J616"/>
          <cell r="K616"/>
          <cell r="L616"/>
        </row>
        <row r="617">
          <cell r="C617"/>
          <cell r="D617"/>
          <cell r="E617"/>
          <cell r="F617"/>
          <cell r="G617"/>
          <cell r="H617"/>
          <cell r="I617"/>
          <cell r="J617"/>
          <cell r="K617"/>
          <cell r="L617"/>
        </row>
        <row r="618">
          <cell r="C618"/>
          <cell r="D618"/>
          <cell r="E618"/>
          <cell r="F618"/>
          <cell r="G618"/>
          <cell r="H618"/>
          <cell r="I618"/>
          <cell r="J618"/>
          <cell r="K618"/>
          <cell r="L618"/>
        </row>
        <row r="619">
          <cell r="C619"/>
          <cell r="D619"/>
          <cell r="E619"/>
          <cell r="F619"/>
          <cell r="G619"/>
          <cell r="H619"/>
          <cell r="I619"/>
          <cell r="J619"/>
          <cell r="K619"/>
          <cell r="L619"/>
        </row>
        <row r="620">
          <cell r="C620"/>
          <cell r="D620"/>
          <cell r="E620"/>
          <cell r="F620"/>
          <cell r="G620"/>
          <cell r="H620"/>
          <cell r="I620"/>
          <cell r="J620"/>
          <cell r="K620"/>
          <cell r="L620"/>
        </row>
        <row r="621">
          <cell r="C621"/>
          <cell r="D621"/>
          <cell r="E621"/>
          <cell r="F621"/>
          <cell r="G621"/>
          <cell r="H621"/>
          <cell r="I621"/>
          <cell r="J621"/>
          <cell r="K621"/>
          <cell r="L621"/>
        </row>
        <row r="622">
          <cell r="C622"/>
          <cell r="D622"/>
          <cell r="E622"/>
          <cell r="F622"/>
          <cell r="G622"/>
          <cell r="H622"/>
          <cell r="I622"/>
          <cell r="J622"/>
          <cell r="K622"/>
          <cell r="L622"/>
        </row>
        <row r="623">
          <cell r="C623"/>
          <cell r="D623"/>
          <cell r="E623"/>
          <cell r="F623"/>
          <cell r="G623"/>
          <cell r="H623"/>
          <cell r="I623"/>
          <cell r="J623"/>
          <cell r="K623"/>
          <cell r="L623"/>
        </row>
        <row r="624">
          <cell r="C624"/>
          <cell r="D624"/>
          <cell r="E624"/>
          <cell r="F624"/>
          <cell r="G624"/>
          <cell r="H624"/>
          <cell r="I624"/>
          <cell r="J624"/>
          <cell r="K624"/>
          <cell r="L624"/>
        </row>
        <row r="625">
          <cell r="C625"/>
          <cell r="D625"/>
          <cell r="E625"/>
          <cell r="F625"/>
          <cell r="G625"/>
          <cell r="H625"/>
          <cell r="I625"/>
          <cell r="J625"/>
          <cell r="K625"/>
          <cell r="L625"/>
        </row>
        <row r="626">
          <cell r="C626"/>
          <cell r="D626"/>
          <cell r="E626"/>
          <cell r="F626"/>
          <cell r="G626"/>
          <cell r="H626"/>
          <cell r="I626"/>
          <cell r="J626"/>
          <cell r="K626"/>
          <cell r="L626"/>
        </row>
        <row r="627">
          <cell r="C627"/>
          <cell r="D627"/>
          <cell r="E627"/>
          <cell r="F627"/>
          <cell r="G627"/>
          <cell r="H627"/>
          <cell r="I627"/>
          <cell r="J627"/>
          <cell r="K627"/>
          <cell r="L627"/>
        </row>
        <row r="628">
          <cell r="C628"/>
          <cell r="D628"/>
          <cell r="E628"/>
          <cell r="F628"/>
          <cell r="G628"/>
          <cell r="H628"/>
          <cell r="I628"/>
          <cell r="J628"/>
          <cell r="K628"/>
          <cell r="L628"/>
        </row>
        <row r="629">
          <cell r="C629"/>
          <cell r="D629"/>
          <cell r="E629"/>
          <cell r="F629"/>
          <cell r="G629"/>
          <cell r="H629"/>
          <cell r="I629"/>
          <cell r="J629"/>
          <cell r="K629"/>
          <cell r="L629"/>
        </row>
        <row r="630">
          <cell r="C630"/>
          <cell r="D630"/>
          <cell r="E630"/>
          <cell r="F630"/>
          <cell r="G630"/>
          <cell r="H630"/>
          <cell r="I630"/>
          <cell r="J630"/>
          <cell r="K630"/>
          <cell r="L630"/>
        </row>
        <row r="631">
          <cell r="C631"/>
          <cell r="D631"/>
          <cell r="E631"/>
          <cell r="F631"/>
          <cell r="G631"/>
          <cell r="H631"/>
          <cell r="I631"/>
          <cell r="J631"/>
          <cell r="K631"/>
          <cell r="L631"/>
        </row>
        <row r="632">
          <cell r="C632"/>
          <cell r="D632"/>
          <cell r="E632"/>
          <cell r="F632"/>
          <cell r="G632"/>
          <cell r="H632"/>
          <cell r="I632"/>
          <cell r="J632"/>
          <cell r="K632"/>
          <cell r="L632"/>
        </row>
        <row r="633">
          <cell r="C633"/>
          <cell r="D633"/>
          <cell r="E633"/>
          <cell r="F633"/>
          <cell r="G633"/>
          <cell r="H633"/>
          <cell r="I633"/>
          <cell r="J633"/>
          <cell r="K633"/>
          <cell r="L633"/>
        </row>
        <row r="634">
          <cell r="C634"/>
          <cell r="D634"/>
          <cell r="E634"/>
          <cell r="F634"/>
          <cell r="G634"/>
          <cell r="H634"/>
          <cell r="I634"/>
          <cell r="J634"/>
          <cell r="K634"/>
          <cell r="L634"/>
        </row>
        <row r="635">
          <cell r="C635"/>
          <cell r="D635"/>
          <cell r="E635"/>
          <cell r="F635"/>
          <cell r="G635"/>
          <cell r="H635"/>
          <cell r="I635"/>
          <cell r="J635"/>
          <cell r="K635"/>
          <cell r="L635"/>
        </row>
        <row r="636">
          <cell r="C636"/>
          <cell r="D636"/>
          <cell r="E636"/>
          <cell r="F636"/>
          <cell r="G636"/>
          <cell r="H636"/>
          <cell r="I636"/>
          <cell r="J636"/>
          <cell r="K636"/>
          <cell r="L636"/>
        </row>
        <row r="637">
          <cell r="C637"/>
          <cell r="D637"/>
          <cell r="E637"/>
          <cell r="F637"/>
          <cell r="G637"/>
          <cell r="H637"/>
          <cell r="I637"/>
          <cell r="J637"/>
          <cell r="K637"/>
          <cell r="L637"/>
        </row>
        <row r="638">
          <cell r="C638"/>
          <cell r="D638"/>
          <cell r="E638"/>
          <cell r="F638"/>
          <cell r="G638"/>
          <cell r="H638"/>
          <cell r="I638"/>
          <cell r="J638"/>
          <cell r="K638"/>
          <cell r="L638"/>
        </row>
        <row r="639">
          <cell r="C639"/>
          <cell r="D639"/>
          <cell r="E639"/>
          <cell r="F639"/>
          <cell r="G639"/>
          <cell r="H639"/>
          <cell r="I639"/>
          <cell r="J639"/>
          <cell r="K639"/>
          <cell r="L639"/>
        </row>
        <row r="640">
          <cell r="C640"/>
          <cell r="D640"/>
          <cell r="E640"/>
          <cell r="F640"/>
          <cell r="G640"/>
          <cell r="H640"/>
          <cell r="I640"/>
          <cell r="J640"/>
          <cell r="K640"/>
          <cell r="L640"/>
        </row>
        <row r="641">
          <cell r="C641"/>
          <cell r="D641"/>
          <cell r="E641"/>
          <cell r="F641"/>
          <cell r="G641"/>
          <cell r="H641"/>
          <cell r="I641"/>
          <cell r="J641"/>
          <cell r="K641"/>
          <cell r="L641"/>
        </row>
        <row r="642">
          <cell r="C642"/>
          <cell r="D642"/>
          <cell r="E642"/>
          <cell r="F642"/>
          <cell r="G642"/>
          <cell r="H642"/>
          <cell r="I642"/>
          <cell r="J642"/>
          <cell r="K642"/>
          <cell r="L642"/>
        </row>
        <row r="643">
          <cell r="C643"/>
          <cell r="D643"/>
          <cell r="E643"/>
          <cell r="F643"/>
          <cell r="G643"/>
          <cell r="H643"/>
          <cell r="I643"/>
          <cell r="J643"/>
          <cell r="K643"/>
          <cell r="L643"/>
        </row>
        <row r="644">
          <cell r="C644"/>
          <cell r="D644"/>
          <cell r="E644"/>
          <cell r="F644"/>
          <cell r="G644"/>
          <cell r="H644"/>
          <cell r="I644"/>
          <cell r="J644"/>
          <cell r="K644"/>
          <cell r="L644"/>
        </row>
        <row r="645">
          <cell r="C645"/>
          <cell r="D645"/>
          <cell r="E645"/>
          <cell r="F645"/>
          <cell r="G645"/>
          <cell r="H645"/>
          <cell r="I645"/>
          <cell r="J645"/>
          <cell r="K645"/>
          <cell r="L645"/>
        </row>
        <row r="646">
          <cell r="C646"/>
          <cell r="D646"/>
          <cell r="E646"/>
          <cell r="F646"/>
          <cell r="G646"/>
          <cell r="H646"/>
          <cell r="I646"/>
          <cell r="J646"/>
          <cell r="K646"/>
          <cell r="L646"/>
        </row>
        <row r="647">
          <cell r="C647"/>
          <cell r="D647"/>
          <cell r="E647"/>
          <cell r="F647"/>
          <cell r="G647"/>
          <cell r="H647"/>
          <cell r="I647"/>
          <cell r="J647"/>
          <cell r="K647"/>
          <cell r="L647"/>
        </row>
        <row r="648">
          <cell r="C648"/>
          <cell r="D648"/>
          <cell r="E648"/>
          <cell r="F648"/>
          <cell r="G648"/>
          <cell r="H648"/>
          <cell r="I648"/>
          <cell r="J648"/>
          <cell r="K648"/>
          <cell r="L648"/>
        </row>
        <row r="649">
          <cell r="C649"/>
          <cell r="D649"/>
          <cell r="E649"/>
          <cell r="F649"/>
          <cell r="G649"/>
          <cell r="H649"/>
          <cell r="I649"/>
          <cell r="J649"/>
          <cell r="K649"/>
          <cell r="L649"/>
        </row>
        <row r="650">
          <cell r="C650"/>
          <cell r="D650"/>
          <cell r="E650"/>
          <cell r="F650"/>
          <cell r="G650"/>
          <cell r="H650"/>
          <cell r="I650"/>
          <cell r="J650"/>
          <cell r="K650"/>
          <cell r="L650"/>
        </row>
        <row r="651">
          <cell r="C651"/>
          <cell r="D651"/>
          <cell r="E651"/>
          <cell r="F651"/>
          <cell r="G651"/>
          <cell r="H651"/>
          <cell r="I651"/>
          <cell r="J651"/>
          <cell r="K651"/>
          <cell r="L651"/>
        </row>
        <row r="652">
          <cell r="C652"/>
          <cell r="D652"/>
          <cell r="E652"/>
          <cell r="F652"/>
          <cell r="G652"/>
          <cell r="H652"/>
          <cell r="I652"/>
          <cell r="J652"/>
          <cell r="K652"/>
          <cell r="L652"/>
        </row>
        <row r="653">
          <cell r="C653"/>
          <cell r="D653"/>
          <cell r="E653"/>
          <cell r="F653"/>
          <cell r="G653"/>
          <cell r="H653"/>
          <cell r="I653"/>
          <cell r="J653"/>
          <cell r="K653"/>
          <cell r="L653"/>
        </row>
        <row r="654">
          <cell r="C654"/>
          <cell r="D654"/>
          <cell r="E654"/>
          <cell r="F654"/>
          <cell r="G654"/>
          <cell r="H654"/>
          <cell r="I654"/>
          <cell r="J654"/>
          <cell r="K654"/>
          <cell r="L654"/>
        </row>
        <row r="655">
          <cell r="C655"/>
          <cell r="D655"/>
          <cell r="E655"/>
          <cell r="F655"/>
          <cell r="G655"/>
          <cell r="H655"/>
          <cell r="I655"/>
          <cell r="J655"/>
          <cell r="K655"/>
          <cell r="L655"/>
        </row>
        <row r="656">
          <cell r="C656"/>
          <cell r="D656"/>
          <cell r="E656"/>
          <cell r="F656"/>
          <cell r="G656"/>
          <cell r="H656"/>
          <cell r="I656"/>
          <cell r="J656"/>
          <cell r="K656"/>
          <cell r="L656"/>
        </row>
        <row r="657">
          <cell r="C657"/>
          <cell r="D657"/>
          <cell r="E657"/>
          <cell r="F657"/>
          <cell r="G657"/>
          <cell r="H657"/>
          <cell r="I657"/>
          <cell r="J657"/>
          <cell r="K657"/>
          <cell r="L657"/>
        </row>
        <row r="658">
          <cell r="C658"/>
          <cell r="D658"/>
          <cell r="E658"/>
          <cell r="F658"/>
          <cell r="G658"/>
          <cell r="H658"/>
          <cell r="I658"/>
          <cell r="J658"/>
          <cell r="K658"/>
          <cell r="L658"/>
        </row>
        <row r="659">
          <cell r="C659"/>
          <cell r="D659"/>
          <cell r="E659"/>
          <cell r="F659"/>
          <cell r="G659"/>
          <cell r="H659"/>
          <cell r="I659"/>
          <cell r="J659"/>
          <cell r="K659"/>
          <cell r="L659"/>
        </row>
        <row r="660">
          <cell r="C660"/>
          <cell r="D660"/>
          <cell r="E660"/>
          <cell r="F660"/>
          <cell r="G660"/>
          <cell r="H660"/>
          <cell r="I660"/>
          <cell r="J660"/>
          <cell r="K660"/>
          <cell r="L660"/>
        </row>
        <row r="661">
          <cell r="C661"/>
          <cell r="D661"/>
          <cell r="E661"/>
          <cell r="F661"/>
          <cell r="G661"/>
          <cell r="H661"/>
          <cell r="I661"/>
          <cell r="J661"/>
          <cell r="K661"/>
          <cell r="L661"/>
        </row>
        <row r="662">
          <cell r="C662"/>
          <cell r="D662"/>
          <cell r="E662"/>
          <cell r="F662"/>
          <cell r="G662"/>
          <cell r="H662"/>
          <cell r="I662"/>
          <cell r="J662"/>
          <cell r="K662"/>
          <cell r="L662"/>
        </row>
        <row r="663">
          <cell r="C663"/>
          <cell r="D663"/>
          <cell r="E663"/>
          <cell r="F663"/>
          <cell r="G663"/>
          <cell r="H663"/>
          <cell r="I663"/>
          <cell r="J663"/>
          <cell r="K663"/>
          <cell r="L663"/>
        </row>
        <row r="664">
          <cell r="C664"/>
          <cell r="D664"/>
          <cell r="E664"/>
          <cell r="F664"/>
          <cell r="G664"/>
          <cell r="H664"/>
          <cell r="I664"/>
          <cell r="J664"/>
          <cell r="K664"/>
          <cell r="L664"/>
        </row>
        <row r="665">
          <cell r="C665"/>
          <cell r="D665"/>
          <cell r="E665"/>
          <cell r="F665"/>
          <cell r="G665"/>
          <cell r="H665"/>
          <cell r="I665"/>
          <cell r="J665"/>
          <cell r="K665"/>
          <cell r="L665"/>
        </row>
        <row r="666">
          <cell r="C666"/>
          <cell r="D666"/>
          <cell r="E666"/>
          <cell r="F666"/>
          <cell r="G666"/>
          <cell r="H666"/>
          <cell r="I666"/>
          <cell r="J666"/>
          <cell r="K666"/>
          <cell r="L666"/>
        </row>
        <row r="667">
          <cell r="C667"/>
          <cell r="D667"/>
          <cell r="E667"/>
          <cell r="F667"/>
          <cell r="G667"/>
          <cell r="H667"/>
          <cell r="I667"/>
          <cell r="J667"/>
          <cell r="K667"/>
          <cell r="L667"/>
        </row>
        <row r="668">
          <cell r="C668"/>
          <cell r="D668"/>
          <cell r="E668"/>
          <cell r="F668"/>
          <cell r="G668"/>
          <cell r="H668"/>
          <cell r="I668"/>
          <cell r="J668"/>
          <cell r="K668"/>
          <cell r="L668"/>
        </row>
        <row r="669">
          <cell r="C669"/>
          <cell r="D669"/>
          <cell r="E669"/>
          <cell r="F669"/>
          <cell r="G669"/>
          <cell r="H669"/>
          <cell r="I669"/>
          <cell r="J669"/>
          <cell r="K669"/>
          <cell r="L669"/>
        </row>
        <row r="670">
          <cell r="C670"/>
          <cell r="D670"/>
          <cell r="E670"/>
          <cell r="F670"/>
          <cell r="G670"/>
          <cell r="H670"/>
          <cell r="I670"/>
          <cell r="J670"/>
          <cell r="K670"/>
          <cell r="L670"/>
        </row>
        <row r="671">
          <cell r="C671"/>
          <cell r="D671"/>
          <cell r="E671"/>
          <cell r="F671"/>
          <cell r="G671"/>
          <cell r="H671"/>
          <cell r="I671"/>
          <cell r="J671"/>
          <cell r="K671"/>
          <cell r="L671"/>
        </row>
        <row r="672">
          <cell r="C672"/>
          <cell r="D672"/>
          <cell r="E672"/>
          <cell r="F672"/>
          <cell r="G672"/>
          <cell r="H672"/>
          <cell r="I672"/>
          <cell r="J672"/>
          <cell r="K672"/>
          <cell r="L672"/>
        </row>
        <row r="673">
          <cell r="C673"/>
          <cell r="D673"/>
          <cell r="E673"/>
          <cell r="F673"/>
          <cell r="G673"/>
          <cell r="H673"/>
          <cell r="I673"/>
          <cell r="J673"/>
          <cell r="K673"/>
          <cell r="L673"/>
        </row>
        <row r="674">
          <cell r="C674"/>
          <cell r="D674"/>
          <cell r="E674"/>
          <cell r="F674"/>
          <cell r="G674"/>
          <cell r="H674"/>
          <cell r="I674"/>
          <cell r="J674"/>
          <cell r="K674"/>
          <cell r="L674"/>
        </row>
        <row r="675">
          <cell r="C675"/>
          <cell r="D675"/>
          <cell r="E675"/>
          <cell r="F675"/>
          <cell r="G675"/>
          <cell r="H675"/>
          <cell r="I675"/>
          <cell r="J675"/>
          <cell r="K675"/>
          <cell r="L675"/>
        </row>
        <row r="676">
          <cell r="C676"/>
          <cell r="D676"/>
          <cell r="E676"/>
          <cell r="F676"/>
          <cell r="G676"/>
          <cell r="H676"/>
          <cell r="I676"/>
          <cell r="J676"/>
          <cell r="K676"/>
          <cell r="L676"/>
        </row>
        <row r="677">
          <cell r="C677"/>
          <cell r="D677"/>
          <cell r="E677"/>
          <cell r="F677"/>
          <cell r="G677"/>
          <cell r="H677"/>
          <cell r="I677"/>
          <cell r="J677"/>
          <cell r="K677"/>
          <cell r="L677"/>
        </row>
        <row r="678">
          <cell r="C678"/>
          <cell r="D678"/>
          <cell r="E678"/>
          <cell r="F678"/>
          <cell r="G678"/>
          <cell r="H678"/>
          <cell r="I678"/>
          <cell r="J678"/>
          <cell r="K678"/>
          <cell r="L678"/>
        </row>
        <row r="679">
          <cell r="C679"/>
          <cell r="D679"/>
          <cell r="E679"/>
          <cell r="F679"/>
          <cell r="G679"/>
          <cell r="H679"/>
          <cell r="I679"/>
          <cell r="J679"/>
          <cell r="K679"/>
          <cell r="L679"/>
        </row>
        <row r="680">
          <cell r="C680"/>
          <cell r="D680"/>
          <cell r="E680"/>
          <cell r="F680"/>
          <cell r="G680"/>
          <cell r="H680"/>
          <cell r="I680"/>
          <cell r="J680"/>
          <cell r="K680"/>
          <cell r="L680"/>
        </row>
        <row r="681">
          <cell r="C681"/>
          <cell r="D681"/>
          <cell r="E681"/>
          <cell r="F681"/>
          <cell r="G681"/>
          <cell r="H681"/>
          <cell r="I681"/>
          <cell r="J681"/>
          <cell r="K681"/>
          <cell r="L681"/>
        </row>
        <row r="682">
          <cell r="C682"/>
          <cell r="D682"/>
          <cell r="E682"/>
          <cell r="F682"/>
          <cell r="G682"/>
          <cell r="H682"/>
          <cell r="I682"/>
          <cell r="J682"/>
          <cell r="K682"/>
          <cell r="L682"/>
        </row>
        <row r="683">
          <cell r="C683"/>
          <cell r="D683"/>
          <cell r="E683"/>
          <cell r="F683"/>
          <cell r="G683"/>
          <cell r="H683"/>
          <cell r="I683"/>
          <cell r="J683"/>
          <cell r="K683"/>
          <cell r="L683"/>
        </row>
        <row r="684">
          <cell r="C684"/>
          <cell r="D684"/>
          <cell r="E684"/>
          <cell r="F684"/>
          <cell r="G684"/>
          <cell r="H684"/>
          <cell r="I684"/>
          <cell r="J684"/>
          <cell r="K684"/>
          <cell r="L684"/>
        </row>
        <row r="685">
          <cell r="C685"/>
          <cell r="D685"/>
          <cell r="E685"/>
          <cell r="F685"/>
          <cell r="G685"/>
          <cell r="H685"/>
          <cell r="I685"/>
          <cell r="J685"/>
          <cell r="K685"/>
          <cell r="L685"/>
        </row>
        <row r="686">
          <cell r="C686"/>
          <cell r="D686"/>
          <cell r="E686"/>
          <cell r="F686"/>
          <cell r="G686"/>
          <cell r="H686"/>
          <cell r="I686"/>
          <cell r="J686"/>
          <cell r="K686"/>
          <cell r="L686"/>
        </row>
        <row r="687">
          <cell r="C687"/>
          <cell r="D687"/>
          <cell r="E687"/>
          <cell r="F687"/>
          <cell r="G687"/>
          <cell r="H687"/>
          <cell r="I687"/>
          <cell r="J687"/>
          <cell r="K687"/>
          <cell r="L687"/>
        </row>
        <row r="688">
          <cell r="C688"/>
          <cell r="D688"/>
          <cell r="E688"/>
          <cell r="F688"/>
          <cell r="G688"/>
          <cell r="H688"/>
          <cell r="I688"/>
          <cell r="J688"/>
          <cell r="K688"/>
          <cell r="L688"/>
        </row>
        <row r="689">
          <cell r="C689"/>
          <cell r="D689"/>
          <cell r="E689"/>
          <cell r="F689"/>
          <cell r="G689"/>
          <cell r="H689"/>
          <cell r="I689"/>
          <cell r="J689"/>
          <cell r="K689"/>
          <cell r="L689"/>
        </row>
        <row r="690">
          <cell r="C690"/>
          <cell r="D690"/>
          <cell r="E690"/>
          <cell r="F690"/>
          <cell r="G690"/>
          <cell r="H690"/>
          <cell r="I690"/>
          <cell r="J690"/>
          <cell r="K690"/>
          <cell r="L690"/>
        </row>
        <row r="691">
          <cell r="C691"/>
          <cell r="D691"/>
          <cell r="E691"/>
          <cell r="F691"/>
          <cell r="G691"/>
          <cell r="H691"/>
          <cell r="I691"/>
          <cell r="J691"/>
          <cell r="K691"/>
          <cell r="L691"/>
        </row>
        <row r="692">
          <cell r="C692"/>
          <cell r="D692"/>
          <cell r="E692"/>
          <cell r="F692"/>
          <cell r="G692"/>
          <cell r="H692"/>
          <cell r="I692"/>
          <cell r="J692"/>
          <cell r="K692"/>
          <cell r="L692"/>
        </row>
        <row r="693">
          <cell r="C693"/>
          <cell r="D693"/>
          <cell r="E693"/>
          <cell r="F693"/>
          <cell r="G693"/>
          <cell r="H693"/>
          <cell r="I693"/>
          <cell r="J693"/>
          <cell r="K693"/>
          <cell r="L693"/>
        </row>
        <row r="694">
          <cell r="C694"/>
          <cell r="D694"/>
          <cell r="E694"/>
          <cell r="F694"/>
          <cell r="G694"/>
          <cell r="H694"/>
          <cell r="I694"/>
          <cell r="J694"/>
          <cell r="K694"/>
          <cell r="L694"/>
        </row>
        <row r="695">
          <cell r="C695"/>
          <cell r="D695"/>
          <cell r="E695"/>
          <cell r="F695"/>
          <cell r="G695"/>
          <cell r="H695"/>
          <cell r="I695"/>
          <cell r="J695"/>
          <cell r="K695"/>
          <cell r="L695"/>
        </row>
        <row r="696">
          <cell r="C696"/>
          <cell r="D696"/>
          <cell r="E696"/>
          <cell r="F696"/>
          <cell r="G696"/>
          <cell r="H696"/>
          <cell r="I696"/>
          <cell r="J696"/>
          <cell r="K696"/>
          <cell r="L696"/>
        </row>
        <row r="697">
          <cell r="C697"/>
          <cell r="D697"/>
          <cell r="E697"/>
          <cell r="F697"/>
          <cell r="G697"/>
          <cell r="H697"/>
          <cell r="I697"/>
          <cell r="J697"/>
          <cell r="K697"/>
          <cell r="L697"/>
        </row>
        <row r="698">
          <cell r="C698"/>
          <cell r="D698"/>
          <cell r="E698"/>
          <cell r="F698"/>
          <cell r="G698"/>
          <cell r="H698"/>
          <cell r="I698"/>
          <cell r="J698"/>
          <cell r="K698"/>
          <cell r="L698"/>
        </row>
        <row r="699">
          <cell r="C699"/>
          <cell r="D699"/>
          <cell r="E699"/>
          <cell r="F699"/>
          <cell r="G699"/>
          <cell r="H699"/>
          <cell r="I699"/>
          <cell r="J699"/>
          <cell r="K699"/>
          <cell r="L699"/>
        </row>
        <row r="700">
          <cell r="C700"/>
          <cell r="D700"/>
          <cell r="E700"/>
          <cell r="F700"/>
          <cell r="G700"/>
          <cell r="H700"/>
          <cell r="I700"/>
          <cell r="J700"/>
          <cell r="K700"/>
          <cell r="L700"/>
        </row>
        <row r="701">
          <cell r="C701"/>
          <cell r="D701"/>
          <cell r="E701"/>
          <cell r="F701"/>
          <cell r="G701"/>
          <cell r="H701"/>
          <cell r="I701"/>
          <cell r="J701"/>
          <cell r="K701"/>
          <cell r="L701"/>
        </row>
        <row r="702">
          <cell r="C702"/>
          <cell r="D702"/>
          <cell r="E702"/>
          <cell r="F702"/>
          <cell r="G702"/>
          <cell r="H702"/>
          <cell r="I702"/>
          <cell r="J702"/>
          <cell r="K702"/>
          <cell r="L702"/>
        </row>
        <row r="703">
          <cell r="C703"/>
          <cell r="D703"/>
          <cell r="E703"/>
          <cell r="F703"/>
          <cell r="G703"/>
          <cell r="H703"/>
          <cell r="I703"/>
          <cell r="J703"/>
          <cell r="K703"/>
          <cell r="L703"/>
        </row>
        <row r="704">
          <cell r="C704"/>
          <cell r="D704"/>
          <cell r="E704"/>
          <cell r="F704"/>
          <cell r="G704"/>
          <cell r="H704"/>
          <cell r="I704"/>
          <cell r="J704"/>
          <cell r="K704"/>
          <cell r="L704"/>
        </row>
        <row r="705">
          <cell r="C705"/>
          <cell r="D705"/>
          <cell r="E705"/>
          <cell r="F705"/>
          <cell r="G705"/>
          <cell r="H705"/>
          <cell r="I705"/>
          <cell r="J705"/>
          <cell r="K705"/>
          <cell r="L705"/>
        </row>
        <row r="706">
          <cell r="C706"/>
          <cell r="D706"/>
          <cell r="E706"/>
          <cell r="F706"/>
          <cell r="G706"/>
          <cell r="H706"/>
          <cell r="I706"/>
          <cell r="J706"/>
          <cell r="K706"/>
          <cell r="L706"/>
        </row>
        <row r="707">
          <cell r="C707"/>
          <cell r="D707"/>
          <cell r="E707"/>
          <cell r="F707"/>
          <cell r="G707"/>
          <cell r="H707"/>
          <cell r="I707"/>
          <cell r="J707"/>
          <cell r="K707"/>
          <cell r="L707"/>
        </row>
        <row r="708">
          <cell r="C708"/>
          <cell r="D708"/>
          <cell r="E708"/>
          <cell r="F708"/>
          <cell r="G708"/>
          <cell r="H708"/>
          <cell r="I708"/>
          <cell r="J708"/>
          <cell r="K708"/>
          <cell r="L708"/>
        </row>
        <row r="709">
          <cell r="C709"/>
          <cell r="D709"/>
          <cell r="E709"/>
          <cell r="F709"/>
          <cell r="G709"/>
          <cell r="H709"/>
          <cell r="I709"/>
          <cell r="J709"/>
          <cell r="K709"/>
          <cell r="L709"/>
        </row>
        <row r="710">
          <cell r="C710"/>
          <cell r="D710"/>
          <cell r="E710"/>
          <cell r="F710"/>
          <cell r="G710"/>
          <cell r="H710"/>
          <cell r="I710"/>
          <cell r="J710"/>
          <cell r="K710"/>
          <cell r="L710"/>
        </row>
        <row r="711">
          <cell r="C711"/>
          <cell r="D711"/>
          <cell r="E711"/>
          <cell r="F711"/>
          <cell r="G711"/>
          <cell r="H711"/>
          <cell r="I711"/>
          <cell r="J711"/>
          <cell r="K711"/>
          <cell r="L711"/>
        </row>
        <row r="712">
          <cell r="C712"/>
          <cell r="D712"/>
          <cell r="E712"/>
          <cell r="F712"/>
          <cell r="G712"/>
          <cell r="H712"/>
          <cell r="I712"/>
          <cell r="J712"/>
          <cell r="K712"/>
          <cell r="L712"/>
        </row>
        <row r="713">
          <cell r="C713"/>
          <cell r="D713"/>
          <cell r="E713"/>
          <cell r="F713"/>
          <cell r="G713"/>
          <cell r="H713"/>
          <cell r="I713"/>
          <cell r="J713"/>
          <cell r="K713"/>
          <cell r="L713"/>
        </row>
        <row r="714">
          <cell r="C714"/>
          <cell r="D714"/>
          <cell r="E714"/>
          <cell r="F714"/>
          <cell r="G714"/>
          <cell r="H714"/>
          <cell r="I714"/>
          <cell r="J714"/>
          <cell r="K714"/>
          <cell r="L714"/>
        </row>
        <row r="715">
          <cell r="C715"/>
          <cell r="D715"/>
          <cell r="E715"/>
          <cell r="F715"/>
          <cell r="G715"/>
          <cell r="H715"/>
          <cell r="I715"/>
          <cell r="J715"/>
          <cell r="K715"/>
          <cell r="L715"/>
        </row>
        <row r="716">
          <cell r="C716"/>
          <cell r="D716"/>
          <cell r="E716"/>
          <cell r="F716"/>
          <cell r="G716"/>
          <cell r="H716"/>
          <cell r="I716"/>
          <cell r="J716"/>
          <cell r="K716"/>
          <cell r="L716"/>
        </row>
        <row r="717">
          <cell r="C717"/>
          <cell r="D717"/>
          <cell r="E717"/>
          <cell r="F717"/>
          <cell r="G717"/>
          <cell r="H717"/>
          <cell r="I717"/>
          <cell r="J717"/>
          <cell r="K717"/>
          <cell r="L717"/>
        </row>
        <row r="718">
          <cell r="C718"/>
          <cell r="D718"/>
          <cell r="E718"/>
          <cell r="F718"/>
          <cell r="G718"/>
          <cell r="H718"/>
          <cell r="I718"/>
          <cell r="J718"/>
          <cell r="K718"/>
          <cell r="L718"/>
        </row>
        <row r="719">
          <cell r="C719"/>
          <cell r="D719"/>
          <cell r="E719"/>
          <cell r="F719"/>
          <cell r="G719"/>
          <cell r="H719"/>
          <cell r="I719"/>
          <cell r="J719"/>
          <cell r="K719"/>
          <cell r="L719"/>
        </row>
        <row r="720">
          <cell r="C720"/>
          <cell r="D720"/>
          <cell r="E720"/>
          <cell r="F720"/>
          <cell r="G720"/>
          <cell r="H720"/>
          <cell r="I720"/>
          <cell r="J720"/>
          <cell r="K720"/>
          <cell r="L720"/>
        </row>
        <row r="721">
          <cell r="C721"/>
          <cell r="D721"/>
          <cell r="E721"/>
          <cell r="F721"/>
          <cell r="G721"/>
          <cell r="H721"/>
          <cell r="I721"/>
          <cell r="J721"/>
          <cell r="K721"/>
          <cell r="L721"/>
        </row>
        <row r="722">
          <cell r="C722"/>
          <cell r="D722"/>
          <cell r="E722"/>
          <cell r="F722"/>
          <cell r="G722"/>
          <cell r="H722"/>
          <cell r="I722"/>
          <cell r="J722"/>
          <cell r="K722"/>
          <cell r="L722"/>
        </row>
        <row r="723">
          <cell r="C723"/>
          <cell r="D723"/>
          <cell r="E723"/>
          <cell r="F723"/>
          <cell r="G723"/>
          <cell r="H723"/>
          <cell r="I723"/>
          <cell r="J723"/>
          <cell r="K723"/>
          <cell r="L723"/>
        </row>
        <row r="724">
          <cell r="C724"/>
          <cell r="D724"/>
          <cell r="E724"/>
          <cell r="F724"/>
          <cell r="G724"/>
          <cell r="H724"/>
          <cell r="I724"/>
          <cell r="J724"/>
          <cell r="K724"/>
          <cell r="L724"/>
        </row>
        <row r="725">
          <cell r="C725"/>
          <cell r="D725"/>
          <cell r="E725"/>
          <cell r="F725"/>
          <cell r="G725"/>
          <cell r="H725"/>
          <cell r="I725"/>
          <cell r="J725"/>
          <cell r="K725"/>
          <cell r="L725"/>
        </row>
        <row r="726"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</row>
        <row r="727"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</row>
        <row r="728">
          <cell r="C728"/>
          <cell r="D728"/>
          <cell r="E728"/>
          <cell r="F728"/>
          <cell r="G728"/>
          <cell r="H728"/>
          <cell r="I728"/>
          <cell r="J728"/>
          <cell r="K728"/>
          <cell r="L728"/>
        </row>
        <row r="729">
          <cell r="C729"/>
          <cell r="D729"/>
          <cell r="E729"/>
          <cell r="F729"/>
          <cell r="G729"/>
          <cell r="H729"/>
          <cell r="I729"/>
          <cell r="J729"/>
          <cell r="K729"/>
          <cell r="L729"/>
        </row>
        <row r="730">
          <cell r="C730"/>
          <cell r="D730"/>
          <cell r="E730"/>
          <cell r="F730"/>
          <cell r="G730"/>
          <cell r="H730"/>
          <cell r="I730"/>
          <cell r="J730"/>
          <cell r="K730"/>
          <cell r="L730"/>
        </row>
        <row r="731">
          <cell r="C731"/>
          <cell r="D731"/>
          <cell r="E731"/>
          <cell r="F731"/>
          <cell r="G731"/>
          <cell r="H731"/>
          <cell r="I731"/>
          <cell r="J731"/>
          <cell r="K731"/>
          <cell r="L731"/>
        </row>
        <row r="732">
          <cell r="C732"/>
          <cell r="D732"/>
          <cell r="E732"/>
          <cell r="F732"/>
          <cell r="G732"/>
          <cell r="H732"/>
          <cell r="I732"/>
          <cell r="J732"/>
          <cell r="K732"/>
          <cell r="L732"/>
        </row>
        <row r="733">
          <cell r="C733"/>
          <cell r="D733"/>
          <cell r="E733"/>
          <cell r="F733"/>
          <cell r="G733"/>
          <cell r="H733"/>
          <cell r="I733"/>
          <cell r="J733"/>
          <cell r="K733"/>
          <cell r="L733"/>
        </row>
        <row r="734">
          <cell r="C734"/>
          <cell r="D734"/>
          <cell r="E734"/>
          <cell r="F734"/>
          <cell r="G734"/>
          <cell r="H734"/>
          <cell r="I734"/>
          <cell r="J734"/>
          <cell r="K734"/>
          <cell r="L734"/>
        </row>
        <row r="735">
          <cell r="C735"/>
          <cell r="D735"/>
          <cell r="E735"/>
          <cell r="F735"/>
          <cell r="G735"/>
          <cell r="H735"/>
          <cell r="I735"/>
          <cell r="J735"/>
          <cell r="K735"/>
          <cell r="L735"/>
        </row>
        <row r="736">
          <cell r="C736"/>
          <cell r="D736"/>
          <cell r="E736"/>
          <cell r="F736"/>
          <cell r="G736"/>
          <cell r="H736"/>
          <cell r="I736"/>
          <cell r="J736"/>
          <cell r="K736"/>
          <cell r="L736"/>
        </row>
        <row r="737">
          <cell r="C737"/>
          <cell r="D737"/>
          <cell r="E737"/>
          <cell r="F737"/>
          <cell r="G737"/>
          <cell r="H737"/>
          <cell r="I737"/>
          <cell r="J737"/>
          <cell r="K737"/>
          <cell r="L737"/>
        </row>
        <row r="738">
          <cell r="C738"/>
          <cell r="D738"/>
          <cell r="E738"/>
          <cell r="F738"/>
          <cell r="G738"/>
          <cell r="H738"/>
          <cell r="I738"/>
          <cell r="J738"/>
          <cell r="K738"/>
          <cell r="L738"/>
        </row>
        <row r="739">
          <cell r="C739"/>
          <cell r="D739"/>
          <cell r="E739"/>
          <cell r="F739"/>
          <cell r="G739"/>
          <cell r="H739"/>
          <cell r="I739"/>
          <cell r="J739"/>
          <cell r="K739"/>
          <cell r="L739"/>
        </row>
        <row r="740">
          <cell r="C740"/>
          <cell r="D740"/>
          <cell r="E740"/>
          <cell r="F740"/>
          <cell r="G740"/>
          <cell r="H740"/>
          <cell r="I740"/>
          <cell r="J740"/>
          <cell r="K740"/>
          <cell r="L740"/>
        </row>
        <row r="741">
          <cell r="C741"/>
          <cell r="D741"/>
          <cell r="E741"/>
          <cell r="F741"/>
          <cell r="G741"/>
          <cell r="H741"/>
          <cell r="I741"/>
          <cell r="J741"/>
          <cell r="K741"/>
          <cell r="L741"/>
        </row>
        <row r="742">
          <cell r="C742"/>
          <cell r="D742"/>
          <cell r="E742"/>
          <cell r="F742"/>
          <cell r="G742"/>
          <cell r="H742"/>
          <cell r="I742"/>
          <cell r="J742"/>
          <cell r="K742"/>
          <cell r="L742"/>
        </row>
        <row r="743">
          <cell r="C743"/>
          <cell r="D743"/>
          <cell r="E743"/>
          <cell r="F743"/>
          <cell r="G743"/>
          <cell r="H743"/>
          <cell r="I743"/>
          <cell r="J743"/>
          <cell r="K743"/>
          <cell r="L743"/>
        </row>
        <row r="744">
          <cell r="C744"/>
          <cell r="D744"/>
          <cell r="E744"/>
          <cell r="F744"/>
          <cell r="G744"/>
          <cell r="H744"/>
          <cell r="I744"/>
          <cell r="J744"/>
          <cell r="K744"/>
          <cell r="L744"/>
        </row>
        <row r="745">
          <cell r="C745"/>
          <cell r="D745"/>
          <cell r="E745"/>
          <cell r="F745"/>
          <cell r="G745"/>
          <cell r="H745"/>
          <cell r="I745"/>
          <cell r="J745"/>
          <cell r="K745"/>
          <cell r="L745"/>
        </row>
        <row r="746">
          <cell r="C746"/>
          <cell r="D746"/>
          <cell r="E746"/>
          <cell r="F746"/>
          <cell r="G746"/>
          <cell r="H746"/>
          <cell r="I746"/>
          <cell r="J746"/>
          <cell r="K746"/>
          <cell r="L746"/>
        </row>
        <row r="747"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</row>
        <row r="748"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</row>
        <row r="749"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</row>
        <row r="750">
          <cell r="C750"/>
          <cell r="D750"/>
          <cell r="E750"/>
          <cell r="F750"/>
          <cell r="G750"/>
          <cell r="H750"/>
          <cell r="I750"/>
          <cell r="J750"/>
          <cell r="K750"/>
          <cell r="L750"/>
        </row>
        <row r="751"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</row>
        <row r="752"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</row>
        <row r="753">
          <cell r="C753"/>
          <cell r="D753"/>
          <cell r="E753"/>
          <cell r="F753"/>
          <cell r="G753"/>
          <cell r="H753"/>
          <cell r="I753"/>
          <cell r="J753"/>
          <cell r="K753"/>
          <cell r="L753"/>
        </row>
        <row r="754">
          <cell r="C754"/>
          <cell r="D754"/>
          <cell r="E754"/>
          <cell r="F754"/>
          <cell r="G754"/>
          <cell r="H754"/>
          <cell r="I754"/>
          <cell r="J754"/>
          <cell r="K754"/>
          <cell r="L754"/>
        </row>
        <row r="755">
          <cell r="C755"/>
          <cell r="D755"/>
          <cell r="E755"/>
          <cell r="F755"/>
          <cell r="G755"/>
          <cell r="H755"/>
          <cell r="I755"/>
          <cell r="J755"/>
          <cell r="K755"/>
          <cell r="L755"/>
        </row>
        <row r="756">
          <cell r="C756"/>
          <cell r="D756"/>
          <cell r="E756"/>
          <cell r="F756"/>
          <cell r="G756"/>
          <cell r="H756"/>
          <cell r="I756"/>
          <cell r="J756"/>
          <cell r="K756"/>
          <cell r="L756"/>
        </row>
        <row r="757">
          <cell r="C757"/>
          <cell r="D757"/>
          <cell r="E757"/>
          <cell r="F757"/>
          <cell r="G757"/>
          <cell r="H757"/>
          <cell r="I757"/>
          <cell r="J757"/>
          <cell r="K757"/>
          <cell r="L757"/>
        </row>
        <row r="758">
          <cell r="C758"/>
          <cell r="D758"/>
          <cell r="E758"/>
          <cell r="F758"/>
          <cell r="G758"/>
          <cell r="H758"/>
          <cell r="I758"/>
          <cell r="J758"/>
          <cell r="K758"/>
          <cell r="L758"/>
        </row>
        <row r="759">
          <cell r="C759"/>
          <cell r="D759"/>
          <cell r="E759"/>
          <cell r="F759"/>
          <cell r="G759"/>
          <cell r="H759"/>
          <cell r="I759"/>
          <cell r="J759"/>
          <cell r="K759"/>
          <cell r="L759"/>
        </row>
        <row r="760">
          <cell r="C760"/>
          <cell r="D760"/>
          <cell r="E760"/>
          <cell r="F760"/>
          <cell r="G760"/>
          <cell r="H760"/>
          <cell r="I760"/>
          <cell r="J760"/>
          <cell r="K760"/>
          <cell r="L760"/>
        </row>
        <row r="761">
          <cell r="C761"/>
          <cell r="D761"/>
          <cell r="E761"/>
          <cell r="F761"/>
          <cell r="G761"/>
          <cell r="H761"/>
          <cell r="I761"/>
          <cell r="J761"/>
          <cell r="K761"/>
          <cell r="L761"/>
        </row>
        <row r="762">
          <cell r="C762"/>
          <cell r="D762"/>
          <cell r="E762"/>
          <cell r="F762"/>
          <cell r="G762"/>
          <cell r="H762"/>
          <cell r="I762"/>
          <cell r="J762"/>
          <cell r="K762"/>
          <cell r="L762"/>
        </row>
        <row r="763">
          <cell r="C763"/>
          <cell r="D763"/>
          <cell r="E763"/>
          <cell r="F763"/>
          <cell r="G763"/>
          <cell r="H763"/>
          <cell r="I763"/>
          <cell r="J763"/>
          <cell r="K763"/>
          <cell r="L763"/>
        </row>
        <row r="764">
          <cell r="C764"/>
          <cell r="D764"/>
          <cell r="E764"/>
          <cell r="F764"/>
          <cell r="G764"/>
          <cell r="H764"/>
          <cell r="I764"/>
          <cell r="J764"/>
          <cell r="K764"/>
          <cell r="L764"/>
        </row>
        <row r="765">
          <cell r="C765"/>
          <cell r="D765"/>
          <cell r="E765"/>
          <cell r="F765"/>
          <cell r="G765"/>
          <cell r="H765"/>
          <cell r="I765"/>
          <cell r="J765"/>
          <cell r="K765"/>
          <cell r="L765"/>
        </row>
        <row r="766">
          <cell r="C766"/>
          <cell r="D766"/>
          <cell r="E766"/>
          <cell r="F766"/>
          <cell r="G766"/>
          <cell r="H766"/>
          <cell r="I766"/>
          <cell r="J766"/>
          <cell r="K766"/>
          <cell r="L766"/>
        </row>
        <row r="767">
          <cell r="C767"/>
          <cell r="D767"/>
          <cell r="E767"/>
          <cell r="F767"/>
          <cell r="G767"/>
          <cell r="H767"/>
          <cell r="I767"/>
          <cell r="J767"/>
          <cell r="K767"/>
          <cell r="L767"/>
        </row>
        <row r="768">
          <cell r="C768"/>
          <cell r="D768"/>
          <cell r="E768"/>
          <cell r="F768"/>
          <cell r="G768"/>
          <cell r="H768"/>
          <cell r="I768"/>
          <cell r="J768"/>
          <cell r="K768"/>
          <cell r="L768"/>
        </row>
        <row r="769">
          <cell r="C769"/>
          <cell r="D769"/>
          <cell r="E769"/>
          <cell r="F769"/>
          <cell r="G769"/>
          <cell r="H769"/>
          <cell r="I769"/>
          <cell r="J769"/>
          <cell r="K769"/>
          <cell r="L769"/>
        </row>
        <row r="770">
          <cell r="C770"/>
          <cell r="D770"/>
          <cell r="E770"/>
          <cell r="F770"/>
          <cell r="G770"/>
          <cell r="H770"/>
          <cell r="I770"/>
          <cell r="J770"/>
          <cell r="K770"/>
          <cell r="L770"/>
        </row>
        <row r="771">
          <cell r="C771"/>
          <cell r="D771"/>
          <cell r="E771"/>
          <cell r="F771"/>
          <cell r="G771"/>
          <cell r="H771"/>
          <cell r="I771"/>
          <cell r="J771"/>
          <cell r="K771"/>
          <cell r="L771"/>
        </row>
        <row r="772">
          <cell r="C772"/>
          <cell r="D772"/>
          <cell r="E772"/>
          <cell r="F772"/>
          <cell r="G772"/>
          <cell r="H772"/>
          <cell r="I772"/>
          <cell r="J772"/>
          <cell r="K772"/>
          <cell r="L772"/>
        </row>
        <row r="773">
          <cell r="C773"/>
          <cell r="D773"/>
          <cell r="E773"/>
          <cell r="F773"/>
          <cell r="G773"/>
          <cell r="H773"/>
          <cell r="I773"/>
          <cell r="J773"/>
          <cell r="K773"/>
          <cell r="L773"/>
        </row>
        <row r="774">
          <cell r="C774"/>
          <cell r="D774"/>
          <cell r="E774"/>
          <cell r="F774"/>
          <cell r="G774"/>
          <cell r="H774"/>
          <cell r="I774"/>
          <cell r="J774"/>
          <cell r="K774"/>
          <cell r="L774"/>
        </row>
        <row r="775">
          <cell r="C775"/>
          <cell r="D775"/>
          <cell r="E775"/>
          <cell r="F775"/>
          <cell r="G775"/>
          <cell r="H775"/>
          <cell r="I775"/>
          <cell r="J775"/>
          <cell r="K775"/>
          <cell r="L775"/>
        </row>
        <row r="776">
          <cell r="C776"/>
          <cell r="D776"/>
          <cell r="E776"/>
          <cell r="F776"/>
          <cell r="G776"/>
          <cell r="H776"/>
          <cell r="I776"/>
          <cell r="J776"/>
          <cell r="K776"/>
          <cell r="L776"/>
        </row>
        <row r="777">
          <cell r="C777"/>
          <cell r="D777"/>
          <cell r="E777"/>
          <cell r="F777"/>
          <cell r="G777"/>
          <cell r="H777"/>
          <cell r="I777"/>
          <cell r="J777"/>
          <cell r="K777"/>
          <cell r="L777"/>
        </row>
        <row r="778">
          <cell r="C778"/>
          <cell r="D778"/>
          <cell r="E778"/>
          <cell r="F778"/>
          <cell r="G778"/>
          <cell r="H778"/>
          <cell r="I778"/>
          <cell r="J778"/>
          <cell r="K778"/>
          <cell r="L778"/>
        </row>
        <row r="779">
          <cell r="C779"/>
          <cell r="D779"/>
          <cell r="E779"/>
          <cell r="F779"/>
          <cell r="G779"/>
          <cell r="H779"/>
          <cell r="I779"/>
          <cell r="J779"/>
          <cell r="K779"/>
          <cell r="L779"/>
        </row>
        <row r="780">
          <cell r="C780"/>
          <cell r="D780"/>
          <cell r="E780"/>
          <cell r="F780"/>
          <cell r="G780"/>
          <cell r="H780"/>
          <cell r="I780"/>
          <cell r="J780"/>
          <cell r="K780"/>
          <cell r="L780"/>
        </row>
        <row r="781">
          <cell r="C781"/>
          <cell r="D781"/>
          <cell r="E781"/>
          <cell r="F781"/>
          <cell r="G781"/>
          <cell r="H781"/>
          <cell r="I781"/>
          <cell r="J781"/>
          <cell r="K781"/>
          <cell r="L781"/>
        </row>
        <row r="782">
          <cell r="C782"/>
          <cell r="D782"/>
          <cell r="E782"/>
          <cell r="F782"/>
          <cell r="G782"/>
          <cell r="H782"/>
          <cell r="I782"/>
          <cell r="J782"/>
          <cell r="K782"/>
          <cell r="L782"/>
        </row>
        <row r="783">
          <cell r="C783"/>
          <cell r="D783"/>
          <cell r="E783"/>
          <cell r="F783"/>
          <cell r="G783"/>
          <cell r="H783"/>
          <cell r="I783"/>
          <cell r="J783"/>
          <cell r="K783"/>
          <cell r="L783"/>
        </row>
        <row r="784">
          <cell r="C784"/>
          <cell r="D784"/>
          <cell r="E784"/>
          <cell r="F784"/>
          <cell r="G784"/>
          <cell r="H784"/>
          <cell r="I784"/>
          <cell r="J784"/>
          <cell r="K784"/>
          <cell r="L784"/>
        </row>
        <row r="785">
          <cell r="C785"/>
          <cell r="D785"/>
          <cell r="E785"/>
          <cell r="F785"/>
          <cell r="G785"/>
          <cell r="H785"/>
          <cell r="I785"/>
          <cell r="J785"/>
          <cell r="K785"/>
          <cell r="L785"/>
        </row>
        <row r="786">
          <cell r="C786"/>
          <cell r="D786"/>
          <cell r="E786"/>
          <cell r="F786"/>
          <cell r="G786"/>
          <cell r="H786"/>
          <cell r="I786"/>
          <cell r="J786"/>
          <cell r="K786"/>
          <cell r="L786"/>
        </row>
        <row r="787">
          <cell r="C787"/>
          <cell r="D787"/>
          <cell r="E787"/>
          <cell r="F787"/>
          <cell r="G787"/>
          <cell r="H787"/>
          <cell r="I787"/>
          <cell r="J787"/>
          <cell r="K787"/>
          <cell r="L787"/>
        </row>
        <row r="788">
          <cell r="C788"/>
          <cell r="D788"/>
          <cell r="E788"/>
          <cell r="F788"/>
          <cell r="G788"/>
          <cell r="H788"/>
          <cell r="I788"/>
          <cell r="J788"/>
          <cell r="K788"/>
          <cell r="L788"/>
        </row>
        <row r="789">
          <cell r="C789"/>
          <cell r="D789"/>
          <cell r="E789"/>
          <cell r="F789"/>
          <cell r="G789"/>
          <cell r="H789"/>
          <cell r="I789"/>
          <cell r="J789"/>
          <cell r="K789"/>
          <cell r="L789"/>
        </row>
        <row r="790">
          <cell r="C790"/>
          <cell r="D790"/>
          <cell r="E790"/>
          <cell r="F790"/>
          <cell r="G790"/>
          <cell r="H790"/>
          <cell r="I790"/>
          <cell r="J790"/>
          <cell r="K790"/>
          <cell r="L790"/>
        </row>
        <row r="791">
          <cell r="C791"/>
          <cell r="D791"/>
          <cell r="E791"/>
          <cell r="F791"/>
          <cell r="G791"/>
          <cell r="H791"/>
          <cell r="I791"/>
          <cell r="J791"/>
          <cell r="K791"/>
          <cell r="L791"/>
        </row>
        <row r="792">
          <cell r="C792"/>
          <cell r="D792"/>
          <cell r="E792"/>
          <cell r="F792"/>
          <cell r="G792"/>
          <cell r="H792"/>
          <cell r="I792"/>
          <cell r="J792"/>
          <cell r="K792"/>
          <cell r="L792"/>
        </row>
        <row r="793">
          <cell r="C793"/>
          <cell r="D793"/>
          <cell r="E793"/>
          <cell r="F793"/>
          <cell r="G793"/>
          <cell r="H793"/>
          <cell r="I793"/>
          <cell r="J793"/>
          <cell r="K793"/>
          <cell r="L793"/>
        </row>
        <row r="794">
          <cell r="C794"/>
          <cell r="D794"/>
          <cell r="E794"/>
          <cell r="F794"/>
          <cell r="G794"/>
          <cell r="H794"/>
          <cell r="I794"/>
          <cell r="J794"/>
          <cell r="K794"/>
          <cell r="L794"/>
        </row>
        <row r="795">
          <cell r="C795"/>
          <cell r="D795"/>
          <cell r="E795"/>
          <cell r="F795"/>
          <cell r="G795"/>
          <cell r="H795"/>
          <cell r="I795"/>
          <cell r="J795"/>
          <cell r="K795"/>
          <cell r="L795"/>
        </row>
        <row r="796">
          <cell r="C796"/>
          <cell r="D796"/>
          <cell r="E796"/>
          <cell r="F796"/>
          <cell r="G796"/>
          <cell r="H796"/>
          <cell r="I796"/>
          <cell r="J796"/>
          <cell r="K796"/>
          <cell r="L796"/>
        </row>
        <row r="797">
          <cell r="C797"/>
          <cell r="D797"/>
          <cell r="E797"/>
          <cell r="F797"/>
          <cell r="G797"/>
          <cell r="H797"/>
          <cell r="I797"/>
          <cell r="J797"/>
          <cell r="K797"/>
          <cell r="L797"/>
        </row>
        <row r="798">
          <cell r="C798"/>
          <cell r="D798"/>
          <cell r="E798"/>
          <cell r="F798"/>
          <cell r="G798"/>
          <cell r="H798"/>
          <cell r="I798"/>
          <cell r="J798"/>
          <cell r="K798"/>
          <cell r="L798"/>
        </row>
        <row r="799">
          <cell r="C799"/>
          <cell r="D799"/>
          <cell r="E799"/>
          <cell r="F799"/>
          <cell r="G799"/>
          <cell r="H799"/>
          <cell r="I799"/>
          <cell r="J799"/>
          <cell r="K799"/>
          <cell r="L799"/>
        </row>
        <row r="800">
          <cell r="C800"/>
          <cell r="D800"/>
          <cell r="E800"/>
          <cell r="F800"/>
          <cell r="G800"/>
          <cell r="H800"/>
          <cell r="I800"/>
          <cell r="J800"/>
          <cell r="K800"/>
          <cell r="L800"/>
        </row>
        <row r="801">
          <cell r="C801"/>
          <cell r="D801"/>
          <cell r="E801"/>
          <cell r="F801"/>
          <cell r="G801"/>
          <cell r="H801"/>
          <cell r="I801"/>
          <cell r="J801"/>
          <cell r="K801"/>
          <cell r="L801"/>
        </row>
        <row r="802">
          <cell r="C802"/>
          <cell r="D802"/>
          <cell r="E802"/>
          <cell r="F802"/>
          <cell r="G802"/>
          <cell r="H802"/>
          <cell r="I802"/>
          <cell r="J802"/>
          <cell r="K802"/>
          <cell r="L802"/>
        </row>
        <row r="803">
          <cell r="C803"/>
          <cell r="D803"/>
          <cell r="E803"/>
          <cell r="F803"/>
          <cell r="G803"/>
          <cell r="H803"/>
          <cell r="I803"/>
          <cell r="J803"/>
          <cell r="K803"/>
          <cell r="L803"/>
        </row>
        <row r="804">
          <cell r="C804"/>
          <cell r="D804"/>
          <cell r="E804"/>
          <cell r="F804"/>
          <cell r="G804"/>
          <cell r="H804"/>
          <cell r="I804"/>
          <cell r="J804"/>
          <cell r="K804"/>
          <cell r="L804"/>
        </row>
        <row r="805">
          <cell r="C805"/>
          <cell r="D805"/>
          <cell r="E805"/>
          <cell r="F805"/>
          <cell r="G805"/>
          <cell r="H805"/>
          <cell r="I805"/>
          <cell r="J805"/>
          <cell r="K805"/>
          <cell r="L805"/>
        </row>
        <row r="806">
          <cell r="C806"/>
          <cell r="D806"/>
          <cell r="E806"/>
          <cell r="F806"/>
          <cell r="G806"/>
          <cell r="H806"/>
          <cell r="I806"/>
          <cell r="J806"/>
          <cell r="K806"/>
          <cell r="L806"/>
        </row>
        <row r="807">
          <cell r="C807"/>
          <cell r="D807"/>
          <cell r="E807"/>
          <cell r="F807"/>
          <cell r="G807"/>
          <cell r="H807"/>
          <cell r="I807"/>
          <cell r="J807"/>
          <cell r="K807"/>
          <cell r="L807"/>
        </row>
        <row r="808">
          <cell r="C808"/>
          <cell r="D808"/>
          <cell r="E808"/>
          <cell r="F808"/>
          <cell r="G808"/>
          <cell r="H808"/>
          <cell r="I808"/>
          <cell r="J808"/>
          <cell r="K808"/>
          <cell r="L808"/>
        </row>
        <row r="809">
          <cell r="C809"/>
          <cell r="D809"/>
          <cell r="E809"/>
          <cell r="F809"/>
          <cell r="G809"/>
          <cell r="H809"/>
          <cell r="I809"/>
          <cell r="J809"/>
          <cell r="K809"/>
          <cell r="L809"/>
        </row>
        <row r="810">
          <cell r="C810"/>
          <cell r="D810"/>
          <cell r="E810"/>
          <cell r="F810"/>
          <cell r="G810"/>
          <cell r="H810"/>
          <cell r="I810"/>
          <cell r="J810"/>
          <cell r="K810"/>
          <cell r="L810"/>
        </row>
        <row r="811">
          <cell r="C811"/>
          <cell r="D811"/>
          <cell r="E811"/>
          <cell r="F811"/>
          <cell r="G811"/>
          <cell r="H811"/>
          <cell r="I811"/>
          <cell r="J811"/>
          <cell r="K811"/>
          <cell r="L811"/>
        </row>
        <row r="812">
          <cell r="C812"/>
          <cell r="D812"/>
          <cell r="E812"/>
          <cell r="F812"/>
          <cell r="G812"/>
          <cell r="H812"/>
          <cell r="I812"/>
          <cell r="J812"/>
          <cell r="K812"/>
          <cell r="L812"/>
        </row>
        <row r="813">
          <cell r="C813"/>
          <cell r="D813"/>
          <cell r="E813"/>
          <cell r="F813"/>
          <cell r="G813"/>
          <cell r="H813"/>
          <cell r="I813"/>
          <cell r="J813"/>
          <cell r="K813"/>
          <cell r="L813"/>
        </row>
        <row r="814">
          <cell r="C814"/>
          <cell r="D814"/>
          <cell r="E814"/>
          <cell r="F814"/>
          <cell r="G814"/>
          <cell r="H814"/>
          <cell r="I814"/>
          <cell r="J814"/>
          <cell r="K814"/>
          <cell r="L814"/>
        </row>
        <row r="815">
          <cell r="C815"/>
          <cell r="D815"/>
          <cell r="E815"/>
          <cell r="F815"/>
          <cell r="G815"/>
          <cell r="H815"/>
          <cell r="I815"/>
          <cell r="J815"/>
          <cell r="K815"/>
          <cell r="L815"/>
        </row>
        <row r="816">
          <cell r="C816"/>
          <cell r="D816"/>
          <cell r="E816"/>
          <cell r="F816"/>
          <cell r="G816"/>
          <cell r="H816"/>
          <cell r="I816"/>
          <cell r="J816"/>
          <cell r="K816"/>
          <cell r="L816"/>
        </row>
        <row r="817">
          <cell r="C817"/>
          <cell r="D817"/>
          <cell r="E817"/>
          <cell r="F817"/>
          <cell r="G817"/>
          <cell r="H817"/>
          <cell r="I817"/>
          <cell r="J817"/>
          <cell r="K817"/>
          <cell r="L817"/>
        </row>
        <row r="818">
          <cell r="C818"/>
          <cell r="D818"/>
          <cell r="E818"/>
          <cell r="F818"/>
          <cell r="G818"/>
          <cell r="H818"/>
          <cell r="I818"/>
          <cell r="J818"/>
          <cell r="K818"/>
          <cell r="L818"/>
        </row>
        <row r="819">
          <cell r="C819"/>
          <cell r="D819"/>
          <cell r="E819"/>
          <cell r="F819"/>
          <cell r="G819"/>
          <cell r="H819"/>
          <cell r="I819"/>
          <cell r="J819"/>
          <cell r="K819"/>
          <cell r="L819"/>
        </row>
        <row r="820">
          <cell r="C820"/>
          <cell r="D820"/>
          <cell r="E820"/>
          <cell r="F820"/>
          <cell r="G820"/>
          <cell r="H820"/>
          <cell r="I820"/>
          <cell r="J820"/>
          <cell r="K820"/>
          <cell r="L820"/>
        </row>
        <row r="821">
          <cell r="C821"/>
          <cell r="D821"/>
          <cell r="E821"/>
          <cell r="F821"/>
          <cell r="G821"/>
          <cell r="H821"/>
          <cell r="I821"/>
          <cell r="J821"/>
          <cell r="K821"/>
          <cell r="L821"/>
        </row>
        <row r="822">
          <cell r="C822"/>
          <cell r="D822"/>
          <cell r="E822"/>
          <cell r="F822"/>
          <cell r="G822"/>
          <cell r="H822"/>
          <cell r="I822"/>
          <cell r="J822"/>
          <cell r="K822"/>
          <cell r="L822"/>
        </row>
        <row r="823">
          <cell r="C823"/>
          <cell r="D823"/>
          <cell r="E823"/>
          <cell r="F823"/>
          <cell r="G823"/>
          <cell r="H823"/>
          <cell r="I823"/>
          <cell r="J823"/>
          <cell r="K823"/>
          <cell r="L823"/>
        </row>
        <row r="824">
          <cell r="C824"/>
          <cell r="D824"/>
          <cell r="E824"/>
          <cell r="F824"/>
          <cell r="G824"/>
          <cell r="H824"/>
          <cell r="I824"/>
          <cell r="J824"/>
          <cell r="K824"/>
          <cell r="L824"/>
        </row>
        <row r="825">
          <cell r="C825"/>
          <cell r="D825"/>
          <cell r="E825"/>
          <cell r="F825"/>
          <cell r="G825"/>
          <cell r="H825"/>
          <cell r="I825"/>
          <cell r="J825"/>
          <cell r="K825"/>
          <cell r="L825"/>
        </row>
        <row r="826">
          <cell r="C826"/>
          <cell r="D826"/>
          <cell r="E826"/>
          <cell r="F826"/>
          <cell r="G826"/>
          <cell r="H826"/>
          <cell r="I826"/>
          <cell r="J826"/>
          <cell r="K826"/>
          <cell r="L826"/>
        </row>
        <row r="827">
          <cell r="C827"/>
          <cell r="D827"/>
          <cell r="E827"/>
          <cell r="F827"/>
          <cell r="G827"/>
          <cell r="H827"/>
          <cell r="I827"/>
          <cell r="J827"/>
          <cell r="K827"/>
          <cell r="L827"/>
        </row>
        <row r="828">
          <cell r="C828"/>
          <cell r="D828"/>
          <cell r="E828"/>
          <cell r="F828"/>
          <cell r="G828"/>
          <cell r="H828"/>
          <cell r="I828"/>
          <cell r="J828"/>
          <cell r="K828"/>
          <cell r="L828"/>
        </row>
        <row r="829"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</row>
        <row r="830"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</row>
        <row r="831"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</row>
        <row r="832">
          <cell r="C832"/>
          <cell r="D832"/>
          <cell r="E832"/>
          <cell r="F832"/>
          <cell r="G832"/>
          <cell r="H832"/>
          <cell r="I832"/>
          <cell r="J832"/>
          <cell r="K832"/>
          <cell r="L832"/>
        </row>
        <row r="833">
          <cell r="C833"/>
          <cell r="D833"/>
          <cell r="E833"/>
          <cell r="F833"/>
          <cell r="G833"/>
          <cell r="H833"/>
          <cell r="I833"/>
          <cell r="J833"/>
          <cell r="K833"/>
          <cell r="L833"/>
        </row>
        <row r="834">
          <cell r="C834"/>
          <cell r="D834"/>
          <cell r="E834"/>
          <cell r="F834"/>
          <cell r="G834"/>
          <cell r="H834"/>
          <cell r="I834"/>
          <cell r="J834"/>
          <cell r="K834"/>
          <cell r="L834"/>
        </row>
        <row r="835">
          <cell r="C835"/>
          <cell r="D835"/>
          <cell r="E835"/>
          <cell r="F835"/>
          <cell r="G835"/>
          <cell r="H835"/>
          <cell r="I835"/>
          <cell r="J835"/>
          <cell r="K835"/>
          <cell r="L835"/>
        </row>
        <row r="836">
          <cell r="C836"/>
          <cell r="D836"/>
          <cell r="E836"/>
          <cell r="F836"/>
          <cell r="G836"/>
          <cell r="H836"/>
          <cell r="I836"/>
          <cell r="J836"/>
          <cell r="K836"/>
          <cell r="L836"/>
        </row>
        <row r="837">
          <cell r="C837"/>
          <cell r="D837"/>
          <cell r="E837"/>
          <cell r="F837"/>
          <cell r="G837"/>
          <cell r="H837"/>
          <cell r="I837"/>
          <cell r="J837"/>
          <cell r="K837"/>
          <cell r="L837"/>
        </row>
        <row r="838">
          <cell r="C838"/>
          <cell r="D838"/>
          <cell r="E838"/>
          <cell r="F838"/>
          <cell r="G838"/>
          <cell r="H838"/>
          <cell r="I838"/>
          <cell r="J838"/>
          <cell r="K838"/>
          <cell r="L838"/>
        </row>
        <row r="839">
          <cell r="C839"/>
          <cell r="D839"/>
          <cell r="E839"/>
          <cell r="F839"/>
          <cell r="G839"/>
          <cell r="H839"/>
          <cell r="I839"/>
          <cell r="J839"/>
          <cell r="K839"/>
          <cell r="L839"/>
        </row>
        <row r="840">
          <cell r="C840"/>
          <cell r="D840"/>
          <cell r="E840"/>
          <cell r="F840"/>
          <cell r="G840"/>
          <cell r="H840"/>
          <cell r="I840"/>
          <cell r="J840"/>
          <cell r="K840"/>
          <cell r="L840"/>
        </row>
        <row r="841">
          <cell r="C841"/>
          <cell r="D841"/>
          <cell r="E841"/>
          <cell r="F841"/>
          <cell r="G841"/>
          <cell r="H841"/>
          <cell r="I841"/>
          <cell r="J841"/>
          <cell r="K841"/>
          <cell r="L841"/>
        </row>
        <row r="842">
          <cell r="C842"/>
          <cell r="D842"/>
          <cell r="E842"/>
          <cell r="F842"/>
          <cell r="G842"/>
          <cell r="H842"/>
          <cell r="I842"/>
          <cell r="J842"/>
          <cell r="K842"/>
          <cell r="L842"/>
        </row>
        <row r="843">
          <cell r="C843"/>
          <cell r="D843"/>
          <cell r="E843"/>
          <cell r="F843"/>
          <cell r="G843"/>
          <cell r="H843"/>
          <cell r="I843"/>
          <cell r="J843"/>
          <cell r="K843"/>
          <cell r="L843"/>
        </row>
        <row r="844">
          <cell r="C844"/>
          <cell r="D844"/>
          <cell r="E844"/>
          <cell r="F844"/>
          <cell r="G844"/>
          <cell r="H844"/>
          <cell r="I844"/>
          <cell r="J844"/>
          <cell r="K844"/>
          <cell r="L844"/>
        </row>
        <row r="845">
          <cell r="C845"/>
          <cell r="D845"/>
          <cell r="E845"/>
          <cell r="F845"/>
          <cell r="G845"/>
          <cell r="H845"/>
          <cell r="I845"/>
          <cell r="J845"/>
          <cell r="K845"/>
          <cell r="L845"/>
        </row>
        <row r="846">
          <cell r="C846"/>
          <cell r="D846"/>
          <cell r="E846"/>
          <cell r="F846"/>
          <cell r="G846"/>
          <cell r="H846"/>
          <cell r="I846"/>
          <cell r="J846"/>
          <cell r="K846"/>
          <cell r="L846"/>
        </row>
        <row r="847">
          <cell r="C847"/>
          <cell r="D847"/>
          <cell r="E847"/>
          <cell r="F847"/>
          <cell r="G847"/>
          <cell r="H847"/>
          <cell r="I847"/>
          <cell r="J847"/>
          <cell r="K847"/>
          <cell r="L847"/>
        </row>
        <row r="848">
          <cell r="C848"/>
          <cell r="D848"/>
          <cell r="E848"/>
          <cell r="F848"/>
          <cell r="G848"/>
          <cell r="H848"/>
          <cell r="I848"/>
          <cell r="J848"/>
          <cell r="K848"/>
          <cell r="L848"/>
        </row>
        <row r="849">
          <cell r="C849"/>
          <cell r="D849"/>
          <cell r="E849"/>
          <cell r="F849"/>
          <cell r="G849"/>
          <cell r="H849"/>
          <cell r="I849"/>
          <cell r="J849"/>
          <cell r="K849"/>
          <cell r="L849"/>
        </row>
        <row r="850">
          <cell r="C850"/>
          <cell r="D850"/>
          <cell r="E850"/>
          <cell r="F850"/>
          <cell r="G850"/>
          <cell r="H850"/>
          <cell r="I850"/>
          <cell r="J850"/>
          <cell r="K850"/>
          <cell r="L850"/>
        </row>
        <row r="851">
          <cell r="C851"/>
          <cell r="D851"/>
          <cell r="E851"/>
          <cell r="F851"/>
          <cell r="G851"/>
          <cell r="H851"/>
          <cell r="I851"/>
          <cell r="J851"/>
          <cell r="K851"/>
          <cell r="L851"/>
        </row>
        <row r="852">
          <cell r="C852"/>
          <cell r="D852"/>
          <cell r="E852"/>
          <cell r="F852"/>
          <cell r="G852"/>
          <cell r="H852"/>
          <cell r="I852"/>
          <cell r="J852"/>
          <cell r="K852"/>
          <cell r="L852"/>
        </row>
        <row r="853">
          <cell r="C853"/>
          <cell r="D853"/>
          <cell r="E853"/>
          <cell r="F853"/>
          <cell r="G853"/>
          <cell r="H853"/>
          <cell r="I853"/>
          <cell r="J853"/>
          <cell r="K853"/>
          <cell r="L853"/>
        </row>
        <row r="854">
          <cell r="C854"/>
          <cell r="D854"/>
          <cell r="E854"/>
          <cell r="F854"/>
          <cell r="G854"/>
          <cell r="H854"/>
          <cell r="I854"/>
          <cell r="J854"/>
          <cell r="K854"/>
          <cell r="L854"/>
        </row>
        <row r="855">
          <cell r="C855"/>
          <cell r="D855"/>
          <cell r="E855"/>
          <cell r="F855"/>
          <cell r="G855"/>
          <cell r="H855"/>
          <cell r="I855"/>
          <cell r="J855"/>
          <cell r="K855"/>
          <cell r="L855"/>
        </row>
        <row r="856">
          <cell r="C856"/>
          <cell r="D856"/>
          <cell r="E856"/>
          <cell r="F856"/>
          <cell r="G856"/>
          <cell r="H856"/>
          <cell r="I856"/>
          <cell r="J856"/>
          <cell r="K856"/>
          <cell r="L856"/>
        </row>
        <row r="857">
          <cell r="C857"/>
          <cell r="D857"/>
          <cell r="E857"/>
          <cell r="F857"/>
          <cell r="G857"/>
          <cell r="H857"/>
          <cell r="I857"/>
          <cell r="J857"/>
          <cell r="K857"/>
          <cell r="L857"/>
        </row>
        <row r="858">
          <cell r="C858"/>
          <cell r="D858"/>
          <cell r="E858"/>
          <cell r="F858"/>
          <cell r="G858"/>
          <cell r="H858"/>
          <cell r="I858"/>
          <cell r="J858"/>
          <cell r="K858"/>
          <cell r="L858"/>
        </row>
        <row r="859">
          <cell r="C859"/>
          <cell r="D859"/>
          <cell r="E859"/>
          <cell r="F859"/>
          <cell r="G859"/>
          <cell r="H859"/>
          <cell r="I859"/>
          <cell r="J859"/>
          <cell r="K859"/>
          <cell r="L859"/>
        </row>
        <row r="860">
          <cell r="C860"/>
          <cell r="D860"/>
          <cell r="E860"/>
          <cell r="F860"/>
          <cell r="G860"/>
          <cell r="H860"/>
          <cell r="I860"/>
          <cell r="J860"/>
          <cell r="K860"/>
          <cell r="L860"/>
        </row>
        <row r="861">
          <cell r="C861"/>
          <cell r="D861"/>
          <cell r="E861"/>
          <cell r="F861"/>
          <cell r="G861"/>
          <cell r="H861"/>
          <cell r="I861"/>
          <cell r="J861"/>
          <cell r="K861"/>
          <cell r="L861"/>
        </row>
        <row r="862">
          <cell r="C862"/>
          <cell r="D862"/>
          <cell r="E862"/>
          <cell r="F862"/>
          <cell r="G862"/>
          <cell r="H862"/>
          <cell r="I862"/>
          <cell r="J862"/>
          <cell r="K862"/>
          <cell r="L862"/>
        </row>
        <row r="863">
          <cell r="C863"/>
          <cell r="D863"/>
          <cell r="E863"/>
          <cell r="F863"/>
          <cell r="G863"/>
          <cell r="H863"/>
          <cell r="I863"/>
          <cell r="J863"/>
          <cell r="K863"/>
          <cell r="L863"/>
        </row>
        <row r="864">
          <cell r="C864"/>
          <cell r="D864"/>
          <cell r="E864"/>
          <cell r="F864"/>
          <cell r="G864"/>
          <cell r="H864"/>
          <cell r="I864"/>
          <cell r="J864"/>
          <cell r="K864"/>
          <cell r="L864"/>
        </row>
        <row r="865">
          <cell r="C865"/>
          <cell r="D865"/>
          <cell r="E865"/>
          <cell r="F865"/>
          <cell r="G865"/>
          <cell r="H865"/>
          <cell r="I865"/>
          <cell r="J865"/>
          <cell r="K865"/>
          <cell r="L865"/>
        </row>
        <row r="866">
          <cell r="C866"/>
          <cell r="D866"/>
          <cell r="E866"/>
          <cell r="F866"/>
          <cell r="G866"/>
          <cell r="H866"/>
          <cell r="I866"/>
          <cell r="J866"/>
          <cell r="K866"/>
          <cell r="L866"/>
        </row>
        <row r="867">
          <cell r="C867"/>
          <cell r="D867"/>
          <cell r="E867"/>
          <cell r="F867"/>
          <cell r="G867"/>
          <cell r="H867"/>
          <cell r="I867"/>
          <cell r="J867"/>
          <cell r="K867"/>
          <cell r="L867"/>
        </row>
        <row r="868">
          <cell r="C868"/>
          <cell r="D868"/>
          <cell r="E868"/>
          <cell r="F868"/>
          <cell r="G868"/>
          <cell r="H868"/>
          <cell r="I868"/>
          <cell r="J868"/>
          <cell r="K868"/>
          <cell r="L868"/>
        </row>
        <row r="869">
          <cell r="C869"/>
          <cell r="D869"/>
          <cell r="E869"/>
          <cell r="F869"/>
          <cell r="G869"/>
          <cell r="H869"/>
          <cell r="I869"/>
          <cell r="J869"/>
          <cell r="K869"/>
          <cell r="L869"/>
        </row>
        <row r="870">
          <cell r="C870"/>
          <cell r="D870"/>
          <cell r="E870"/>
          <cell r="F870"/>
          <cell r="G870"/>
          <cell r="H870"/>
          <cell r="I870"/>
          <cell r="J870"/>
          <cell r="K870"/>
          <cell r="L870"/>
        </row>
        <row r="871">
          <cell r="C871"/>
          <cell r="D871"/>
          <cell r="E871"/>
          <cell r="F871"/>
          <cell r="G871"/>
          <cell r="H871"/>
          <cell r="I871"/>
          <cell r="J871"/>
          <cell r="K871"/>
          <cell r="L871"/>
        </row>
        <row r="872">
          <cell r="C872"/>
          <cell r="D872"/>
          <cell r="E872"/>
          <cell r="F872"/>
          <cell r="G872"/>
          <cell r="H872"/>
          <cell r="I872"/>
          <cell r="J872"/>
          <cell r="K872"/>
          <cell r="L872"/>
        </row>
        <row r="873">
          <cell r="C873"/>
          <cell r="D873"/>
          <cell r="E873"/>
          <cell r="F873"/>
          <cell r="G873"/>
          <cell r="H873"/>
          <cell r="I873"/>
          <cell r="J873"/>
          <cell r="K873"/>
          <cell r="L873"/>
        </row>
        <row r="874">
          <cell r="C874"/>
          <cell r="D874"/>
          <cell r="E874"/>
          <cell r="F874"/>
          <cell r="G874"/>
          <cell r="H874"/>
          <cell r="I874"/>
          <cell r="J874"/>
          <cell r="K874"/>
          <cell r="L874"/>
        </row>
        <row r="875">
          <cell r="C875"/>
          <cell r="D875"/>
          <cell r="E875"/>
          <cell r="F875"/>
          <cell r="G875"/>
          <cell r="H875"/>
          <cell r="I875"/>
          <cell r="J875"/>
          <cell r="K875"/>
          <cell r="L875"/>
        </row>
        <row r="876">
          <cell r="C876"/>
          <cell r="D876"/>
          <cell r="E876"/>
          <cell r="F876"/>
          <cell r="G876"/>
          <cell r="H876"/>
          <cell r="I876"/>
          <cell r="J876"/>
          <cell r="K876"/>
          <cell r="L876"/>
        </row>
        <row r="877">
          <cell r="C877"/>
          <cell r="D877"/>
          <cell r="E877"/>
          <cell r="F877"/>
          <cell r="G877"/>
          <cell r="H877"/>
          <cell r="I877"/>
          <cell r="J877"/>
          <cell r="K877"/>
          <cell r="L877"/>
        </row>
        <row r="878">
          <cell r="C878"/>
          <cell r="D878"/>
          <cell r="E878"/>
          <cell r="F878"/>
          <cell r="G878"/>
          <cell r="H878"/>
          <cell r="I878"/>
          <cell r="J878"/>
          <cell r="K878"/>
          <cell r="L878"/>
        </row>
        <row r="879">
          <cell r="C879"/>
          <cell r="D879"/>
          <cell r="E879"/>
          <cell r="F879"/>
          <cell r="G879"/>
          <cell r="H879"/>
          <cell r="I879"/>
          <cell r="J879"/>
          <cell r="K879"/>
          <cell r="L879"/>
        </row>
        <row r="880">
          <cell r="C880"/>
          <cell r="D880"/>
          <cell r="E880"/>
          <cell r="F880"/>
          <cell r="G880"/>
          <cell r="H880"/>
          <cell r="I880"/>
          <cell r="J880"/>
          <cell r="K880"/>
          <cell r="L880"/>
        </row>
        <row r="881">
          <cell r="C881"/>
          <cell r="D881"/>
          <cell r="E881"/>
          <cell r="F881"/>
          <cell r="G881"/>
          <cell r="H881"/>
          <cell r="I881"/>
          <cell r="J881"/>
          <cell r="K881"/>
          <cell r="L881"/>
        </row>
        <row r="882">
          <cell r="C882"/>
          <cell r="D882"/>
          <cell r="E882"/>
          <cell r="F882"/>
          <cell r="G882"/>
          <cell r="H882"/>
          <cell r="I882"/>
          <cell r="J882"/>
          <cell r="K882"/>
          <cell r="L882"/>
        </row>
        <row r="883">
          <cell r="C883"/>
          <cell r="D883"/>
          <cell r="E883"/>
          <cell r="F883"/>
          <cell r="G883"/>
          <cell r="H883"/>
          <cell r="I883"/>
          <cell r="J883"/>
          <cell r="K883"/>
          <cell r="L883"/>
        </row>
        <row r="884">
          <cell r="C884"/>
          <cell r="D884"/>
          <cell r="E884"/>
          <cell r="F884"/>
          <cell r="G884"/>
          <cell r="H884"/>
          <cell r="I884"/>
          <cell r="J884"/>
          <cell r="K884"/>
          <cell r="L884"/>
        </row>
        <row r="885">
          <cell r="C885"/>
          <cell r="D885"/>
          <cell r="E885"/>
          <cell r="F885"/>
          <cell r="G885"/>
          <cell r="H885"/>
          <cell r="I885"/>
          <cell r="J885"/>
          <cell r="K885"/>
          <cell r="L885"/>
        </row>
        <row r="886">
          <cell r="C886"/>
          <cell r="D886"/>
          <cell r="E886"/>
          <cell r="F886"/>
          <cell r="G886"/>
          <cell r="H886"/>
          <cell r="I886"/>
          <cell r="J886"/>
          <cell r="K886"/>
          <cell r="L886"/>
        </row>
        <row r="887">
          <cell r="C887"/>
          <cell r="D887"/>
          <cell r="E887"/>
          <cell r="F887"/>
          <cell r="G887"/>
          <cell r="H887"/>
          <cell r="I887"/>
          <cell r="J887"/>
          <cell r="K887"/>
          <cell r="L887"/>
        </row>
        <row r="888">
          <cell r="C888"/>
          <cell r="D888"/>
          <cell r="E888"/>
          <cell r="F888"/>
          <cell r="G888"/>
          <cell r="H888"/>
          <cell r="I888"/>
          <cell r="J888"/>
          <cell r="K888"/>
          <cell r="L888"/>
        </row>
        <row r="889">
          <cell r="C889"/>
          <cell r="D889"/>
          <cell r="E889"/>
          <cell r="F889"/>
          <cell r="G889"/>
          <cell r="H889"/>
          <cell r="I889"/>
          <cell r="J889"/>
          <cell r="K889"/>
          <cell r="L889"/>
        </row>
        <row r="890">
          <cell r="C890"/>
          <cell r="D890"/>
          <cell r="E890"/>
          <cell r="F890"/>
          <cell r="G890"/>
          <cell r="H890"/>
          <cell r="I890"/>
          <cell r="J890"/>
          <cell r="K890"/>
          <cell r="L890"/>
        </row>
        <row r="891">
          <cell r="C891"/>
          <cell r="D891"/>
          <cell r="E891"/>
          <cell r="F891"/>
          <cell r="G891"/>
          <cell r="H891"/>
          <cell r="I891"/>
          <cell r="J891"/>
          <cell r="K891"/>
          <cell r="L891"/>
        </row>
        <row r="892">
          <cell r="C892"/>
          <cell r="D892"/>
          <cell r="E892"/>
          <cell r="F892"/>
          <cell r="G892"/>
          <cell r="H892"/>
          <cell r="I892"/>
          <cell r="J892"/>
          <cell r="K892"/>
          <cell r="L892"/>
        </row>
        <row r="893">
          <cell r="C893"/>
          <cell r="D893"/>
          <cell r="E893"/>
          <cell r="F893"/>
          <cell r="G893"/>
          <cell r="H893"/>
          <cell r="I893"/>
          <cell r="J893"/>
          <cell r="K893"/>
          <cell r="L893"/>
        </row>
        <row r="894">
          <cell r="C894"/>
          <cell r="D894"/>
          <cell r="E894"/>
          <cell r="F894"/>
          <cell r="G894"/>
          <cell r="H894"/>
          <cell r="I894"/>
          <cell r="J894"/>
          <cell r="K894"/>
          <cell r="L894"/>
        </row>
        <row r="895">
          <cell r="C895"/>
          <cell r="D895"/>
          <cell r="E895"/>
          <cell r="F895"/>
          <cell r="G895"/>
          <cell r="H895"/>
          <cell r="I895"/>
          <cell r="J895"/>
          <cell r="K895"/>
          <cell r="L895"/>
        </row>
        <row r="896">
          <cell r="C896"/>
          <cell r="D896"/>
          <cell r="E896"/>
          <cell r="F896"/>
          <cell r="G896"/>
          <cell r="H896"/>
          <cell r="I896"/>
          <cell r="J896"/>
          <cell r="K896"/>
          <cell r="L896"/>
        </row>
        <row r="897">
          <cell r="C897"/>
          <cell r="D897"/>
          <cell r="E897"/>
          <cell r="F897"/>
          <cell r="G897"/>
          <cell r="H897"/>
          <cell r="I897"/>
          <cell r="J897"/>
          <cell r="K897"/>
          <cell r="L897"/>
        </row>
        <row r="898">
          <cell r="C898"/>
          <cell r="D898"/>
          <cell r="E898"/>
          <cell r="F898"/>
          <cell r="G898"/>
          <cell r="H898"/>
          <cell r="I898"/>
          <cell r="J898"/>
          <cell r="K898"/>
          <cell r="L898"/>
        </row>
        <row r="899">
          <cell r="C899"/>
          <cell r="D899"/>
          <cell r="E899"/>
          <cell r="F899"/>
          <cell r="G899"/>
          <cell r="H899"/>
          <cell r="I899"/>
          <cell r="J899"/>
          <cell r="K899"/>
          <cell r="L899"/>
        </row>
        <row r="900">
          <cell r="C900"/>
          <cell r="D900"/>
          <cell r="E900"/>
          <cell r="F900"/>
          <cell r="G900"/>
          <cell r="H900"/>
          <cell r="I900"/>
          <cell r="J900"/>
          <cell r="K900"/>
          <cell r="L900"/>
        </row>
        <row r="901">
          <cell r="C901"/>
          <cell r="D901"/>
          <cell r="E901"/>
          <cell r="F901"/>
          <cell r="G901"/>
          <cell r="H901"/>
          <cell r="I901"/>
          <cell r="J901"/>
          <cell r="K901"/>
          <cell r="L901"/>
        </row>
        <row r="902">
          <cell r="C902"/>
          <cell r="D902"/>
          <cell r="E902"/>
          <cell r="F902"/>
          <cell r="G902"/>
          <cell r="H902"/>
          <cell r="I902"/>
          <cell r="J902"/>
          <cell r="K902"/>
          <cell r="L902"/>
        </row>
        <row r="903">
          <cell r="C903"/>
          <cell r="D903"/>
          <cell r="E903"/>
          <cell r="F903"/>
          <cell r="G903"/>
          <cell r="H903"/>
          <cell r="I903"/>
          <cell r="J903"/>
          <cell r="K903"/>
          <cell r="L903"/>
        </row>
        <row r="904">
          <cell r="C904"/>
          <cell r="D904"/>
          <cell r="E904"/>
          <cell r="F904"/>
          <cell r="G904"/>
          <cell r="H904"/>
          <cell r="I904"/>
          <cell r="J904"/>
          <cell r="K904"/>
          <cell r="L904"/>
        </row>
        <row r="905">
          <cell r="C905"/>
          <cell r="D905"/>
          <cell r="E905"/>
          <cell r="F905"/>
          <cell r="G905"/>
          <cell r="H905"/>
          <cell r="I905"/>
          <cell r="J905"/>
          <cell r="K905"/>
          <cell r="L905"/>
        </row>
        <row r="906">
          <cell r="C906"/>
          <cell r="D906"/>
          <cell r="E906"/>
          <cell r="F906"/>
          <cell r="G906"/>
          <cell r="H906"/>
          <cell r="I906"/>
          <cell r="J906"/>
          <cell r="K906"/>
          <cell r="L906"/>
        </row>
        <row r="907">
          <cell r="C907"/>
          <cell r="D907"/>
          <cell r="E907"/>
          <cell r="F907"/>
          <cell r="G907"/>
          <cell r="H907"/>
          <cell r="I907"/>
          <cell r="J907"/>
          <cell r="K907"/>
          <cell r="L907"/>
        </row>
        <row r="908">
          <cell r="C908"/>
          <cell r="D908"/>
          <cell r="E908"/>
          <cell r="F908"/>
          <cell r="G908"/>
          <cell r="H908"/>
          <cell r="I908"/>
          <cell r="J908"/>
          <cell r="K908"/>
          <cell r="L908"/>
        </row>
        <row r="909">
          <cell r="C909"/>
          <cell r="D909"/>
          <cell r="E909"/>
          <cell r="F909"/>
          <cell r="G909"/>
          <cell r="H909"/>
          <cell r="I909"/>
          <cell r="J909"/>
          <cell r="K909"/>
          <cell r="L909"/>
        </row>
        <row r="910">
          <cell r="C910"/>
          <cell r="D910"/>
          <cell r="E910"/>
          <cell r="F910"/>
          <cell r="G910"/>
          <cell r="H910"/>
          <cell r="I910"/>
          <cell r="J910"/>
          <cell r="K910"/>
          <cell r="L910"/>
        </row>
        <row r="911">
          <cell r="C911"/>
          <cell r="D911"/>
          <cell r="E911"/>
          <cell r="F911"/>
          <cell r="G911"/>
          <cell r="H911"/>
          <cell r="I911"/>
          <cell r="J911"/>
          <cell r="K911"/>
          <cell r="L911"/>
        </row>
        <row r="912">
          <cell r="C912"/>
          <cell r="D912"/>
          <cell r="E912"/>
          <cell r="F912"/>
          <cell r="G912"/>
          <cell r="H912"/>
          <cell r="I912"/>
          <cell r="J912"/>
          <cell r="K912"/>
          <cell r="L912"/>
        </row>
        <row r="913">
          <cell r="C913"/>
          <cell r="D913"/>
          <cell r="E913"/>
          <cell r="F913"/>
          <cell r="G913"/>
          <cell r="H913"/>
          <cell r="I913"/>
          <cell r="J913"/>
          <cell r="K913"/>
          <cell r="L913"/>
        </row>
        <row r="914">
          <cell r="C914"/>
          <cell r="D914"/>
          <cell r="E914"/>
          <cell r="F914"/>
          <cell r="G914"/>
          <cell r="H914"/>
          <cell r="I914"/>
          <cell r="J914"/>
          <cell r="K914"/>
          <cell r="L914"/>
        </row>
        <row r="915">
          <cell r="C915"/>
          <cell r="D915"/>
          <cell r="E915"/>
          <cell r="F915"/>
          <cell r="G915"/>
          <cell r="H915"/>
          <cell r="I915"/>
          <cell r="J915"/>
          <cell r="K915"/>
          <cell r="L915"/>
        </row>
        <row r="916">
          <cell r="C916"/>
          <cell r="D916"/>
          <cell r="E916"/>
          <cell r="F916"/>
          <cell r="G916"/>
          <cell r="H916"/>
          <cell r="I916"/>
          <cell r="J916"/>
          <cell r="K916"/>
          <cell r="L916"/>
        </row>
        <row r="917">
          <cell r="C917"/>
          <cell r="D917"/>
          <cell r="E917"/>
          <cell r="F917"/>
          <cell r="G917"/>
          <cell r="H917"/>
          <cell r="I917"/>
          <cell r="J917"/>
          <cell r="K917"/>
          <cell r="L917"/>
        </row>
        <row r="918">
          <cell r="C918"/>
          <cell r="D918"/>
          <cell r="E918"/>
          <cell r="F918"/>
          <cell r="G918"/>
          <cell r="H918"/>
          <cell r="I918"/>
          <cell r="J918"/>
          <cell r="K918"/>
          <cell r="L918"/>
        </row>
        <row r="919">
          <cell r="C919"/>
          <cell r="D919"/>
          <cell r="E919"/>
          <cell r="F919"/>
          <cell r="G919"/>
          <cell r="H919"/>
          <cell r="I919"/>
          <cell r="J919"/>
          <cell r="K919"/>
          <cell r="L919"/>
        </row>
        <row r="920">
          <cell r="C920"/>
          <cell r="D920"/>
          <cell r="E920"/>
          <cell r="F920"/>
          <cell r="G920"/>
          <cell r="H920"/>
          <cell r="I920"/>
          <cell r="J920"/>
          <cell r="K920"/>
          <cell r="L920"/>
        </row>
        <row r="921">
          <cell r="C921"/>
          <cell r="D921"/>
          <cell r="E921"/>
          <cell r="F921"/>
          <cell r="G921"/>
          <cell r="H921"/>
          <cell r="I921"/>
          <cell r="J921"/>
          <cell r="K921"/>
          <cell r="L921"/>
        </row>
        <row r="922">
          <cell r="C922"/>
          <cell r="D922"/>
          <cell r="E922"/>
          <cell r="F922"/>
          <cell r="G922"/>
          <cell r="H922"/>
          <cell r="I922"/>
          <cell r="J922"/>
          <cell r="K922"/>
          <cell r="L922"/>
        </row>
        <row r="923">
          <cell r="C923"/>
          <cell r="D923"/>
          <cell r="E923"/>
          <cell r="F923"/>
          <cell r="G923"/>
          <cell r="H923"/>
          <cell r="I923"/>
          <cell r="J923"/>
          <cell r="K923"/>
          <cell r="L923"/>
        </row>
        <row r="924">
          <cell r="C924"/>
          <cell r="D924"/>
          <cell r="E924"/>
          <cell r="F924"/>
          <cell r="G924"/>
          <cell r="H924"/>
          <cell r="I924"/>
          <cell r="J924"/>
          <cell r="K924"/>
          <cell r="L924"/>
        </row>
        <row r="925">
          <cell r="C925"/>
          <cell r="D925"/>
          <cell r="E925"/>
          <cell r="F925"/>
          <cell r="G925"/>
          <cell r="H925"/>
          <cell r="I925"/>
          <cell r="J925"/>
          <cell r="K925"/>
          <cell r="L925"/>
        </row>
        <row r="926">
          <cell r="C926"/>
          <cell r="D926"/>
          <cell r="E926"/>
          <cell r="F926"/>
          <cell r="G926"/>
          <cell r="H926"/>
          <cell r="I926"/>
          <cell r="J926"/>
          <cell r="K926"/>
          <cell r="L926"/>
        </row>
        <row r="927">
          <cell r="C927"/>
          <cell r="D927"/>
          <cell r="E927"/>
          <cell r="F927"/>
          <cell r="G927"/>
          <cell r="H927"/>
          <cell r="I927"/>
          <cell r="J927"/>
          <cell r="K927"/>
          <cell r="L927"/>
        </row>
        <row r="928">
          <cell r="C928"/>
          <cell r="D928"/>
          <cell r="E928"/>
          <cell r="F928"/>
          <cell r="G928"/>
          <cell r="H928"/>
          <cell r="I928"/>
          <cell r="J928"/>
          <cell r="K928"/>
          <cell r="L928"/>
        </row>
        <row r="929">
          <cell r="C929"/>
          <cell r="D929"/>
          <cell r="E929"/>
          <cell r="F929"/>
          <cell r="G929"/>
          <cell r="H929"/>
          <cell r="I929"/>
          <cell r="J929"/>
          <cell r="K929"/>
          <cell r="L929"/>
        </row>
        <row r="930">
          <cell r="C930"/>
          <cell r="D930"/>
          <cell r="E930"/>
          <cell r="F930"/>
          <cell r="G930"/>
          <cell r="H930"/>
          <cell r="I930"/>
          <cell r="J930"/>
          <cell r="K930"/>
          <cell r="L930"/>
        </row>
        <row r="931">
          <cell r="C931"/>
          <cell r="D931"/>
          <cell r="E931"/>
          <cell r="F931"/>
          <cell r="G931"/>
          <cell r="H931"/>
          <cell r="I931"/>
          <cell r="J931"/>
          <cell r="K931"/>
          <cell r="L931"/>
        </row>
        <row r="932">
          <cell r="C932"/>
          <cell r="D932"/>
          <cell r="E932"/>
          <cell r="F932"/>
          <cell r="G932"/>
          <cell r="H932"/>
          <cell r="I932"/>
          <cell r="J932"/>
          <cell r="K932"/>
          <cell r="L932"/>
        </row>
        <row r="933">
          <cell r="C933"/>
          <cell r="D933"/>
          <cell r="E933"/>
          <cell r="F933"/>
          <cell r="G933"/>
          <cell r="H933"/>
          <cell r="I933"/>
          <cell r="J933"/>
          <cell r="K933"/>
          <cell r="L933"/>
        </row>
        <row r="934">
          <cell r="C934"/>
          <cell r="D934"/>
          <cell r="E934"/>
          <cell r="F934"/>
          <cell r="G934"/>
          <cell r="H934"/>
          <cell r="I934"/>
          <cell r="J934"/>
          <cell r="K934"/>
          <cell r="L934"/>
        </row>
        <row r="935">
          <cell r="C935"/>
          <cell r="D935"/>
          <cell r="E935"/>
          <cell r="F935"/>
          <cell r="G935"/>
          <cell r="H935"/>
          <cell r="I935"/>
          <cell r="J935"/>
          <cell r="K935"/>
          <cell r="L935"/>
        </row>
        <row r="936">
          <cell r="C936"/>
          <cell r="D936"/>
          <cell r="E936"/>
          <cell r="F936"/>
          <cell r="G936"/>
          <cell r="H936"/>
          <cell r="I936"/>
          <cell r="J936"/>
          <cell r="K936"/>
          <cell r="L936"/>
        </row>
        <row r="937">
          <cell r="C937"/>
          <cell r="D937"/>
          <cell r="E937"/>
          <cell r="F937"/>
          <cell r="G937"/>
          <cell r="H937"/>
          <cell r="I937"/>
          <cell r="J937"/>
          <cell r="K937"/>
          <cell r="L937"/>
        </row>
        <row r="938">
          <cell r="C938"/>
          <cell r="D938"/>
          <cell r="E938"/>
          <cell r="F938"/>
          <cell r="G938"/>
          <cell r="H938"/>
          <cell r="I938"/>
          <cell r="J938"/>
          <cell r="K938"/>
          <cell r="L938"/>
        </row>
        <row r="939">
          <cell r="C939"/>
          <cell r="D939"/>
          <cell r="E939"/>
          <cell r="F939"/>
          <cell r="G939"/>
          <cell r="H939"/>
          <cell r="I939"/>
          <cell r="J939"/>
          <cell r="K939"/>
          <cell r="L939"/>
        </row>
        <row r="940">
          <cell r="C940"/>
          <cell r="D940"/>
          <cell r="E940"/>
          <cell r="F940"/>
          <cell r="G940"/>
          <cell r="H940"/>
          <cell r="I940"/>
          <cell r="J940"/>
          <cell r="K940"/>
          <cell r="L940"/>
        </row>
        <row r="941">
          <cell r="C941"/>
          <cell r="D941"/>
          <cell r="E941"/>
          <cell r="F941"/>
          <cell r="G941"/>
          <cell r="H941"/>
          <cell r="I941"/>
          <cell r="J941"/>
          <cell r="K941"/>
          <cell r="L941"/>
        </row>
        <row r="942">
          <cell r="C942"/>
          <cell r="D942"/>
          <cell r="E942"/>
          <cell r="F942"/>
          <cell r="G942"/>
          <cell r="H942"/>
          <cell r="I942"/>
          <cell r="J942"/>
          <cell r="K942"/>
          <cell r="L942"/>
        </row>
        <row r="943">
          <cell r="C943"/>
          <cell r="D943"/>
          <cell r="E943"/>
          <cell r="F943"/>
          <cell r="G943"/>
          <cell r="H943"/>
          <cell r="I943"/>
          <cell r="J943"/>
          <cell r="K943"/>
          <cell r="L943"/>
        </row>
        <row r="944">
          <cell r="C944"/>
          <cell r="D944"/>
          <cell r="E944"/>
          <cell r="F944"/>
          <cell r="G944"/>
          <cell r="H944"/>
          <cell r="I944"/>
          <cell r="J944"/>
          <cell r="K944"/>
          <cell r="L944"/>
        </row>
        <row r="945">
          <cell r="C945"/>
          <cell r="D945"/>
          <cell r="E945"/>
          <cell r="F945"/>
          <cell r="G945"/>
          <cell r="H945"/>
          <cell r="I945"/>
          <cell r="J945"/>
          <cell r="K945"/>
          <cell r="L945"/>
        </row>
        <row r="946">
          <cell r="C946"/>
          <cell r="D946"/>
          <cell r="E946"/>
          <cell r="F946"/>
          <cell r="G946"/>
          <cell r="H946"/>
          <cell r="I946"/>
          <cell r="J946"/>
          <cell r="K946"/>
          <cell r="L946"/>
        </row>
        <row r="947">
          <cell r="C947"/>
          <cell r="D947"/>
          <cell r="E947"/>
          <cell r="F947"/>
          <cell r="G947"/>
          <cell r="H947"/>
          <cell r="I947"/>
          <cell r="J947"/>
          <cell r="K947"/>
          <cell r="L947"/>
        </row>
        <row r="948">
          <cell r="C948"/>
          <cell r="D948"/>
          <cell r="E948"/>
          <cell r="F948"/>
          <cell r="G948"/>
          <cell r="H948"/>
          <cell r="I948"/>
          <cell r="J948"/>
          <cell r="K948"/>
          <cell r="L948"/>
        </row>
        <row r="949">
          <cell r="C949"/>
          <cell r="D949"/>
          <cell r="E949"/>
          <cell r="F949"/>
          <cell r="G949"/>
          <cell r="H949"/>
          <cell r="I949"/>
          <cell r="J949"/>
          <cell r="K949"/>
          <cell r="L949"/>
        </row>
        <row r="950">
          <cell r="C950"/>
          <cell r="D950"/>
          <cell r="E950"/>
          <cell r="F950"/>
          <cell r="G950"/>
          <cell r="H950"/>
          <cell r="I950"/>
          <cell r="J950"/>
          <cell r="K950"/>
          <cell r="L950"/>
        </row>
        <row r="951">
          <cell r="C951"/>
          <cell r="D951"/>
          <cell r="E951"/>
          <cell r="F951"/>
          <cell r="G951"/>
          <cell r="H951"/>
          <cell r="I951"/>
          <cell r="J951"/>
          <cell r="K951"/>
          <cell r="L951"/>
        </row>
        <row r="952">
          <cell r="C952"/>
          <cell r="D952"/>
          <cell r="E952"/>
          <cell r="F952"/>
          <cell r="G952"/>
          <cell r="H952"/>
          <cell r="I952"/>
          <cell r="J952"/>
          <cell r="K952"/>
          <cell r="L952"/>
        </row>
        <row r="953">
          <cell r="C953"/>
          <cell r="D953"/>
          <cell r="E953"/>
          <cell r="F953"/>
          <cell r="G953"/>
          <cell r="H953"/>
          <cell r="I953"/>
          <cell r="J953"/>
          <cell r="K953"/>
          <cell r="L953"/>
        </row>
        <row r="954">
          <cell r="C954"/>
          <cell r="D954"/>
          <cell r="E954"/>
          <cell r="F954"/>
          <cell r="G954"/>
          <cell r="H954"/>
          <cell r="I954"/>
          <cell r="J954"/>
          <cell r="K954"/>
          <cell r="L954"/>
        </row>
        <row r="955">
          <cell r="C955"/>
          <cell r="D955"/>
          <cell r="E955"/>
          <cell r="F955"/>
          <cell r="G955"/>
          <cell r="H955"/>
          <cell r="I955"/>
          <cell r="J955"/>
          <cell r="K955"/>
          <cell r="L955"/>
        </row>
        <row r="956">
          <cell r="C956"/>
          <cell r="D956"/>
          <cell r="E956"/>
          <cell r="F956"/>
          <cell r="G956"/>
          <cell r="H956"/>
          <cell r="I956"/>
          <cell r="J956"/>
          <cell r="K956"/>
          <cell r="L956"/>
        </row>
        <row r="957">
          <cell r="C957"/>
          <cell r="D957"/>
          <cell r="E957"/>
          <cell r="F957"/>
          <cell r="G957"/>
          <cell r="H957"/>
          <cell r="I957"/>
          <cell r="J957"/>
          <cell r="K957"/>
          <cell r="L957"/>
        </row>
        <row r="958">
          <cell r="C958"/>
          <cell r="D958"/>
          <cell r="E958"/>
          <cell r="F958"/>
          <cell r="G958"/>
          <cell r="H958"/>
          <cell r="I958"/>
          <cell r="J958"/>
          <cell r="K958"/>
          <cell r="L958"/>
        </row>
        <row r="959">
          <cell r="C959"/>
          <cell r="D959"/>
          <cell r="E959"/>
          <cell r="F959"/>
          <cell r="G959"/>
          <cell r="H959"/>
          <cell r="I959"/>
          <cell r="J959"/>
          <cell r="K959"/>
          <cell r="L959"/>
        </row>
        <row r="960">
          <cell r="C960"/>
          <cell r="D960"/>
          <cell r="E960"/>
          <cell r="F960"/>
          <cell r="G960"/>
          <cell r="H960"/>
          <cell r="I960"/>
          <cell r="J960"/>
          <cell r="K960"/>
          <cell r="L960"/>
        </row>
        <row r="961">
          <cell r="C961"/>
          <cell r="D961"/>
          <cell r="E961"/>
          <cell r="F961"/>
          <cell r="G961"/>
          <cell r="H961"/>
          <cell r="I961"/>
          <cell r="J961"/>
          <cell r="K961"/>
          <cell r="L961"/>
        </row>
        <row r="962">
          <cell r="C962"/>
          <cell r="D962"/>
          <cell r="E962"/>
          <cell r="F962"/>
          <cell r="G962"/>
          <cell r="H962"/>
          <cell r="I962"/>
          <cell r="J962"/>
          <cell r="K962"/>
          <cell r="L962"/>
        </row>
        <row r="963">
          <cell r="C963"/>
          <cell r="D963"/>
          <cell r="E963"/>
          <cell r="F963"/>
          <cell r="G963"/>
          <cell r="H963"/>
          <cell r="I963"/>
          <cell r="J963"/>
          <cell r="K963"/>
          <cell r="L963"/>
        </row>
        <row r="964">
          <cell r="C964"/>
          <cell r="D964"/>
          <cell r="E964"/>
          <cell r="F964"/>
          <cell r="G964"/>
          <cell r="H964"/>
          <cell r="I964"/>
          <cell r="J964"/>
          <cell r="K964"/>
          <cell r="L964"/>
        </row>
        <row r="965">
          <cell r="C965"/>
          <cell r="D965"/>
          <cell r="E965"/>
          <cell r="F965"/>
          <cell r="G965"/>
          <cell r="H965"/>
          <cell r="I965"/>
          <cell r="J965"/>
          <cell r="K965"/>
          <cell r="L965"/>
        </row>
        <row r="966">
          <cell r="C966"/>
          <cell r="D966"/>
          <cell r="E966"/>
          <cell r="F966"/>
          <cell r="G966"/>
          <cell r="H966"/>
          <cell r="I966"/>
          <cell r="J966"/>
          <cell r="K966"/>
          <cell r="L966"/>
        </row>
        <row r="967">
          <cell r="C967"/>
          <cell r="D967"/>
          <cell r="E967"/>
          <cell r="F967"/>
          <cell r="G967"/>
          <cell r="H967"/>
          <cell r="I967"/>
          <cell r="J967"/>
          <cell r="K967"/>
          <cell r="L967"/>
        </row>
        <row r="968">
          <cell r="C968"/>
          <cell r="D968"/>
          <cell r="E968"/>
          <cell r="F968"/>
          <cell r="G968"/>
          <cell r="H968"/>
          <cell r="I968"/>
          <cell r="J968"/>
          <cell r="K968"/>
          <cell r="L968"/>
        </row>
        <row r="969">
          <cell r="C969"/>
          <cell r="D969"/>
          <cell r="E969"/>
          <cell r="F969"/>
          <cell r="G969"/>
          <cell r="H969"/>
          <cell r="I969"/>
          <cell r="J969"/>
          <cell r="K969"/>
          <cell r="L969"/>
        </row>
        <row r="970">
          <cell r="C970"/>
          <cell r="D970"/>
          <cell r="E970"/>
          <cell r="F970"/>
          <cell r="G970"/>
          <cell r="H970"/>
          <cell r="I970"/>
          <cell r="J970"/>
          <cell r="K970"/>
          <cell r="L970"/>
        </row>
        <row r="971">
          <cell r="C971"/>
          <cell r="D971"/>
          <cell r="E971"/>
          <cell r="F971"/>
          <cell r="G971"/>
          <cell r="H971"/>
          <cell r="I971"/>
          <cell r="J971"/>
          <cell r="K971"/>
          <cell r="L971"/>
        </row>
        <row r="972">
          <cell r="C972"/>
          <cell r="D972"/>
          <cell r="E972"/>
          <cell r="F972"/>
          <cell r="G972"/>
          <cell r="H972"/>
          <cell r="I972"/>
          <cell r="J972"/>
          <cell r="K972"/>
          <cell r="L972"/>
        </row>
        <row r="973">
          <cell r="C973"/>
          <cell r="D973"/>
          <cell r="E973"/>
          <cell r="F973"/>
          <cell r="G973"/>
          <cell r="H973"/>
          <cell r="I973"/>
          <cell r="J973"/>
          <cell r="K973"/>
          <cell r="L973"/>
        </row>
        <row r="974">
          <cell r="C974"/>
          <cell r="D974"/>
          <cell r="E974"/>
          <cell r="F974"/>
          <cell r="G974"/>
          <cell r="H974"/>
          <cell r="I974"/>
          <cell r="J974"/>
          <cell r="K974"/>
          <cell r="L974"/>
        </row>
        <row r="975">
          <cell r="C975"/>
          <cell r="D975"/>
          <cell r="E975"/>
          <cell r="F975"/>
          <cell r="G975"/>
          <cell r="H975"/>
          <cell r="I975"/>
          <cell r="J975"/>
          <cell r="K975"/>
          <cell r="L975"/>
        </row>
        <row r="976">
          <cell r="C976"/>
          <cell r="D976"/>
          <cell r="E976"/>
          <cell r="F976"/>
          <cell r="G976"/>
          <cell r="H976"/>
          <cell r="I976"/>
          <cell r="J976"/>
          <cell r="K976"/>
          <cell r="L976"/>
        </row>
        <row r="977">
          <cell r="C977"/>
          <cell r="D977"/>
          <cell r="E977"/>
          <cell r="F977"/>
          <cell r="G977"/>
          <cell r="H977"/>
          <cell r="I977"/>
          <cell r="J977"/>
          <cell r="K977"/>
          <cell r="L977"/>
        </row>
        <row r="978">
          <cell r="C978"/>
          <cell r="D978"/>
          <cell r="E978"/>
          <cell r="F978"/>
          <cell r="G978"/>
          <cell r="H978"/>
          <cell r="I978"/>
          <cell r="J978"/>
          <cell r="K978"/>
          <cell r="L978"/>
        </row>
        <row r="979">
          <cell r="C979"/>
          <cell r="D979"/>
          <cell r="E979"/>
          <cell r="F979"/>
          <cell r="G979"/>
          <cell r="H979"/>
          <cell r="I979"/>
          <cell r="J979"/>
          <cell r="K979"/>
          <cell r="L979"/>
        </row>
        <row r="980">
          <cell r="C980"/>
          <cell r="D980"/>
          <cell r="E980"/>
          <cell r="F980"/>
          <cell r="G980"/>
          <cell r="H980"/>
          <cell r="I980"/>
          <cell r="J980"/>
          <cell r="K980"/>
          <cell r="L980"/>
        </row>
        <row r="981">
          <cell r="C981"/>
          <cell r="D981"/>
          <cell r="E981"/>
          <cell r="F981"/>
          <cell r="G981"/>
          <cell r="H981"/>
          <cell r="I981"/>
          <cell r="J981"/>
          <cell r="K981"/>
          <cell r="L981"/>
        </row>
        <row r="982">
          <cell r="C982"/>
          <cell r="D982"/>
          <cell r="E982"/>
          <cell r="F982"/>
          <cell r="G982"/>
          <cell r="H982"/>
          <cell r="I982"/>
          <cell r="J982"/>
          <cell r="K982"/>
          <cell r="L982"/>
        </row>
        <row r="983">
          <cell r="C983"/>
          <cell r="D983"/>
          <cell r="E983"/>
          <cell r="F983"/>
          <cell r="G983"/>
          <cell r="H983"/>
          <cell r="I983"/>
          <cell r="J983"/>
          <cell r="K983"/>
          <cell r="L983"/>
        </row>
        <row r="984">
          <cell r="C984"/>
          <cell r="D984"/>
          <cell r="E984"/>
          <cell r="F984"/>
          <cell r="G984"/>
          <cell r="H984"/>
          <cell r="I984"/>
          <cell r="J984"/>
          <cell r="K984"/>
          <cell r="L984"/>
        </row>
        <row r="985">
          <cell r="C985"/>
          <cell r="D985"/>
          <cell r="E985"/>
          <cell r="F985"/>
          <cell r="G985"/>
          <cell r="H985"/>
          <cell r="I985"/>
          <cell r="J985"/>
          <cell r="K985"/>
          <cell r="L985"/>
        </row>
        <row r="986">
          <cell r="C986"/>
          <cell r="D986"/>
          <cell r="E986"/>
          <cell r="F986"/>
          <cell r="G986"/>
          <cell r="H986"/>
          <cell r="I986"/>
          <cell r="J986"/>
          <cell r="K986"/>
          <cell r="L986"/>
        </row>
        <row r="987">
          <cell r="C987"/>
          <cell r="D987"/>
          <cell r="E987"/>
          <cell r="F987"/>
          <cell r="G987"/>
          <cell r="H987"/>
          <cell r="I987"/>
          <cell r="J987"/>
          <cell r="K987"/>
          <cell r="L987"/>
        </row>
        <row r="988">
          <cell r="C988"/>
          <cell r="D988"/>
          <cell r="E988"/>
          <cell r="F988"/>
          <cell r="G988"/>
          <cell r="H988"/>
          <cell r="I988"/>
          <cell r="J988"/>
          <cell r="K988"/>
          <cell r="L988"/>
        </row>
        <row r="989">
          <cell r="C989"/>
          <cell r="D989"/>
          <cell r="E989"/>
          <cell r="F989"/>
          <cell r="G989"/>
          <cell r="H989"/>
          <cell r="I989"/>
          <cell r="J989"/>
          <cell r="K989"/>
          <cell r="L989"/>
        </row>
        <row r="990">
          <cell r="C990"/>
          <cell r="D990"/>
          <cell r="E990"/>
          <cell r="F990"/>
          <cell r="G990"/>
          <cell r="H990"/>
          <cell r="I990"/>
          <cell r="J990"/>
          <cell r="K990"/>
          <cell r="L990"/>
        </row>
        <row r="991">
          <cell r="C991"/>
          <cell r="D991"/>
          <cell r="E991"/>
          <cell r="F991"/>
          <cell r="G991"/>
          <cell r="H991"/>
          <cell r="I991"/>
          <cell r="J991"/>
          <cell r="K991"/>
          <cell r="L991"/>
        </row>
        <row r="992">
          <cell r="C992"/>
          <cell r="D992"/>
          <cell r="E992"/>
          <cell r="F992"/>
          <cell r="G992"/>
          <cell r="H992"/>
          <cell r="I992"/>
          <cell r="J992"/>
          <cell r="K992"/>
          <cell r="L992"/>
        </row>
        <row r="993">
          <cell r="C993"/>
          <cell r="D993"/>
          <cell r="E993"/>
          <cell r="F993"/>
          <cell r="G993"/>
          <cell r="H993"/>
          <cell r="I993"/>
          <cell r="J993"/>
          <cell r="K993"/>
          <cell r="L993"/>
        </row>
        <row r="994">
          <cell r="C994"/>
          <cell r="D994"/>
          <cell r="E994"/>
          <cell r="F994"/>
          <cell r="G994"/>
          <cell r="H994"/>
          <cell r="I994"/>
          <cell r="J994"/>
          <cell r="K994"/>
          <cell r="L994"/>
        </row>
        <row r="995">
          <cell r="C995"/>
          <cell r="D995"/>
          <cell r="E995"/>
          <cell r="F995"/>
          <cell r="G995"/>
          <cell r="H995"/>
          <cell r="I995"/>
          <cell r="J995"/>
          <cell r="K995"/>
          <cell r="L995"/>
        </row>
        <row r="996">
          <cell r="C996"/>
          <cell r="D996"/>
          <cell r="E996"/>
          <cell r="F996"/>
          <cell r="G996"/>
          <cell r="H996"/>
          <cell r="I996"/>
          <cell r="J996"/>
          <cell r="K996"/>
          <cell r="L996"/>
        </row>
        <row r="997">
          <cell r="C997"/>
          <cell r="D997"/>
          <cell r="E997"/>
          <cell r="F997"/>
          <cell r="G997"/>
          <cell r="H997"/>
          <cell r="I997"/>
          <cell r="J997"/>
          <cell r="K997"/>
          <cell r="L997"/>
        </row>
        <row r="998">
          <cell r="C998"/>
          <cell r="D998"/>
          <cell r="E998"/>
          <cell r="F998"/>
          <cell r="G998"/>
          <cell r="H998"/>
          <cell r="I998"/>
          <cell r="J998"/>
          <cell r="K998"/>
          <cell r="L998"/>
        </row>
        <row r="999">
          <cell r="C999"/>
          <cell r="D999"/>
          <cell r="E999"/>
          <cell r="F999"/>
          <cell r="G999"/>
          <cell r="H999"/>
          <cell r="I999"/>
          <cell r="J999"/>
          <cell r="K999"/>
          <cell r="L999"/>
        </row>
        <row r="1000">
          <cell r="C1000"/>
          <cell r="D1000"/>
          <cell r="E1000"/>
          <cell r="F1000"/>
          <cell r="G1000"/>
          <cell r="H1000"/>
          <cell r="I1000"/>
          <cell r="J1000"/>
          <cell r="K1000"/>
          <cell r="L1000"/>
        </row>
        <row r="1001">
          <cell r="C1001"/>
          <cell r="D1001"/>
          <cell r="E1001"/>
          <cell r="F1001"/>
          <cell r="G1001"/>
          <cell r="H1001"/>
          <cell r="I1001"/>
          <cell r="J1001"/>
          <cell r="K1001"/>
          <cell r="L1001"/>
        </row>
        <row r="1002">
          <cell r="C1002"/>
          <cell r="D1002"/>
          <cell r="E1002"/>
          <cell r="F1002"/>
          <cell r="G1002"/>
          <cell r="H1002"/>
          <cell r="I1002"/>
          <cell r="J1002"/>
          <cell r="K1002"/>
          <cell r="L1002"/>
        </row>
        <row r="1003">
          <cell r="C1003"/>
          <cell r="D1003"/>
          <cell r="E1003"/>
          <cell r="F1003"/>
          <cell r="G1003"/>
          <cell r="H1003"/>
          <cell r="I1003"/>
          <cell r="J1003"/>
          <cell r="K1003"/>
          <cell r="L1003"/>
        </row>
        <row r="1004">
          <cell r="C1004"/>
          <cell r="D1004"/>
          <cell r="E1004"/>
          <cell r="F1004"/>
          <cell r="G1004"/>
          <cell r="H1004"/>
          <cell r="I1004"/>
          <cell r="J1004"/>
          <cell r="K1004"/>
          <cell r="L1004"/>
        </row>
        <row r="1005">
          <cell r="C1005"/>
          <cell r="D1005"/>
          <cell r="E1005"/>
          <cell r="F1005"/>
          <cell r="G1005"/>
          <cell r="H1005"/>
          <cell r="I1005"/>
          <cell r="J1005"/>
          <cell r="K1005"/>
          <cell r="L1005"/>
        </row>
        <row r="1006">
          <cell r="C1006"/>
          <cell r="D1006"/>
          <cell r="E1006"/>
          <cell r="F1006"/>
          <cell r="G1006"/>
          <cell r="H1006"/>
          <cell r="I1006"/>
          <cell r="J1006"/>
          <cell r="K1006"/>
          <cell r="L1006"/>
        </row>
        <row r="1007">
          <cell r="C1007"/>
          <cell r="D1007"/>
          <cell r="E1007"/>
          <cell r="F1007"/>
          <cell r="G1007"/>
          <cell r="H1007"/>
          <cell r="I1007"/>
          <cell r="J1007"/>
          <cell r="K1007"/>
          <cell r="L1007"/>
        </row>
        <row r="1008">
          <cell r="C1008"/>
          <cell r="D1008"/>
          <cell r="E1008"/>
          <cell r="F1008"/>
          <cell r="G1008"/>
          <cell r="H1008"/>
          <cell r="I1008"/>
          <cell r="J1008"/>
          <cell r="K1008"/>
          <cell r="L1008"/>
        </row>
        <row r="1009">
          <cell r="C1009"/>
          <cell r="D1009"/>
          <cell r="E1009"/>
          <cell r="F1009"/>
          <cell r="G1009"/>
          <cell r="H1009"/>
          <cell r="I1009"/>
          <cell r="J1009"/>
          <cell r="K1009"/>
          <cell r="L1009"/>
        </row>
        <row r="1010">
          <cell r="C1010"/>
          <cell r="D1010"/>
          <cell r="E1010"/>
          <cell r="F1010"/>
          <cell r="G1010"/>
          <cell r="H1010"/>
          <cell r="I1010"/>
          <cell r="J1010"/>
          <cell r="K1010"/>
          <cell r="L1010"/>
        </row>
        <row r="1011">
          <cell r="C1011"/>
          <cell r="D1011"/>
          <cell r="E1011"/>
          <cell r="F1011"/>
          <cell r="G1011"/>
          <cell r="H1011"/>
          <cell r="I1011"/>
          <cell r="J1011"/>
          <cell r="K1011"/>
          <cell r="L1011"/>
        </row>
        <row r="1012">
          <cell r="C1012"/>
          <cell r="D1012"/>
          <cell r="E1012"/>
          <cell r="F1012"/>
          <cell r="G1012"/>
          <cell r="H1012"/>
          <cell r="I1012"/>
          <cell r="J1012"/>
          <cell r="K1012"/>
          <cell r="L1012"/>
        </row>
        <row r="1013">
          <cell r="C1013"/>
          <cell r="D1013"/>
          <cell r="E1013"/>
          <cell r="F1013"/>
          <cell r="G1013"/>
          <cell r="H1013"/>
          <cell r="I1013"/>
          <cell r="J1013"/>
          <cell r="K1013"/>
          <cell r="L1013"/>
        </row>
        <row r="1014">
          <cell r="C1014"/>
          <cell r="D1014"/>
          <cell r="E1014"/>
          <cell r="F1014"/>
          <cell r="G1014"/>
          <cell r="H1014"/>
          <cell r="I1014"/>
          <cell r="J1014"/>
          <cell r="K1014"/>
          <cell r="L1014"/>
        </row>
        <row r="1015">
          <cell r="C1015"/>
          <cell r="D1015"/>
          <cell r="E1015"/>
          <cell r="F1015"/>
          <cell r="G1015"/>
          <cell r="H1015"/>
          <cell r="I1015"/>
          <cell r="J1015"/>
          <cell r="K1015"/>
          <cell r="L1015"/>
        </row>
        <row r="1016">
          <cell r="C1016"/>
          <cell r="D1016"/>
          <cell r="E1016"/>
          <cell r="F1016"/>
          <cell r="G1016"/>
          <cell r="H1016"/>
          <cell r="I1016"/>
          <cell r="J1016"/>
          <cell r="K1016"/>
          <cell r="L1016"/>
        </row>
        <row r="1017">
          <cell r="C1017"/>
          <cell r="D1017"/>
          <cell r="E1017"/>
          <cell r="F1017"/>
          <cell r="G1017"/>
          <cell r="H1017"/>
          <cell r="I1017"/>
          <cell r="J1017"/>
          <cell r="K1017"/>
          <cell r="L1017"/>
        </row>
        <row r="1018">
          <cell r="C1018"/>
          <cell r="D1018"/>
          <cell r="E1018"/>
          <cell r="F1018"/>
          <cell r="G1018"/>
          <cell r="H1018"/>
          <cell r="I1018"/>
          <cell r="J1018"/>
          <cell r="K1018"/>
          <cell r="L1018"/>
        </row>
        <row r="1019">
          <cell r="C1019"/>
          <cell r="D1019"/>
          <cell r="E1019"/>
          <cell r="F1019"/>
          <cell r="G1019"/>
          <cell r="H1019"/>
          <cell r="I1019"/>
          <cell r="J1019"/>
          <cell r="K1019"/>
          <cell r="L1019"/>
        </row>
        <row r="1020">
          <cell r="C1020"/>
          <cell r="D1020"/>
          <cell r="E1020"/>
          <cell r="F1020"/>
          <cell r="G1020"/>
          <cell r="H1020"/>
          <cell r="I1020"/>
          <cell r="J1020"/>
          <cell r="K1020"/>
          <cell r="L1020"/>
        </row>
        <row r="1021">
          <cell r="C1021"/>
          <cell r="D1021"/>
          <cell r="E1021"/>
          <cell r="F1021"/>
          <cell r="G1021"/>
          <cell r="H1021"/>
          <cell r="I1021"/>
          <cell r="J1021"/>
          <cell r="K1021"/>
          <cell r="L1021"/>
        </row>
        <row r="1022">
          <cell r="C1022"/>
          <cell r="D1022"/>
          <cell r="E1022"/>
          <cell r="F1022"/>
          <cell r="G1022"/>
          <cell r="H1022"/>
          <cell r="I1022"/>
          <cell r="J1022"/>
          <cell r="K1022"/>
          <cell r="L1022"/>
        </row>
        <row r="1023">
          <cell r="C1023"/>
          <cell r="D1023"/>
          <cell r="E1023"/>
          <cell r="F1023"/>
          <cell r="G1023"/>
          <cell r="H1023"/>
          <cell r="I1023"/>
          <cell r="J1023"/>
          <cell r="K1023"/>
          <cell r="L1023"/>
        </row>
        <row r="1024">
          <cell r="C1024"/>
          <cell r="D1024"/>
          <cell r="E1024"/>
          <cell r="F1024"/>
          <cell r="G1024"/>
          <cell r="H1024"/>
          <cell r="I1024"/>
          <cell r="J1024"/>
          <cell r="K1024"/>
          <cell r="L1024"/>
        </row>
        <row r="1025">
          <cell r="C1025"/>
          <cell r="D1025"/>
          <cell r="E1025"/>
          <cell r="F1025"/>
          <cell r="G1025"/>
          <cell r="H1025"/>
          <cell r="I1025"/>
          <cell r="J1025"/>
          <cell r="K1025"/>
          <cell r="L1025"/>
        </row>
        <row r="1026">
          <cell r="C1026"/>
          <cell r="D1026"/>
          <cell r="E1026"/>
          <cell r="F1026"/>
          <cell r="G1026"/>
          <cell r="H1026"/>
          <cell r="I1026"/>
          <cell r="J1026"/>
          <cell r="K1026"/>
          <cell r="L1026"/>
        </row>
        <row r="1027">
          <cell r="C1027"/>
          <cell r="D1027"/>
          <cell r="E1027"/>
          <cell r="F1027"/>
          <cell r="G1027"/>
          <cell r="H1027"/>
          <cell r="I1027"/>
          <cell r="J1027"/>
          <cell r="K1027"/>
          <cell r="L1027"/>
        </row>
        <row r="1028">
          <cell r="C1028"/>
          <cell r="D1028"/>
          <cell r="E1028"/>
          <cell r="F1028"/>
          <cell r="G1028"/>
          <cell r="H1028"/>
          <cell r="I1028"/>
          <cell r="J1028"/>
          <cell r="K1028"/>
          <cell r="L1028"/>
        </row>
        <row r="1029">
          <cell r="C1029"/>
          <cell r="D1029"/>
          <cell r="E1029"/>
          <cell r="F1029"/>
          <cell r="G1029"/>
          <cell r="H1029"/>
          <cell r="I1029"/>
          <cell r="J1029"/>
          <cell r="K1029"/>
          <cell r="L1029"/>
        </row>
        <row r="1030">
          <cell r="C1030"/>
          <cell r="D1030"/>
          <cell r="E1030"/>
          <cell r="F1030"/>
          <cell r="G1030"/>
          <cell r="H1030"/>
          <cell r="I1030"/>
          <cell r="J1030"/>
          <cell r="K1030"/>
          <cell r="L1030"/>
        </row>
        <row r="1031">
          <cell r="C1031"/>
          <cell r="D1031"/>
          <cell r="E1031"/>
          <cell r="F1031"/>
          <cell r="G1031"/>
          <cell r="H1031"/>
          <cell r="I1031"/>
          <cell r="J1031"/>
          <cell r="K1031"/>
          <cell r="L1031"/>
        </row>
        <row r="1032">
          <cell r="C1032"/>
          <cell r="D1032"/>
          <cell r="E1032"/>
          <cell r="F1032"/>
          <cell r="G1032"/>
          <cell r="H1032"/>
          <cell r="I1032"/>
          <cell r="J1032"/>
          <cell r="K1032"/>
          <cell r="L1032"/>
        </row>
        <row r="1033">
          <cell r="C1033"/>
          <cell r="D1033"/>
          <cell r="E1033"/>
          <cell r="F1033"/>
          <cell r="G1033"/>
          <cell r="H1033"/>
          <cell r="I1033"/>
          <cell r="J1033"/>
          <cell r="K1033"/>
          <cell r="L1033"/>
        </row>
        <row r="1034">
          <cell r="C1034"/>
          <cell r="D1034"/>
          <cell r="E1034"/>
          <cell r="F1034"/>
          <cell r="G1034"/>
          <cell r="H1034"/>
          <cell r="I1034"/>
          <cell r="J1034"/>
          <cell r="K1034"/>
          <cell r="L1034"/>
        </row>
        <row r="1035">
          <cell r="C1035"/>
          <cell r="D1035"/>
          <cell r="E1035"/>
          <cell r="F1035"/>
          <cell r="G1035"/>
          <cell r="H1035"/>
          <cell r="I1035"/>
          <cell r="J1035"/>
          <cell r="K1035"/>
          <cell r="L1035"/>
        </row>
        <row r="1036">
          <cell r="C1036"/>
          <cell r="D1036"/>
          <cell r="E1036"/>
          <cell r="F1036"/>
          <cell r="G1036"/>
          <cell r="H1036"/>
          <cell r="I1036"/>
          <cell r="J1036"/>
          <cell r="K1036"/>
          <cell r="L1036"/>
        </row>
        <row r="1037">
          <cell r="C1037"/>
          <cell r="D1037"/>
          <cell r="E1037"/>
          <cell r="F1037"/>
          <cell r="G1037"/>
          <cell r="H1037"/>
          <cell r="I1037"/>
          <cell r="J1037"/>
          <cell r="K1037"/>
          <cell r="L1037"/>
        </row>
        <row r="1038">
          <cell r="C1038"/>
          <cell r="D1038"/>
          <cell r="E1038"/>
          <cell r="F1038"/>
          <cell r="G1038"/>
          <cell r="H1038"/>
          <cell r="I1038"/>
          <cell r="J1038"/>
          <cell r="K1038"/>
          <cell r="L1038"/>
        </row>
        <row r="1039">
          <cell r="C1039"/>
          <cell r="D1039"/>
          <cell r="E1039"/>
          <cell r="F1039"/>
          <cell r="G1039"/>
          <cell r="H1039"/>
          <cell r="I1039"/>
          <cell r="J1039"/>
          <cell r="K1039"/>
          <cell r="L1039"/>
        </row>
        <row r="1040">
          <cell r="C1040"/>
          <cell r="D1040"/>
          <cell r="E1040"/>
          <cell r="F1040"/>
          <cell r="G1040"/>
          <cell r="H1040"/>
          <cell r="I1040"/>
          <cell r="J1040"/>
          <cell r="K1040"/>
          <cell r="L1040"/>
        </row>
        <row r="1041">
          <cell r="C1041"/>
          <cell r="D1041"/>
          <cell r="E1041"/>
          <cell r="F1041"/>
          <cell r="G1041"/>
          <cell r="H1041"/>
          <cell r="I1041"/>
          <cell r="J1041"/>
          <cell r="K1041"/>
          <cell r="L1041"/>
        </row>
        <row r="1042">
          <cell r="C1042"/>
          <cell r="D1042"/>
          <cell r="E1042"/>
          <cell r="F1042"/>
          <cell r="G1042"/>
          <cell r="H1042"/>
          <cell r="I1042"/>
          <cell r="J1042"/>
          <cell r="K1042"/>
          <cell r="L1042"/>
        </row>
        <row r="1043">
          <cell r="C1043"/>
          <cell r="D1043"/>
          <cell r="E1043"/>
          <cell r="F1043"/>
          <cell r="G1043"/>
          <cell r="H1043"/>
          <cell r="I1043"/>
          <cell r="J1043"/>
          <cell r="K1043"/>
          <cell r="L1043"/>
        </row>
        <row r="1044">
          <cell r="C1044"/>
          <cell r="D1044"/>
          <cell r="E1044"/>
          <cell r="F1044"/>
          <cell r="G1044"/>
          <cell r="H1044"/>
          <cell r="I1044"/>
          <cell r="J1044"/>
          <cell r="K1044"/>
          <cell r="L1044"/>
        </row>
        <row r="1045">
          <cell r="C1045"/>
          <cell r="D1045"/>
          <cell r="E1045"/>
          <cell r="F1045"/>
          <cell r="G1045"/>
          <cell r="H1045"/>
          <cell r="I1045"/>
          <cell r="J1045"/>
          <cell r="K1045"/>
          <cell r="L1045"/>
        </row>
        <row r="1046">
          <cell r="C1046"/>
          <cell r="D1046"/>
          <cell r="E1046"/>
          <cell r="F1046"/>
          <cell r="G1046"/>
          <cell r="H1046"/>
          <cell r="I1046"/>
          <cell r="J1046"/>
          <cell r="K1046"/>
          <cell r="L1046"/>
        </row>
        <row r="1047">
          <cell r="C1047"/>
          <cell r="D1047"/>
          <cell r="E1047"/>
          <cell r="F1047"/>
          <cell r="G1047"/>
          <cell r="H1047"/>
          <cell r="I1047"/>
          <cell r="J1047"/>
          <cell r="K1047"/>
          <cell r="L1047"/>
        </row>
        <row r="1048">
          <cell r="C1048"/>
          <cell r="D1048"/>
          <cell r="E1048"/>
          <cell r="F1048"/>
          <cell r="G1048"/>
          <cell r="H1048"/>
          <cell r="I1048"/>
          <cell r="J1048"/>
          <cell r="K1048"/>
          <cell r="L1048"/>
        </row>
        <row r="1049">
          <cell r="C1049"/>
          <cell r="D1049"/>
          <cell r="E1049"/>
          <cell r="F1049"/>
          <cell r="G1049"/>
          <cell r="H1049"/>
          <cell r="I1049"/>
          <cell r="J1049"/>
          <cell r="K1049"/>
          <cell r="L1049"/>
        </row>
        <row r="1050">
          <cell r="C1050"/>
          <cell r="D1050"/>
          <cell r="E1050"/>
          <cell r="F1050"/>
          <cell r="G1050"/>
          <cell r="H1050"/>
          <cell r="I1050"/>
          <cell r="J1050"/>
          <cell r="K1050"/>
          <cell r="L1050"/>
        </row>
        <row r="1051">
          <cell r="C1051"/>
          <cell r="D1051"/>
          <cell r="E1051"/>
          <cell r="F1051"/>
          <cell r="G1051"/>
          <cell r="H1051"/>
          <cell r="I1051"/>
          <cell r="J1051"/>
          <cell r="K1051"/>
          <cell r="L1051"/>
        </row>
        <row r="1052">
          <cell r="C1052"/>
          <cell r="D1052"/>
          <cell r="E1052"/>
          <cell r="F1052"/>
          <cell r="G1052"/>
          <cell r="H1052"/>
          <cell r="I1052"/>
          <cell r="J1052"/>
          <cell r="K1052"/>
          <cell r="L1052"/>
        </row>
        <row r="1053">
          <cell r="C1053"/>
          <cell r="D1053"/>
          <cell r="E1053"/>
          <cell r="F1053"/>
          <cell r="G1053"/>
          <cell r="H1053"/>
          <cell r="I1053"/>
          <cell r="J1053"/>
          <cell r="K1053"/>
          <cell r="L1053"/>
        </row>
        <row r="1054">
          <cell r="C1054"/>
          <cell r="D1054"/>
          <cell r="E1054"/>
          <cell r="F1054"/>
          <cell r="G1054"/>
          <cell r="H1054"/>
          <cell r="I1054"/>
          <cell r="J1054"/>
          <cell r="K1054"/>
          <cell r="L1054"/>
        </row>
        <row r="1055">
          <cell r="C1055"/>
          <cell r="D1055"/>
          <cell r="E1055"/>
          <cell r="F1055"/>
          <cell r="G1055"/>
          <cell r="H1055"/>
          <cell r="I1055"/>
          <cell r="J1055"/>
          <cell r="K1055"/>
          <cell r="L1055"/>
        </row>
        <row r="1056">
          <cell r="C1056"/>
          <cell r="D1056"/>
          <cell r="E1056"/>
          <cell r="F1056"/>
          <cell r="G1056"/>
          <cell r="H1056"/>
          <cell r="I1056"/>
          <cell r="J1056"/>
          <cell r="K1056"/>
          <cell r="L1056"/>
        </row>
        <row r="1057">
          <cell r="C1057"/>
          <cell r="D1057"/>
          <cell r="E1057"/>
          <cell r="F1057"/>
          <cell r="G1057"/>
          <cell r="H1057"/>
          <cell r="I1057"/>
          <cell r="J1057"/>
          <cell r="K1057"/>
          <cell r="L1057"/>
        </row>
        <row r="1058">
          <cell r="C1058"/>
          <cell r="D1058"/>
          <cell r="E1058"/>
          <cell r="F1058"/>
          <cell r="G1058"/>
          <cell r="H1058"/>
          <cell r="I1058"/>
          <cell r="J1058"/>
          <cell r="K1058"/>
          <cell r="L1058"/>
        </row>
        <row r="1059">
          <cell r="C1059"/>
          <cell r="D1059"/>
          <cell r="E1059"/>
          <cell r="F1059"/>
          <cell r="G1059"/>
          <cell r="H1059"/>
          <cell r="I1059"/>
          <cell r="J1059"/>
          <cell r="K1059"/>
          <cell r="L1059"/>
        </row>
        <row r="1060">
          <cell r="C1060"/>
          <cell r="D1060"/>
          <cell r="E1060"/>
          <cell r="F1060"/>
          <cell r="G1060"/>
          <cell r="H1060"/>
          <cell r="I1060"/>
          <cell r="J1060"/>
          <cell r="K1060"/>
          <cell r="L1060"/>
        </row>
        <row r="1061">
          <cell r="C1061"/>
          <cell r="D1061"/>
          <cell r="E1061"/>
          <cell r="F1061"/>
          <cell r="G1061"/>
          <cell r="H1061"/>
          <cell r="I1061"/>
          <cell r="J1061"/>
          <cell r="K1061"/>
          <cell r="L1061"/>
        </row>
        <row r="1062">
          <cell r="C1062"/>
          <cell r="D1062"/>
          <cell r="E1062"/>
          <cell r="F1062"/>
          <cell r="G1062"/>
          <cell r="H1062"/>
          <cell r="I1062"/>
          <cell r="J1062"/>
          <cell r="K1062"/>
          <cell r="L1062"/>
        </row>
        <row r="1063">
          <cell r="C1063"/>
          <cell r="D1063"/>
          <cell r="E1063"/>
          <cell r="F1063"/>
          <cell r="G1063"/>
          <cell r="H1063"/>
          <cell r="I1063"/>
          <cell r="J1063"/>
          <cell r="K1063"/>
          <cell r="L1063"/>
        </row>
        <row r="1064">
          <cell r="C1064"/>
          <cell r="D1064"/>
          <cell r="E1064"/>
          <cell r="F1064"/>
          <cell r="G1064"/>
          <cell r="H1064"/>
          <cell r="I1064"/>
          <cell r="J1064"/>
          <cell r="K1064"/>
          <cell r="L1064"/>
        </row>
        <row r="1065">
          <cell r="C1065"/>
          <cell r="D1065"/>
          <cell r="E1065"/>
          <cell r="F1065"/>
          <cell r="G1065"/>
          <cell r="H1065"/>
          <cell r="I1065"/>
          <cell r="J1065"/>
          <cell r="K1065"/>
          <cell r="L1065"/>
        </row>
        <row r="1066">
          <cell r="C1066"/>
          <cell r="D1066"/>
          <cell r="E1066"/>
          <cell r="F1066"/>
          <cell r="G1066"/>
          <cell r="H1066"/>
          <cell r="I1066"/>
          <cell r="J1066"/>
          <cell r="K1066"/>
          <cell r="L1066"/>
        </row>
        <row r="1067">
          <cell r="C1067"/>
          <cell r="D1067"/>
          <cell r="E1067"/>
          <cell r="F1067"/>
          <cell r="G1067"/>
          <cell r="H1067"/>
          <cell r="I1067"/>
          <cell r="J1067"/>
          <cell r="K1067"/>
          <cell r="L1067"/>
        </row>
        <row r="1068">
          <cell r="C1068"/>
          <cell r="D1068"/>
          <cell r="E1068"/>
          <cell r="F1068"/>
          <cell r="G1068"/>
          <cell r="H1068"/>
          <cell r="I1068"/>
          <cell r="J1068"/>
          <cell r="K1068"/>
          <cell r="L1068"/>
        </row>
        <row r="1069">
          <cell r="C1069"/>
          <cell r="D1069"/>
          <cell r="E1069"/>
          <cell r="F1069"/>
          <cell r="G1069"/>
          <cell r="H1069"/>
          <cell r="I1069"/>
          <cell r="J1069"/>
          <cell r="K1069"/>
          <cell r="L1069"/>
        </row>
        <row r="1070">
          <cell r="C1070"/>
          <cell r="D1070"/>
          <cell r="E1070"/>
          <cell r="F1070"/>
          <cell r="G1070"/>
          <cell r="H1070"/>
          <cell r="I1070"/>
          <cell r="J1070"/>
          <cell r="K1070"/>
          <cell r="L1070"/>
        </row>
        <row r="1071">
          <cell r="C1071"/>
          <cell r="D1071"/>
          <cell r="E1071"/>
          <cell r="F1071"/>
          <cell r="G1071"/>
          <cell r="H1071"/>
          <cell r="I1071"/>
          <cell r="J1071"/>
          <cell r="K1071"/>
          <cell r="L1071"/>
        </row>
        <row r="1072">
          <cell r="C1072"/>
          <cell r="D1072"/>
          <cell r="E1072"/>
          <cell r="F1072"/>
          <cell r="G1072"/>
          <cell r="H1072"/>
          <cell r="I1072"/>
          <cell r="J1072"/>
          <cell r="K1072"/>
          <cell r="L1072"/>
        </row>
        <row r="1073">
          <cell r="C1073"/>
          <cell r="D1073"/>
          <cell r="E1073"/>
          <cell r="F1073"/>
          <cell r="G1073"/>
          <cell r="H1073"/>
          <cell r="I1073"/>
          <cell r="J1073"/>
          <cell r="K1073"/>
          <cell r="L1073"/>
        </row>
        <row r="1074">
          <cell r="C1074"/>
          <cell r="D1074"/>
          <cell r="E1074"/>
          <cell r="F1074"/>
          <cell r="G1074"/>
          <cell r="H1074"/>
          <cell r="I1074"/>
          <cell r="J1074"/>
          <cell r="K1074"/>
          <cell r="L1074"/>
        </row>
        <row r="1075">
          <cell r="C1075"/>
          <cell r="D1075"/>
          <cell r="E1075"/>
          <cell r="F1075"/>
          <cell r="G1075"/>
          <cell r="H1075"/>
          <cell r="I1075"/>
          <cell r="J1075"/>
          <cell r="K1075"/>
          <cell r="L1075"/>
        </row>
        <row r="1076">
          <cell r="C1076"/>
          <cell r="D1076"/>
          <cell r="E1076"/>
          <cell r="F1076"/>
          <cell r="G1076"/>
          <cell r="H1076"/>
          <cell r="I1076"/>
          <cell r="J1076"/>
          <cell r="K1076"/>
          <cell r="L1076"/>
        </row>
        <row r="1077">
          <cell r="C1077"/>
          <cell r="D1077"/>
          <cell r="E1077"/>
          <cell r="F1077"/>
          <cell r="G1077"/>
          <cell r="H1077"/>
          <cell r="I1077"/>
          <cell r="J1077"/>
          <cell r="K1077"/>
          <cell r="L1077"/>
        </row>
        <row r="1078">
          <cell r="C1078"/>
          <cell r="D1078"/>
          <cell r="E1078"/>
          <cell r="F1078"/>
          <cell r="G1078"/>
          <cell r="H1078"/>
          <cell r="I1078"/>
          <cell r="J1078"/>
          <cell r="K1078"/>
          <cell r="L1078"/>
        </row>
        <row r="1079">
          <cell r="C1079"/>
          <cell r="D1079"/>
          <cell r="E1079"/>
          <cell r="F1079"/>
          <cell r="G1079"/>
          <cell r="H1079"/>
          <cell r="I1079"/>
          <cell r="J1079"/>
          <cell r="K1079"/>
          <cell r="L1079"/>
        </row>
        <row r="1080">
          <cell r="C1080"/>
          <cell r="D1080"/>
          <cell r="E1080"/>
          <cell r="F1080"/>
          <cell r="G1080"/>
          <cell r="H1080"/>
          <cell r="I1080"/>
          <cell r="J1080"/>
          <cell r="K1080"/>
          <cell r="L1080"/>
        </row>
        <row r="1081">
          <cell r="C1081"/>
          <cell r="D1081"/>
          <cell r="E1081"/>
          <cell r="F1081"/>
          <cell r="G1081"/>
          <cell r="H1081"/>
          <cell r="I1081"/>
          <cell r="J1081"/>
          <cell r="K1081"/>
          <cell r="L1081"/>
        </row>
        <row r="1082">
          <cell r="C1082"/>
          <cell r="D1082"/>
          <cell r="E1082"/>
          <cell r="F1082"/>
          <cell r="G1082"/>
          <cell r="H1082"/>
          <cell r="I1082"/>
          <cell r="J1082"/>
          <cell r="K1082"/>
          <cell r="L1082"/>
        </row>
        <row r="1083">
          <cell r="C1083"/>
          <cell r="D1083"/>
          <cell r="E1083"/>
          <cell r="F1083"/>
          <cell r="G1083"/>
          <cell r="H1083"/>
          <cell r="I1083"/>
          <cell r="J1083"/>
          <cell r="K1083"/>
          <cell r="L1083"/>
        </row>
        <row r="1084">
          <cell r="C1084"/>
          <cell r="D1084"/>
          <cell r="E1084"/>
          <cell r="F1084"/>
          <cell r="G1084"/>
          <cell r="H1084"/>
          <cell r="I1084"/>
          <cell r="J1084"/>
          <cell r="K1084"/>
          <cell r="L1084"/>
        </row>
        <row r="1085">
          <cell r="C1085"/>
          <cell r="D1085"/>
          <cell r="E1085"/>
          <cell r="F1085"/>
          <cell r="G1085"/>
          <cell r="H1085"/>
          <cell r="I1085"/>
          <cell r="J1085"/>
          <cell r="K1085"/>
          <cell r="L1085"/>
        </row>
        <row r="1086">
          <cell r="C1086"/>
          <cell r="D1086"/>
          <cell r="E1086"/>
          <cell r="F1086"/>
          <cell r="G1086"/>
          <cell r="H1086"/>
          <cell r="I1086"/>
          <cell r="J1086"/>
          <cell r="K1086"/>
          <cell r="L1086"/>
        </row>
        <row r="1087">
          <cell r="C1087"/>
          <cell r="D1087"/>
          <cell r="E1087"/>
          <cell r="F1087"/>
          <cell r="G1087"/>
          <cell r="H1087"/>
          <cell r="I1087"/>
          <cell r="J1087"/>
          <cell r="K1087"/>
          <cell r="L1087"/>
        </row>
        <row r="1088">
          <cell r="C1088"/>
          <cell r="D1088"/>
          <cell r="E1088"/>
          <cell r="F1088"/>
          <cell r="G1088"/>
          <cell r="H1088"/>
          <cell r="I1088"/>
          <cell r="J1088"/>
          <cell r="K1088"/>
          <cell r="L1088"/>
        </row>
        <row r="1089">
          <cell r="C1089"/>
          <cell r="D1089"/>
          <cell r="E1089"/>
          <cell r="F1089"/>
          <cell r="G1089"/>
          <cell r="H1089"/>
          <cell r="I1089"/>
          <cell r="J1089"/>
          <cell r="K1089"/>
          <cell r="L1089"/>
        </row>
        <row r="1090">
          <cell r="C1090"/>
          <cell r="D1090"/>
          <cell r="E1090"/>
          <cell r="F1090"/>
          <cell r="G1090"/>
          <cell r="H1090"/>
          <cell r="I1090"/>
          <cell r="J1090"/>
          <cell r="K1090"/>
          <cell r="L1090"/>
        </row>
        <row r="1091">
          <cell r="C1091"/>
          <cell r="D1091"/>
          <cell r="E1091"/>
          <cell r="F1091"/>
          <cell r="G1091"/>
          <cell r="H1091"/>
          <cell r="I1091"/>
          <cell r="J1091"/>
          <cell r="K1091"/>
          <cell r="L1091"/>
        </row>
        <row r="1092">
          <cell r="C1092"/>
          <cell r="D1092"/>
          <cell r="E1092"/>
          <cell r="F1092"/>
          <cell r="G1092"/>
          <cell r="H1092"/>
          <cell r="I1092"/>
          <cell r="J1092"/>
          <cell r="K1092"/>
          <cell r="L1092"/>
        </row>
        <row r="1093">
          <cell r="C1093"/>
          <cell r="D1093"/>
          <cell r="E1093"/>
          <cell r="F1093"/>
          <cell r="G1093"/>
          <cell r="H1093"/>
          <cell r="I1093"/>
          <cell r="J1093"/>
          <cell r="K1093"/>
          <cell r="L1093"/>
        </row>
        <row r="1094">
          <cell r="C1094"/>
          <cell r="D1094"/>
          <cell r="E1094"/>
          <cell r="F1094"/>
          <cell r="G1094"/>
          <cell r="H1094"/>
          <cell r="I1094"/>
          <cell r="J1094"/>
          <cell r="K1094"/>
          <cell r="L1094"/>
        </row>
        <row r="1095">
          <cell r="C1095"/>
          <cell r="D1095"/>
          <cell r="E1095"/>
          <cell r="F1095"/>
          <cell r="G1095"/>
          <cell r="H1095"/>
          <cell r="I1095"/>
          <cell r="J1095"/>
          <cell r="K1095"/>
          <cell r="L1095"/>
        </row>
        <row r="1096">
          <cell r="C1096"/>
          <cell r="D1096"/>
          <cell r="E1096"/>
          <cell r="F1096"/>
          <cell r="G1096"/>
          <cell r="H1096"/>
          <cell r="I1096"/>
          <cell r="J1096"/>
          <cell r="K1096"/>
          <cell r="L1096"/>
        </row>
        <row r="1097">
          <cell r="C1097"/>
          <cell r="D1097"/>
          <cell r="E1097"/>
          <cell r="F1097"/>
          <cell r="G1097"/>
          <cell r="H1097"/>
          <cell r="I1097"/>
          <cell r="J1097"/>
          <cell r="K1097"/>
          <cell r="L1097"/>
        </row>
        <row r="1098">
          <cell r="C1098"/>
          <cell r="D1098"/>
          <cell r="E1098"/>
          <cell r="F1098"/>
          <cell r="G1098"/>
          <cell r="H1098"/>
          <cell r="I1098"/>
          <cell r="J1098"/>
          <cell r="K1098"/>
          <cell r="L1098"/>
        </row>
        <row r="1099">
          <cell r="C1099"/>
          <cell r="D1099"/>
          <cell r="E1099"/>
          <cell r="F1099"/>
          <cell r="G1099"/>
          <cell r="H1099"/>
          <cell r="I1099"/>
          <cell r="J1099"/>
          <cell r="K1099"/>
          <cell r="L1099"/>
        </row>
        <row r="1100">
          <cell r="C1100"/>
          <cell r="D1100"/>
          <cell r="E1100"/>
          <cell r="F1100"/>
          <cell r="G1100"/>
          <cell r="H1100"/>
          <cell r="I1100"/>
          <cell r="J1100"/>
          <cell r="K1100"/>
          <cell r="L1100"/>
        </row>
        <row r="1101">
          <cell r="C1101"/>
          <cell r="D1101"/>
          <cell r="E1101"/>
          <cell r="F1101"/>
          <cell r="G1101"/>
          <cell r="H1101"/>
          <cell r="I1101"/>
          <cell r="J1101"/>
          <cell r="K1101"/>
          <cell r="L1101"/>
        </row>
        <row r="1102">
          <cell r="C1102"/>
          <cell r="D1102"/>
          <cell r="E1102"/>
          <cell r="F1102"/>
          <cell r="G1102"/>
          <cell r="H1102"/>
          <cell r="I1102"/>
          <cell r="J1102"/>
          <cell r="K1102"/>
          <cell r="L1102"/>
        </row>
        <row r="1103">
          <cell r="C1103"/>
          <cell r="D1103"/>
          <cell r="E1103"/>
          <cell r="F1103"/>
          <cell r="G1103"/>
          <cell r="H1103"/>
          <cell r="I1103"/>
          <cell r="J1103"/>
          <cell r="K1103"/>
          <cell r="L1103"/>
        </row>
        <row r="1104">
          <cell r="C1104"/>
          <cell r="D1104"/>
          <cell r="E1104"/>
          <cell r="F1104"/>
          <cell r="G1104"/>
          <cell r="H1104"/>
          <cell r="I1104"/>
          <cell r="J1104"/>
          <cell r="K1104"/>
          <cell r="L1104"/>
        </row>
        <row r="1105">
          <cell r="C1105"/>
          <cell r="D1105"/>
          <cell r="E1105"/>
          <cell r="F1105"/>
          <cell r="G1105"/>
          <cell r="H1105"/>
          <cell r="I1105"/>
          <cell r="J1105"/>
          <cell r="K1105"/>
          <cell r="L1105"/>
        </row>
        <row r="1106">
          <cell r="C1106"/>
          <cell r="D1106"/>
          <cell r="E1106"/>
          <cell r="F1106"/>
          <cell r="G1106"/>
          <cell r="H1106"/>
          <cell r="I1106"/>
          <cell r="J1106"/>
          <cell r="K1106"/>
          <cell r="L1106"/>
        </row>
        <row r="1107">
          <cell r="C1107"/>
          <cell r="D1107"/>
          <cell r="E1107"/>
          <cell r="F1107"/>
          <cell r="G1107"/>
          <cell r="H1107"/>
          <cell r="I1107"/>
          <cell r="J1107"/>
          <cell r="K1107"/>
          <cell r="L1107"/>
        </row>
        <row r="1108">
          <cell r="C1108"/>
          <cell r="D1108"/>
          <cell r="E1108"/>
          <cell r="F1108"/>
          <cell r="G1108"/>
          <cell r="H1108"/>
          <cell r="I1108"/>
          <cell r="J1108"/>
          <cell r="K1108"/>
          <cell r="L1108"/>
        </row>
        <row r="1109">
          <cell r="C1109"/>
          <cell r="D1109"/>
          <cell r="E1109"/>
          <cell r="F1109"/>
          <cell r="G1109"/>
          <cell r="H1109"/>
          <cell r="I1109"/>
          <cell r="J1109"/>
          <cell r="K1109"/>
          <cell r="L1109"/>
        </row>
        <row r="1110">
          <cell r="C1110"/>
          <cell r="D1110"/>
          <cell r="E1110"/>
          <cell r="F1110"/>
          <cell r="G1110"/>
          <cell r="H1110"/>
          <cell r="I1110"/>
          <cell r="J1110"/>
          <cell r="K1110"/>
          <cell r="L1110"/>
        </row>
        <row r="1111">
          <cell r="C1111"/>
          <cell r="D1111"/>
          <cell r="E1111"/>
          <cell r="F1111"/>
          <cell r="G1111"/>
          <cell r="H1111"/>
          <cell r="I1111"/>
          <cell r="J1111"/>
          <cell r="K1111"/>
          <cell r="L1111"/>
        </row>
        <row r="1112">
          <cell r="C1112"/>
          <cell r="D1112"/>
          <cell r="E1112"/>
          <cell r="F1112"/>
          <cell r="G1112"/>
          <cell r="H1112"/>
          <cell r="I1112"/>
          <cell r="J1112"/>
          <cell r="K1112"/>
          <cell r="L1112"/>
        </row>
        <row r="1113">
          <cell r="C1113"/>
          <cell r="D1113"/>
          <cell r="E1113"/>
          <cell r="F1113"/>
          <cell r="G1113"/>
          <cell r="H1113"/>
          <cell r="I1113"/>
          <cell r="J1113"/>
          <cell r="K1113"/>
          <cell r="L1113"/>
        </row>
        <row r="1114">
          <cell r="C1114"/>
          <cell r="D1114"/>
          <cell r="E1114"/>
          <cell r="F1114"/>
          <cell r="G1114"/>
          <cell r="H1114"/>
          <cell r="I1114"/>
          <cell r="J1114"/>
          <cell r="K1114"/>
          <cell r="L1114"/>
        </row>
        <row r="1115">
          <cell r="C1115"/>
          <cell r="D1115"/>
          <cell r="E1115"/>
          <cell r="F1115"/>
          <cell r="G1115"/>
          <cell r="H1115"/>
          <cell r="I1115"/>
          <cell r="J1115"/>
          <cell r="K1115"/>
          <cell r="L1115"/>
        </row>
        <row r="1116">
          <cell r="C1116"/>
          <cell r="D1116"/>
          <cell r="E1116"/>
          <cell r="F1116"/>
          <cell r="G1116"/>
          <cell r="H1116"/>
          <cell r="I1116"/>
          <cell r="J1116"/>
          <cell r="K1116"/>
          <cell r="L1116"/>
        </row>
        <row r="1117">
          <cell r="C1117"/>
          <cell r="D1117"/>
          <cell r="E1117"/>
          <cell r="F1117"/>
          <cell r="G1117"/>
          <cell r="H1117"/>
          <cell r="I1117"/>
          <cell r="J1117"/>
          <cell r="K1117"/>
          <cell r="L1117"/>
        </row>
        <row r="1118">
          <cell r="C1118"/>
          <cell r="D1118"/>
          <cell r="E1118"/>
          <cell r="F1118"/>
          <cell r="G1118"/>
          <cell r="H1118"/>
          <cell r="I1118"/>
          <cell r="J1118"/>
          <cell r="K1118"/>
          <cell r="L1118"/>
        </row>
        <row r="1119">
          <cell r="C1119"/>
          <cell r="D1119"/>
          <cell r="E1119"/>
          <cell r="F1119"/>
          <cell r="G1119"/>
          <cell r="H1119"/>
          <cell r="I1119"/>
          <cell r="J1119"/>
          <cell r="K1119"/>
          <cell r="L1119"/>
        </row>
        <row r="1120">
          <cell r="C1120"/>
          <cell r="D1120"/>
          <cell r="E1120"/>
          <cell r="F1120"/>
          <cell r="G1120"/>
          <cell r="H1120"/>
          <cell r="I1120"/>
          <cell r="J1120"/>
          <cell r="K1120"/>
          <cell r="L1120"/>
        </row>
        <row r="1121">
          <cell r="C1121"/>
          <cell r="D1121"/>
          <cell r="E1121"/>
          <cell r="F1121"/>
          <cell r="G1121"/>
          <cell r="H1121"/>
          <cell r="I1121"/>
          <cell r="J1121"/>
          <cell r="K1121"/>
          <cell r="L1121"/>
        </row>
        <row r="1122">
          <cell r="C1122"/>
          <cell r="D1122"/>
          <cell r="E1122"/>
          <cell r="F1122"/>
          <cell r="G1122"/>
          <cell r="H1122"/>
          <cell r="I1122"/>
          <cell r="J1122"/>
          <cell r="K1122"/>
          <cell r="L1122"/>
        </row>
        <row r="1123">
          <cell r="C1123"/>
          <cell r="D1123"/>
          <cell r="E1123"/>
          <cell r="F1123"/>
          <cell r="G1123"/>
          <cell r="H1123"/>
          <cell r="I1123"/>
          <cell r="J1123"/>
          <cell r="K1123"/>
          <cell r="L1123"/>
        </row>
        <row r="1124">
          <cell r="C1124"/>
          <cell r="D1124"/>
          <cell r="E1124"/>
          <cell r="F1124"/>
          <cell r="G1124"/>
          <cell r="H1124"/>
          <cell r="I1124"/>
          <cell r="J1124"/>
          <cell r="K1124"/>
          <cell r="L1124"/>
        </row>
        <row r="1125">
          <cell r="C1125"/>
          <cell r="D1125"/>
          <cell r="E1125"/>
          <cell r="F1125"/>
          <cell r="G1125"/>
          <cell r="H1125"/>
          <cell r="I1125"/>
          <cell r="J1125"/>
          <cell r="K1125"/>
          <cell r="L1125"/>
        </row>
        <row r="1126">
          <cell r="C1126"/>
          <cell r="D1126"/>
          <cell r="E1126"/>
          <cell r="F1126"/>
          <cell r="G1126"/>
          <cell r="H1126"/>
          <cell r="I1126"/>
          <cell r="J1126"/>
          <cell r="K1126"/>
          <cell r="L1126"/>
        </row>
        <row r="1127">
          <cell r="C1127"/>
          <cell r="D1127"/>
          <cell r="E1127"/>
          <cell r="F1127"/>
          <cell r="G1127"/>
          <cell r="H1127"/>
          <cell r="I1127"/>
          <cell r="J1127"/>
          <cell r="K1127"/>
          <cell r="L1127"/>
        </row>
        <row r="1128">
          <cell r="C1128"/>
          <cell r="D1128"/>
          <cell r="E1128"/>
          <cell r="F1128"/>
          <cell r="G1128"/>
          <cell r="H1128"/>
          <cell r="I1128"/>
          <cell r="J1128"/>
          <cell r="K1128"/>
          <cell r="L1128"/>
        </row>
        <row r="1129">
          <cell r="C1129"/>
          <cell r="D1129"/>
          <cell r="E1129"/>
          <cell r="F1129"/>
          <cell r="G1129"/>
          <cell r="H1129"/>
          <cell r="I1129"/>
          <cell r="J1129"/>
          <cell r="K1129"/>
          <cell r="L1129"/>
        </row>
        <row r="1130">
          <cell r="C1130"/>
          <cell r="D1130"/>
          <cell r="E1130"/>
          <cell r="F1130"/>
          <cell r="G1130"/>
          <cell r="H1130"/>
          <cell r="I1130"/>
          <cell r="J1130"/>
          <cell r="K1130"/>
          <cell r="L1130"/>
        </row>
        <row r="1131">
          <cell r="C1131"/>
          <cell r="D1131"/>
          <cell r="E1131"/>
          <cell r="F1131"/>
          <cell r="G1131"/>
          <cell r="H1131"/>
          <cell r="I1131"/>
          <cell r="J1131"/>
          <cell r="K1131"/>
          <cell r="L1131"/>
        </row>
        <row r="1132">
          <cell r="C1132"/>
          <cell r="D1132"/>
          <cell r="E1132"/>
          <cell r="F1132"/>
          <cell r="G1132"/>
          <cell r="H1132"/>
          <cell r="I1132"/>
          <cell r="J1132"/>
          <cell r="K1132"/>
          <cell r="L1132"/>
        </row>
        <row r="1133">
          <cell r="C1133"/>
          <cell r="D1133"/>
          <cell r="E1133"/>
          <cell r="F1133"/>
          <cell r="G1133"/>
          <cell r="H1133"/>
          <cell r="I1133"/>
          <cell r="J1133"/>
          <cell r="K1133"/>
          <cell r="L1133"/>
        </row>
        <row r="1134">
          <cell r="C1134"/>
          <cell r="D1134"/>
          <cell r="E1134"/>
          <cell r="F1134"/>
          <cell r="G1134"/>
          <cell r="H1134"/>
          <cell r="I1134"/>
          <cell r="J1134"/>
          <cell r="K1134"/>
          <cell r="L1134"/>
        </row>
        <row r="1135">
          <cell r="C1135"/>
          <cell r="D1135"/>
          <cell r="E1135"/>
          <cell r="F1135"/>
          <cell r="G1135"/>
          <cell r="H1135"/>
          <cell r="I1135"/>
          <cell r="J1135"/>
          <cell r="K1135"/>
          <cell r="L1135"/>
        </row>
        <row r="1136">
          <cell r="C1136"/>
          <cell r="D1136"/>
          <cell r="E1136"/>
          <cell r="F1136"/>
          <cell r="G1136"/>
          <cell r="H1136"/>
          <cell r="I1136"/>
          <cell r="J1136"/>
          <cell r="K1136"/>
          <cell r="L1136"/>
        </row>
        <row r="1137">
          <cell r="C1137"/>
          <cell r="D1137"/>
          <cell r="E1137"/>
          <cell r="F1137"/>
          <cell r="G1137"/>
          <cell r="H1137"/>
          <cell r="I1137"/>
          <cell r="J1137"/>
          <cell r="K1137"/>
          <cell r="L1137"/>
        </row>
        <row r="1138">
          <cell r="C1138"/>
          <cell r="D1138"/>
          <cell r="E1138"/>
          <cell r="F1138"/>
          <cell r="G1138"/>
          <cell r="H1138"/>
          <cell r="I1138"/>
          <cell r="J1138"/>
          <cell r="K1138"/>
          <cell r="L1138"/>
        </row>
        <row r="1139">
          <cell r="C1139"/>
          <cell r="D1139"/>
          <cell r="E1139"/>
          <cell r="F1139"/>
          <cell r="G1139"/>
          <cell r="H1139"/>
          <cell r="I1139"/>
          <cell r="J1139"/>
          <cell r="K1139"/>
          <cell r="L1139"/>
        </row>
        <row r="1140">
          <cell r="C1140"/>
          <cell r="D1140"/>
          <cell r="E1140"/>
          <cell r="F1140"/>
          <cell r="G1140"/>
          <cell r="H1140"/>
          <cell r="I1140"/>
          <cell r="J1140"/>
          <cell r="K1140"/>
          <cell r="L1140"/>
        </row>
        <row r="1141">
          <cell r="C1141"/>
          <cell r="D1141"/>
          <cell r="E1141"/>
          <cell r="F1141"/>
          <cell r="G1141"/>
          <cell r="H1141"/>
          <cell r="I1141"/>
          <cell r="J1141"/>
          <cell r="K1141"/>
          <cell r="L1141"/>
        </row>
        <row r="1142">
          <cell r="C1142"/>
          <cell r="D1142"/>
          <cell r="E1142"/>
          <cell r="F1142"/>
          <cell r="G1142"/>
          <cell r="H1142"/>
          <cell r="I1142"/>
          <cell r="J1142"/>
          <cell r="K1142"/>
          <cell r="L1142"/>
        </row>
        <row r="1143">
          <cell r="C1143"/>
          <cell r="D1143"/>
          <cell r="E1143"/>
          <cell r="F1143"/>
          <cell r="G1143"/>
          <cell r="H1143"/>
          <cell r="I1143"/>
          <cell r="J1143"/>
          <cell r="K1143"/>
          <cell r="L1143"/>
        </row>
        <row r="1144">
          <cell r="C1144"/>
          <cell r="D1144"/>
          <cell r="E1144"/>
          <cell r="F1144"/>
          <cell r="G1144"/>
          <cell r="H1144"/>
          <cell r="I1144"/>
          <cell r="J1144"/>
          <cell r="K1144"/>
          <cell r="L1144"/>
        </row>
        <row r="1145">
          <cell r="C1145"/>
          <cell r="D1145"/>
          <cell r="E1145"/>
          <cell r="F1145"/>
          <cell r="G1145"/>
          <cell r="H1145"/>
          <cell r="I1145"/>
          <cell r="J1145"/>
          <cell r="K1145"/>
          <cell r="L1145"/>
        </row>
        <row r="1146">
          <cell r="C1146"/>
          <cell r="D1146"/>
          <cell r="E1146"/>
          <cell r="F1146"/>
          <cell r="G1146"/>
          <cell r="H1146"/>
          <cell r="I1146"/>
          <cell r="J1146"/>
          <cell r="K1146"/>
          <cell r="L1146"/>
        </row>
        <row r="1147">
          <cell r="C1147"/>
          <cell r="D1147"/>
          <cell r="E1147"/>
          <cell r="F1147"/>
          <cell r="G1147"/>
          <cell r="H1147"/>
          <cell r="I1147"/>
          <cell r="J1147"/>
          <cell r="K1147"/>
          <cell r="L1147"/>
        </row>
        <row r="1148">
          <cell r="C1148"/>
          <cell r="D1148"/>
          <cell r="E1148"/>
          <cell r="F1148"/>
          <cell r="G1148"/>
          <cell r="H1148"/>
          <cell r="I1148"/>
          <cell r="J1148"/>
          <cell r="K1148"/>
          <cell r="L1148"/>
        </row>
        <row r="1149">
          <cell r="C1149"/>
          <cell r="D1149"/>
          <cell r="E1149"/>
          <cell r="F1149"/>
          <cell r="G1149"/>
          <cell r="H1149"/>
          <cell r="I1149"/>
          <cell r="J1149"/>
          <cell r="K1149"/>
          <cell r="L1149"/>
        </row>
        <row r="1150">
          <cell r="C1150"/>
          <cell r="D1150"/>
          <cell r="E1150"/>
          <cell r="F1150"/>
          <cell r="G1150"/>
          <cell r="H1150"/>
          <cell r="I1150"/>
          <cell r="J1150"/>
          <cell r="K1150"/>
          <cell r="L1150"/>
        </row>
        <row r="1151">
          <cell r="C1151"/>
          <cell r="D1151"/>
          <cell r="E1151"/>
          <cell r="F1151"/>
          <cell r="G1151"/>
          <cell r="H1151"/>
          <cell r="I1151"/>
          <cell r="J1151"/>
          <cell r="K1151"/>
          <cell r="L1151"/>
        </row>
        <row r="1152">
          <cell r="C1152"/>
          <cell r="D1152"/>
          <cell r="E1152"/>
          <cell r="F1152"/>
          <cell r="G1152"/>
          <cell r="H1152"/>
          <cell r="I1152"/>
          <cell r="J1152"/>
          <cell r="K1152"/>
          <cell r="L1152"/>
        </row>
        <row r="1153">
          <cell r="C1153"/>
          <cell r="D1153"/>
          <cell r="E1153"/>
          <cell r="F1153"/>
          <cell r="G1153"/>
          <cell r="H1153"/>
          <cell r="I1153"/>
          <cell r="J1153"/>
          <cell r="K1153"/>
          <cell r="L1153"/>
        </row>
        <row r="1154">
          <cell r="C1154"/>
          <cell r="D1154"/>
          <cell r="E1154"/>
          <cell r="F1154"/>
          <cell r="G1154"/>
          <cell r="H1154"/>
          <cell r="I1154"/>
          <cell r="J1154"/>
          <cell r="K1154"/>
          <cell r="L1154"/>
        </row>
        <row r="1155">
          <cell r="C1155"/>
          <cell r="D1155"/>
          <cell r="E1155"/>
          <cell r="F1155"/>
          <cell r="G1155"/>
          <cell r="H1155"/>
          <cell r="I1155"/>
          <cell r="J1155"/>
          <cell r="K1155"/>
          <cell r="L1155"/>
        </row>
        <row r="1156">
          <cell r="C1156"/>
          <cell r="D1156"/>
          <cell r="E1156"/>
          <cell r="F1156"/>
          <cell r="G1156"/>
          <cell r="H1156"/>
          <cell r="I1156"/>
          <cell r="J1156"/>
          <cell r="K1156"/>
          <cell r="L1156"/>
        </row>
        <row r="1157">
          <cell r="C1157"/>
          <cell r="D1157"/>
          <cell r="E1157"/>
          <cell r="F1157"/>
          <cell r="G1157"/>
          <cell r="H1157"/>
          <cell r="I1157"/>
          <cell r="J1157"/>
          <cell r="K1157"/>
          <cell r="L1157"/>
        </row>
        <row r="1158">
          <cell r="C1158"/>
          <cell r="D1158"/>
          <cell r="E1158"/>
          <cell r="F1158"/>
          <cell r="G1158"/>
          <cell r="H1158"/>
          <cell r="I1158"/>
          <cell r="J1158"/>
          <cell r="K1158"/>
          <cell r="L1158"/>
        </row>
        <row r="1159">
          <cell r="C1159"/>
          <cell r="D1159"/>
          <cell r="E1159"/>
          <cell r="F1159"/>
          <cell r="G1159"/>
          <cell r="H1159"/>
          <cell r="I1159"/>
          <cell r="J1159"/>
          <cell r="K1159"/>
          <cell r="L1159"/>
        </row>
        <row r="1160">
          <cell r="C1160"/>
          <cell r="D1160"/>
          <cell r="E1160"/>
          <cell r="F1160"/>
          <cell r="G1160"/>
          <cell r="H1160"/>
          <cell r="I1160"/>
          <cell r="J1160"/>
          <cell r="K1160"/>
          <cell r="L1160"/>
        </row>
        <row r="1161">
          <cell r="C1161"/>
          <cell r="D1161"/>
          <cell r="E1161"/>
          <cell r="F1161"/>
          <cell r="G1161"/>
          <cell r="H1161"/>
          <cell r="I1161"/>
          <cell r="J1161"/>
          <cell r="K1161"/>
          <cell r="L1161"/>
        </row>
        <row r="1162">
          <cell r="C1162"/>
          <cell r="D1162"/>
          <cell r="E1162"/>
          <cell r="F1162"/>
          <cell r="G1162"/>
          <cell r="H1162"/>
          <cell r="I1162"/>
          <cell r="J1162"/>
          <cell r="K1162"/>
          <cell r="L1162"/>
        </row>
        <row r="1163">
          <cell r="C1163"/>
          <cell r="D1163"/>
          <cell r="E1163"/>
          <cell r="F1163"/>
          <cell r="G1163"/>
          <cell r="H1163"/>
          <cell r="I1163"/>
          <cell r="J1163"/>
          <cell r="K1163"/>
          <cell r="L1163"/>
        </row>
        <row r="1164">
          <cell r="C1164"/>
          <cell r="D1164"/>
          <cell r="E1164"/>
          <cell r="F1164"/>
          <cell r="G1164"/>
          <cell r="H1164"/>
          <cell r="I1164"/>
          <cell r="J1164"/>
          <cell r="K1164"/>
          <cell r="L1164"/>
        </row>
        <row r="1165">
          <cell r="C1165"/>
          <cell r="D1165"/>
          <cell r="E1165"/>
          <cell r="F1165"/>
          <cell r="G1165"/>
          <cell r="H1165"/>
          <cell r="I1165"/>
          <cell r="J1165"/>
          <cell r="K1165"/>
          <cell r="L1165"/>
        </row>
        <row r="1166">
          <cell r="C1166"/>
          <cell r="D1166"/>
          <cell r="E1166"/>
          <cell r="F1166"/>
          <cell r="G1166"/>
          <cell r="H1166"/>
          <cell r="I1166"/>
          <cell r="J1166"/>
          <cell r="K1166"/>
          <cell r="L1166"/>
        </row>
        <row r="1167">
          <cell r="C1167"/>
          <cell r="D1167"/>
          <cell r="E1167"/>
          <cell r="F1167"/>
          <cell r="G1167"/>
          <cell r="H1167"/>
          <cell r="I1167"/>
          <cell r="J1167"/>
          <cell r="K1167"/>
          <cell r="L1167"/>
        </row>
        <row r="1168">
          <cell r="C1168"/>
          <cell r="D1168"/>
          <cell r="E1168"/>
          <cell r="F1168"/>
          <cell r="G1168"/>
          <cell r="H1168"/>
          <cell r="I1168"/>
          <cell r="J1168"/>
          <cell r="K1168"/>
          <cell r="L1168"/>
        </row>
        <row r="1169">
          <cell r="C1169"/>
          <cell r="D1169"/>
          <cell r="E1169"/>
          <cell r="F1169"/>
          <cell r="G1169"/>
          <cell r="H1169"/>
          <cell r="I1169"/>
          <cell r="J1169"/>
          <cell r="K1169"/>
          <cell r="L1169"/>
        </row>
        <row r="1170">
          <cell r="C1170"/>
          <cell r="D1170"/>
          <cell r="E1170"/>
          <cell r="F1170"/>
          <cell r="G1170"/>
          <cell r="H1170"/>
          <cell r="I1170"/>
          <cell r="J1170"/>
          <cell r="K1170"/>
          <cell r="L1170"/>
        </row>
        <row r="1171">
          <cell r="C1171"/>
          <cell r="D1171"/>
          <cell r="E1171"/>
          <cell r="F1171"/>
          <cell r="G1171"/>
          <cell r="H1171"/>
          <cell r="I1171"/>
          <cell r="J1171"/>
          <cell r="K1171"/>
          <cell r="L1171"/>
        </row>
        <row r="1172">
          <cell r="C1172"/>
          <cell r="D1172"/>
          <cell r="E1172"/>
          <cell r="F1172"/>
          <cell r="G1172"/>
          <cell r="H1172"/>
          <cell r="I1172"/>
          <cell r="J1172"/>
          <cell r="K1172"/>
          <cell r="L1172"/>
        </row>
        <row r="1173">
          <cell r="C1173"/>
          <cell r="D1173"/>
          <cell r="E1173"/>
          <cell r="F1173"/>
          <cell r="G1173"/>
          <cell r="H1173"/>
          <cell r="I1173"/>
          <cell r="J1173"/>
          <cell r="K1173"/>
          <cell r="L1173"/>
        </row>
        <row r="1174">
          <cell r="C1174"/>
          <cell r="D1174"/>
          <cell r="E1174"/>
          <cell r="F1174"/>
          <cell r="G1174"/>
          <cell r="H1174"/>
          <cell r="I1174"/>
          <cell r="J1174"/>
          <cell r="K1174"/>
          <cell r="L1174"/>
        </row>
        <row r="1175">
          <cell r="C1175"/>
          <cell r="D1175"/>
          <cell r="E1175"/>
          <cell r="F1175"/>
          <cell r="G1175"/>
          <cell r="H1175"/>
          <cell r="I1175"/>
          <cell r="J1175"/>
          <cell r="K1175"/>
          <cell r="L1175"/>
        </row>
        <row r="1176">
          <cell r="C1176"/>
          <cell r="D1176"/>
          <cell r="E1176"/>
          <cell r="F1176"/>
          <cell r="G1176"/>
          <cell r="H1176"/>
          <cell r="I1176"/>
          <cell r="J1176"/>
          <cell r="K1176"/>
          <cell r="L1176"/>
        </row>
        <row r="1177">
          <cell r="C1177"/>
          <cell r="D1177"/>
          <cell r="E1177"/>
          <cell r="F1177"/>
          <cell r="G1177"/>
          <cell r="H1177"/>
          <cell r="I1177"/>
          <cell r="J1177"/>
          <cell r="K1177"/>
          <cell r="L1177"/>
        </row>
        <row r="1178">
          <cell r="C1178"/>
          <cell r="D1178"/>
          <cell r="E1178"/>
          <cell r="F1178"/>
          <cell r="G1178"/>
          <cell r="H1178"/>
          <cell r="I1178"/>
          <cell r="J1178"/>
          <cell r="K1178"/>
          <cell r="L1178"/>
        </row>
        <row r="1179">
          <cell r="C1179"/>
          <cell r="D1179"/>
          <cell r="E1179"/>
          <cell r="F1179"/>
          <cell r="G1179"/>
          <cell r="H1179"/>
          <cell r="I1179"/>
          <cell r="J1179"/>
          <cell r="K1179"/>
          <cell r="L1179"/>
        </row>
        <row r="1180">
          <cell r="C1180"/>
          <cell r="D1180"/>
          <cell r="E1180"/>
          <cell r="F1180"/>
          <cell r="G1180"/>
          <cell r="H1180"/>
          <cell r="I1180"/>
          <cell r="J1180"/>
          <cell r="K1180"/>
          <cell r="L1180"/>
        </row>
        <row r="1181">
          <cell r="C1181"/>
          <cell r="D1181"/>
          <cell r="E1181"/>
          <cell r="F1181"/>
          <cell r="G1181"/>
          <cell r="H1181"/>
          <cell r="I1181"/>
          <cell r="J1181"/>
          <cell r="K1181"/>
          <cell r="L1181"/>
        </row>
        <row r="1182">
          <cell r="C1182"/>
          <cell r="D1182"/>
          <cell r="E1182"/>
          <cell r="F1182"/>
          <cell r="G1182"/>
          <cell r="H1182"/>
          <cell r="I1182"/>
          <cell r="J1182"/>
          <cell r="K1182"/>
          <cell r="L1182"/>
        </row>
        <row r="1183">
          <cell r="C1183"/>
          <cell r="D1183"/>
          <cell r="E1183"/>
          <cell r="F1183"/>
          <cell r="G1183"/>
          <cell r="H1183"/>
          <cell r="I1183"/>
          <cell r="J1183"/>
          <cell r="K1183"/>
          <cell r="L1183"/>
        </row>
        <row r="1184">
          <cell r="C1184"/>
          <cell r="D1184"/>
          <cell r="E1184"/>
          <cell r="F1184"/>
          <cell r="G1184"/>
          <cell r="H1184"/>
          <cell r="I1184"/>
          <cell r="J1184"/>
          <cell r="K1184"/>
          <cell r="L1184"/>
        </row>
        <row r="1185">
          <cell r="C1185"/>
          <cell r="D1185"/>
          <cell r="E1185"/>
          <cell r="F1185"/>
          <cell r="G1185"/>
          <cell r="H1185"/>
          <cell r="I1185"/>
          <cell r="J1185"/>
          <cell r="K1185"/>
          <cell r="L1185"/>
        </row>
        <row r="1186">
          <cell r="C1186"/>
          <cell r="D1186"/>
          <cell r="E1186"/>
          <cell r="F1186"/>
          <cell r="G1186"/>
          <cell r="H1186"/>
          <cell r="I1186"/>
          <cell r="J1186"/>
          <cell r="K1186"/>
          <cell r="L1186"/>
        </row>
        <row r="1187">
          <cell r="C1187"/>
          <cell r="D1187"/>
          <cell r="E1187"/>
          <cell r="F1187"/>
          <cell r="G1187"/>
          <cell r="H1187"/>
          <cell r="I1187"/>
          <cell r="J1187"/>
          <cell r="K1187"/>
          <cell r="L1187"/>
        </row>
        <row r="1188">
          <cell r="C1188"/>
          <cell r="D1188"/>
          <cell r="E1188"/>
          <cell r="F1188"/>
          <cell r="G1188"/>
          <cell r="H1188"/>
          <cell r="I1188"/>
          <cell r="J1188"/>
          <cell r="K1188"/>
          <cell r="L1188"/>
        </row>
        <row r="1189">
          <cell r="C1189"/>
          <cell r="D1189"/>
          <cell r="E1189"/>
          <cell r="F1189"/>
          <cell r="G1189"/>
          <cell r="H1189"/>
          <cell r="I1189"/>
          <cell r="J1189"/>
          <cell r="K1189"/>
          <cell r="L1189"/>
        </row>
        <row r="1190">
          <cell r="C1190"/>
          <cell r="D1190"/>
          <cell r="E1190"/>
          <cell r="F1190"/>
          <cell r="G1190"/>
          <cell r="H1190"/>
          <cell r="I1190"/>
          <cell r="J1190"/>
          <cell r="K1190"/>
          <cell r="L1190"/>
        </row>
        <row r="1191">
          <cell r="C1191"/>
          <cell r="D1191"/>
          <cell r="E1191"/>
          <cell r="F1191"/>
          <cell r="G1191"/>
          <cell r="H1191"/>
          <cell r="I1191"/>
          <cell r="J1191"/>
          <cell r="K1191"/>
          <cell r="L1191"/>
        </row>
        <row r="1192">
          <cell r="C1192"/>
          <cell r="D1192"/>
          <cell r="E1192"/>
          <cell r="F1192"/>
          <cell r="G1192"/>
          <cell r="H1192"/>
          <cell r="I1192"/>
          <cell r="J1192"/>
          <cell r="K1192"/>
          <cell r="L1192"/>
        </row>
        <row r="1193">
          <cell r="C1193"/>
          <cell r="D1193"/>
          <cell r="E1193"/>
          <cell r="F1193"/>
          <cell r="G1193"/>
          <cell r="H1193"/>
          <cell r="I1193"/>
          <cell r="J1193"/>
          <cell r="K1193"/>
          <cell r="L1193"/>
        </row>
        <row r="1194">
          <cell r="C1194"/>
          <cell r="D1194"/>
          <cell r="E1194"/>
          <cell r="F1194"/>
          <cell r="G1194"/>
          <cell r="H1194"/>
          <cell r="I1194"/>
          <cell r="J1194"/>
          <cell r="K1194"/>
          <cell r="L1194"/>
        </row>
        <row r="1195">
          <cell r="C1195"/>
          <cell r="D1195"/>
          <cell r="E1195"/>
          <cell r="F1195"/>
          <cell r="G1195"/>
          <cell r="H1195"/>
          <cell r="I1195"/>
          <cell r="J1195"/>
          <cell r="K1195"/>
          <cell r="L1195"/>
        </row>
        <row r="1196">
          <cell r="C1196"/>
          <cell r="D1196"/>
          <cell r="E1196"/>
          <cell r="F1196"/>
          <cell r="G1196"/>
          <cell r="H1196"/>
          <cell r="I1196"/>
          <cell r="J1196"/>
          <cell r="K1196"/>
          <cell r="L1196"/>
        </row>
        <row r="1197">
          <cell r="C1197"/>
          <cell r="D1197"/>
          <cell r="E1197"/>
          <cell r="F1197"/>
          <cell r="G1197"/>
          <cell r="H1197"/>
          <cell r="I1197"/>
          <cell r="J1197"/>
          <cell r="K1197"/>
          <cell r="L1197"/>
        </row>
        <row r="1198">
          <cell r="C1198"/>
          <cell r="D1198"/>
          <cell r="E1198"/>
          <cell r="F1198"/>
          <cell r="G1198"/>
          <cell r="H1198"/>
          <cell r="I1198"/>
          <cell r="J1198"/>
          <cell r="K1198"/>
          <cell r="L1198"/>
        </row>
        <row r="1199">
          <cell r="C1199"/>
          <cell r="D1199"/>
          <cell r="E1199"/>
          <cell r="F1199"/>
          <cell r="G1199"/>
          <cell r="H1199"/>
          <cell r="I1199"/>
          <cell r="J1199"/>
          <cell r="K1199"/>
          <cell r="L1199"/>
        </row>
        <row r="1200">
          <cell r="C1200"/>
          <cell r="D1200"/>
          <cell r="E1200"/>
          <cell r="F1200"/>
          <cell r="G1200"/>
          <cell r="H1200"/>
          <cell r="I1200"/>
          <cell r="J1200"/>
          <cell r="K1200"/>
          <cell r="L1200"/>
        </row>
        <row r="1201">
          <cell r="C1201"/>
          <cell r="D1201"/>
          <cell r="E1201"/>
          <cell r="F1201"/>
          <cell r="G1201"/>
          <cell r="H1201"/>
          <cell r="I1201"/>
          <cell r="J1201"/>
          <cell r="K1201"/>
          <cell r="L1201"/>
        </row>
        <row r="1202">
          <cell r="C1202"/>
          <cell r="D1202"/>
          <cell r="E1202"/>
          <cell r="F1202"/>
          <cell r="G1202"/>
          <cell r="H1202"/>
          <cell r="I1202"/>
          <cell r="J1202"/>
          <cell r="K1202"/>
          <cell r="L1202"/>
        </row>
        <row r="1203">
          <cell r="C1203"/>
          <cell r="D1203"/>
          <cell r="E1203"/>
          <cell r="F1203"/>
          <cell r="G1203"/>
          <cell r="H1203"/>
          <cell r="I1203"/>
          <cell r="J1203"/>
          <cell r="K1203"/>
          <cell r="L1203"/>
        </row>
        <row r="1204">
          <cell r="C1204"/>
          <cell r="D1204"/>
          <cell r="E1204"/>
          <cell r="F1204"/>
          <cell r="G1204"/>
          <cell r="H1204"/>
          <cell r="I1204"/>
          <cell r="J1204"/>
          <cell r="K1204"/>
          <cell r="L1204"/>
        </row>
        <row r="1205">
          <cell r="C1205"/>
          <cell r="D1205"/>
          <cell r="E1205"/>
          <cell r="F1205"/>
          <cell r="G1205"/>
          <cell r="H1205"/>
          <cell r="I1205"/>
          <cell r="J1205"/>
          <cell r="K1205"/>
          <cell r="L1205"/>
        </row>
        <row r="1206">
          <cell r="C1206"/>
          <cell r="D1206"/>
          <cell r="E1206"/>
          <cell r="F1206"/>
          <cell r="G1206"/>
          <cell r="H1206"/>
          <cell r="I1206"/>
          <cell r="J1206"/>
          <cell r="K1206"/>
          <cell r="L1206"/>
        </row>
        <row r="1207">
          <cell r="C1207"/>
          <cell r="D1207"/>
          <cell r="E1207"/>
          <cell r="F1207"/>
          <cell r="G1207"/>
          <cell r="H1207"/>
          <cell r="I1207"/>
          <cell r="J1207"/>
          <cell r="K1207"/>
          <cell r="L1207"/>
        </row>
        <row r="1208">
          <cell r="C1208"/>
          <cell r="D1208"/>
          <cell r="E1208"/>
          <cell r="F1208"/>
          <cell r="G1208"/>
          <cell r="H1208"/>
          <cell r="I1208"/>
          <cell r="J1208"/>
          <cell r="K1208"/>
          <cell r="L1208"/>
        </row>
        <row r="1209">
          <cell r="C1209"/>
          <cell r="D1209"/>
          <cell r="E1209"/>
          <cell r="F1209"/>
          <cell r="G1209"/>
          <cell r="H1209"/>
          <cell r="I1209"/>
          <cell r="J1209"/>
          <cell r="K1209"/>
          <cell r="L1209"/>
        </row>
        <row r="1210">
          <cell r="C1210"/>
          <cell r="D1210"/>
          <cell r="E1210"/>
          <cell r="F1210"/>
          <cell r="G1210"/>
          <cell r="H1210"/>
          <cell r="I1210"/>
          <cell r="J1210"/>
          <cell r="K1210"/>
          <cell r="L1210"/>
        </row>
        <row r="1211">
          <cell r="C1211"/>
          <cell r="D1211"/>
          <cell r="E1211"/>
          <cell r="F1211"/>
          <cell r="G1211"/>
          <cell r="H1211"/>
          <cell r="I1211"/>
          <cell r="J1211"/>
          <cell r="K1211"/>
          <cell r="L1211"/>
        </row>
        <row r="1212">
          <cell r="C1212"/>
          <cell r="D1212"/>
          <cell r="E1212"/>
          <cell r="F1212"/>
          <cell r="G1212"/>
          <cell r="H1212"/>
          <cell r="I1212"/>
          <cell r="J1212"/>
          <cell r="K1212"/>
          <cell r="L1212"/>
        </row>
        <row r="1213">
          <cell r="C1213"/>
          <cell r="D1213"/>
          <cell r="E1213"/>
          <cell r="F1213"/>
          <cell r="G1213"/>
          <cell r="H1213"/>
          <cell r="I1213"/>
          <cell r="J1213"/>
          <cell r="K1213"/>
          <cell r="L1213"/>
        </row>
        <row r="1214">
          <cell r="C1214"/>
          <cell r="D1214"/>
          <cell r="E1214"/>
          <cell r="F1214"/>
          <cell r="G1214"/>
          <cell r="H1214"/>
          <cell r="I1214"/>
          <cell r="J1214"/>
          <cell r="K1214"/>
          <cell r="L1214"/>
        </row>
        <row r="1215">
          <cell r="C1215"/>
          <cell r="D1215"/>
          <cell r="E1215"/>
          <cell r="F1215"/>
          <cell r="G1215"/>
          <cell r="H1215"/>
          <cell r="I1215"/>
          <cell r="J1215"/>
          <cell r="K1215"/>
          <cell r="L1215"/>
        </row>
        <row r="1216">
          <cell r="C1216"/>
          <cell r="D1216"/>
          <cell r="E1216"/>
          <cell r="F1216"/>
          <cell r="G1216"/>
          <cell r="H1216"/>
          <cell r="I1216"/>
          <cell r="J1216"/>
          <cell r="K1216"/>
          <cell r="L1216"/>
        </row>
        <row r="1217">
          <cell r="C1217"/>
          <cell r="D1217"/>
          <cell r="E1217"/>
          <cell r="F1217"/>
          <cell r="G1217"/>
          <cell r="H1217"/>
          <cell r="I1217"/>
          <cell r="J1217"/>
          <cell r="K1217"/>
          <cell r="L1217"/>
        </row>
        <row r="1218">
          <cell r="C1218"/>
          <cell r="D1218"/>
          <cell r="E1218"/>
          <cell r="F1218"/>
          <cell r="G1218"/>
          <cell r="H1218"/>
          <cell r="I1218"/>
          <cell r="J1218"/>
          <cell r="K1218"/>
          <cell r="L1218"/>
        </row>
        <row r="1219">
          <cell r="C1219"/>
          <cell r="D1219"/>
          <cell r="E1219"/>
          <cell r="F1219"/>
          <cell r="G1219"/>
          <cell r="H1219"/>
          <cell r="I1219"/>
          <cell r="J1219"/>
          <cell r="K1219"/>
          <cell r="L1219"/>
        </row>
        <row r="1220">
          <cell r="C1220"/>
          <cell r="D1220"/>
          <cell r="E1220"/>
          <cell r="F1220"/>
          <cell r="G1220"/>
          <cell r="H1220"/>
          <cell r="I1220"/>
          <cell r="J1220"/>
          <cell r="K1220"/>
          <cell r="L1220"/>
        </row>
        <row r="1221">
          <cell r="C1221"/>
          <cell r="D1221"/>
          <cell r="E1221"/>
          <cell r="F1221"/>
          <cell r="G1221"/>
          <cell r="H1221"/>
          <cell r="I1221"/>
          <cell r="J1221"/>
          <cell r="K1221"/>
          <cell r="L1221"/>
        </row>
        <row r="1222">
          <cell r="C1222"/>
          <cell r="D1222"/>
          <cell r="E1222"/>
          <cell r="F1222"/>
          <cell r="G1222"/>
          <cell r="H1222"/>
          <cell r="I1222"/>
          <cell r="J1222"/>
          <cell r="K1222"/>
          <cell r="L1222"/>
        </row>
        <row r="1223">
          <cell r="C1223"/>
          <cell r="D1223"/>
          <cell r="E1223"/>
          <cell r="F1223"/>
          <cell r="G1223"/>
          <cell r="H1223"/>
          <cell r="I1223"/>
          <cell r="J1223"/>
          <cell r="K1223"/>
          <cell r="L1223"/>
        </row>
        <row r="1224">
          <cell r="C1224"/>
          <cell r="D1224"/>
          <cell r="E1224"/>
          <cell r="F1224"/>
          <cell r="G1224"/>
          <cell r="H1224"/>
          <cell r="I1224"/>
          <cell r="J1224"/>
          <cell r="K1224"/>
          <cell r="L1224"/>
        </row>
        <row r="1225">
          <cell r="C1225"/>
          <cell r="D1225"/>
          <cell r="E1225"/>
          <cell r="F1225"/>
          <cell r="G1225"/>
          <cell r="H1225"/>
          <cell r="I1225"/>
          <cell r="J1225"/>
          <cell r="K1225"/>
          <cell r="L1225"/>
        </row>
        <row r="1226">
          <cell r="C1226"/>
          <cell r="D1226"/>
          <cell r="E1226"/>
          <cell r="F1226"/>
          <cell r="G1226"/>
          <cell r="H1226"/>
          <cell r="I1226"/>
          <cell r="J1226"/>
          <cell r="K1226"/>
          <cell r="L1226"/>
        </row>
        <row r="1227">
          <cell r="C1227"/>
          <cell r="D1227"/>
          <cell r="E1227"/>
          <cell r="F1227"/>
          <cell r="G1227"/>
          <cell r="H1227"/>
          <cell r="I1227"/>
          <cell r="J1227"/>
          <cell r="K1227"/>
          <cell r="L1227"/>
        </row>
        <row r="1228">
          <cell r="C1228"/>
          <cell r="D1228"/>
          <cell r="E1228"/>
          <cell r="F1228"/>
          <cell r="G1228"/>
          <cell r="H1228"/>
          <cell r="I1228"/>
          <cell r="J1228"/>
          <cell r="K1228"/>
          <cell r="L1228"/>
        </row>
        <row r="1229">
          <cell r="C1229"/>
          <cell r="D1229"/>
          <cell r="E1229"/>
          <cell r="F1229"/>
          <cell r="G1229"/>
          <cell r="H1229"/>
          <cell r="I1229"/>
          <cell r="J1229"/>
          <cell r="K1229"/>
          <cell r="L1229"/>
        </row>
        <row r="1230">
          <cell r="C1230"/>
          <cell r="D1230"/>
          <cell r="E1230"/>
          <cell r="F1230"/>
          <cell r="G1230"/>
          <cell r="H1230"/>
          <cell r="I1230"/>
          <cell r="J1230"/>
          <cell r="K1230"/>
          <cell r="L1230"/>
        </row>
        <row r="1231">
          <cell r="C1231"/>
          <cell r="D1231"/>
          <cell r="E1231"/>
          <cell r="F1231"/>
          <cell r="G1231"/>
          <cell r="H1231"/>
          <cell r="I1231"/>
          <cell r="J1231"/>
          <cell r="K1231"/>
          <cell r="L1231"/>
        </row>
        <row r="1232">
          <cell r="C1232"/>
          <cell r="D1232"/>
          <cell r="E1232"/>
          <cell r="F1232"/>
          <cell r="G1232"/>
          <cell r="H1232"/>
          <cell r="I1232"/>
          <cell r="J1232"/>
          <cell r="K1232"/>
          <cell r="L1232"/>
        </row>
        <row r="1233">
          <cell r="C1233"/>
          <cell r="D1233"/>
          <cell r="E1233"/>
          <cell r="F1233"/>
          <cell r="G1233"/>
          <cell r="H1233"/>
          <cell r="I1233"/>
          <cell r="J1233"/>
          <cell r="K1233"/>
          <cell r="L1233"/>
        </row>
        <row r="1234">
          <cell r="C1234"/>
          <cell r="D1234"/>
          <cell r="E1234"/>
          <cell r="F1234"/>
          <cell r="G1234"/>
          <cell r="H1234"/>
          <cell r="I1234"/>
          <cell r="J1234"/>
          <cell r="K1234"/>
          <cell r="L1234"/>
        </row>
        <row r="1235">
          <cell r="C1235"/>
          <cell r="D1235"/>
          <cell r="E1235"/>
          <cell r="F1235"/>
          <cell r="G1235"/>
          <cell r="H1235"/>
          <cell r="I1235"/>
          <cell r="J1235"/>
          <cell r="K1235"/>
          <cell r="L1235"/>
        </row>
        <row r="1236">
          <cell r="C1236"/>
          <cell r="D1236"/>
          <cell r="E1236"/>
          <cell r="F1236"/>
          <cell r="G1236"/>
          <cell r="H1236"/>
          <cell r="I1236"/>
          <cell r="J1236"/>
          <cell r="K1236"/>
          <cell r="L1236"/>
        </row>
        <row r="1237">
          <cell r="C1237"/>
          <cell r="D1237"/>
          <cell r="E1237"/>
          <cell r="F1237"/>
          <cell r="G1237"/>
          <cell r="H1237"/>
          <cell r="I1237"/>
          <cell r="J1237"/>
          <cell r="K1237"/>
          <cell r="L1237"/>
        </row>
        <row r="1238">
          <cell r="C1238"/>
          <cell r="D1238"/>
          <cell r="E1238"/>
          <cell r="F1238"/>
          <cell r="G1238"/>
          <cell r="H1238"/>
          <cell r="I1238"/>
          <cell r="J1238"/>
          <cell r="K1238"/>
          <cell r="L1238"/>
        </row>
        <row r="1239">
          <cell r="C1239"/>
          <cell r="D1239"/>
          <cell r="E1239"/>
          <cell r="F1239"/>
          <cell r="G1239"/>
          <cell r="H1239"/>
          <cell r="I1239"/>
          <cell r="J1239"/>
          <cell r="K1239"/>
          <cell r="L1239"/>
        </row>
        <row r="1240">
          <cell r="C1240"/>
          <cell r="D1240"/>
          <cell r="E1240"/>
          <cell r="F1240"/>
          <cell r="G1240"/>
          <cell r="H1240"/>
          <cell r="I1240"/>
          <cell r="J1240"/>
          <cell r="K1240"/>
          <cell r="L1240"/>
        </row>
        <row r="1241">
          <cell r="C1241"/>
          <cell r="D1241"/>
          <cell r="E1241"/>
          <cell r="F1241"/>
          <cell r="G1241"/>
          <cell r="H1241"/>
          <cell r="I1241"/>
          <cell r="J1241"/>
          <cell r="K1241"/>
          <cell r="L1241"/>
        </row>
        <row r="1242">
          <cell r="C1242"/>
          <cell r="D1242"/>
          <cell r="E1242"/>
          <cell r="F1242"/>
          <cell r="G1242"/>
          <cell r="H1242"/>
          <cell r="I1242"/>
          <cell r="J1242"/>
          <cell r="K1242"/>
          <cell r="L1242"/>
        </row>
        <row r="1243">
          <cell r="C1243"/>
          <cell r="D1243"/>
          <cell r="E1243"/>
          <cell r="F1243"/>
          <cell r="G1243"/>
          <cell r="H1243"/>
          <cell r="I1243"/>
          <cell r="J1243"/>
          <cell r="K1243"/>
          <cell r="L1243"/>
        </row>
        <row r="1244">
          <cell r="C1244"/>
          <cell r="D1244"/>
          <cell r="E1244"/>
          <cell r="F1244"/>
          <cell r="G1244"/>
          <cell r="H1244"/>
          <cell r="I1244"/>
          <cell r="J1244"/>
          <cell r="K1244"/>
          <cell r="L1244"/>
        </row>
        <row r="1245">
          <cell r="C1245"/>
          <cell r="D1245"/>
          <cell r="E1245"/>
          <cell r="F1245"/>
          <cell r="G1245"/>
          <cell r="H1245"/>
          <cell r="I1245"/>
          <cell r="J1245"/>
          <cell r="K1245"/>
          <cell r="L1245"/>
        </row>
        <row r="1246">
          <cell r="C1246"/>
          <cell r="D1246"/>
          <cell r="E1246"/>
          <cell r="F1246"/>
          <cell r="G1246"/>
          <cell r="H1246"/>
          <cell r="I1246"/>
          <cell r="J1246"/>
          <cell r="K1246"/>
          <cell r="L1246"/>
        </row>
        <row r="1247">
          <cell r="C1247"/>
          <cell r="D1247"/>
          <cell r="E1247"/>
          <cell r="F1247"/>
          <cell r="G1247"/>
          <cell r="H1247"/>
          <cell r="I1247"/>
          <cell r="J1247"/>
          <cell r="K1247"/>
          <cell r="L1247"/>
        </row>
        <row r="1248">
          <cell r="C1248"/>
          <cell r="D1248"/>
          <cell r="E1248"/>
          <cell r="F1248"/>
          <cell r="G1248"/>
          <cell r="H1248"/>
          <cell r="I1248"/>
          <cell r="J1248"/>
          <cell r="K1248"/>
          <cell r="L1248"/>
        </row>
        <row r="1249">
          <cell r="C1249"/>
          <cell r="D1249"/>
          <cell r="E1249"/>
          <cell r="F1249"/>
          <cell r="G1249"/>
          <cell r="H1249"/>
          <cell r="I1249"/>
          <cell r="J1249"/>
          <cell r="K1249"/>
          <cell r="L1249"/>
        </row>
        <row r="1250">
          <cell r="C1250"/>
          <cell r="D1250"/>
          <cell r="E1250"/>
          <cell r="F1250"/>
          <cell r="G1250"/>
          <cell r="H1250"/>
          <cell r="I1250"/>
          <cell r="J1250"/>
          <cell r="K1250"/>
          <cell r="L1250"/>
        </row>
        <row r="1251">
          <cell r="C1251"/>
          <cell r="D1251"/>
          <cell r="E1251"/>
          <cell r="F1251"/>
          <cell r="G1251"/>
          <cell r="H1251"/>
          <cell r="I1251"/>
          <cell r="J1251"/>
          <cell r="K1251"/>
          <cell r="L1251"/>
        </row>
        <row r="1252">
          <cell r="C1252"/>
          <cell r="D1252"/>
          <cell r="E1252"/>
          <cell r="F1252"/>
          <cell r="G1252"/>
          <cell r="H1252"/>
          <cell r="I1252"/>
          <cell r="J1252"/>
          <cell r="K1252"/>
          <cell r="L1252"/>
        </row>
        <row r="1253">
          <cell r="C1253"/>
          <cell r="D1253"/>
          <cell r="E1253"/>
          <cell r="F1253"/>
          <cell r="G1253"/>
          <cell r="H1253"/>
          <cell r="I1253"/>
          <cell r="J1253"/>
          <cell r="K1253"/>
          <cell r="L1253"/>
        </row>
        <row r="1254">
          <cell r="C1254"/>
          <cell r="D1254"/>
          <cell r="E1254"/>
          <cell r="F1254"/>
          <cell r="G1254"/>
          <cell r="H1254"/>
          <cell r="I1254"/>
          <cell r="J1254"/>
          <cell r="K1254"/>
          <cell r="L1254"/>
        </row>
        <row r="1255">
          <cell r="C1255"/>
          <cell r="D1255"/>
          <cell r="E1255"/>
          <cell r="F1255"/>
          <cell r="G1255"/>
          <cell r="H1255"/>
          <cell r="I1255"/>
          <cell r="J1255"/>
          <cell r="K1255"/>
          <cell r="L1255"/>
        </row>
        <row r="1256">
          <cell r="C1256"/>
          <cell r="D1256"/>
          <cell r="E1256"/>
          <cell r="F1256"/>
          <cell r="G1256"/>
          <cell r="H1256"/>
          <cell r="I1256"/>
          <cell r="J1256"/>
          <cell r="K1256"/>
          <cell r="L1256"/>
        </row>
        <row r="1257">
          <cell r="C1257"/>
          <cell r="D1257"/>
          <cell r="E1257"/>
          <cell r="F1257"/>
          <cell r="G1257"/>
          <cell r="H1257"/>
          <cell r="I1257"/>
          <cell r="J1257"/>
          <cell r="K1257"/>
          <cell r="L1257"/>
        </row>
        <row r="1258">
          <cell r="C1258"/>
          <cell r="D1258"/>
          <cell r="E1258"/>
          <cell r="F1258"/>
          <cell r="G1258"/>
          <cell r="H1258"/>
          <cell r="I1258"/>
          <cell r="J1258"/>
          <cell r="K1258"/>
          <cell r="L1258"/>
        </row>
        <row r="1259">
          <cell r="C1259"/>
          <cell r="D1259"/>
          <cell r="E1259"/>
          <cell r="F1259"/>
          <cell r="G1259"/>
          <cell r="H1259"/>
          <cell r="I1259"/>
          <cell r="J1259"/>
          <cell r="K1259"/>
          <cell r="L1259"/>
        </row>
        <row r="1260">
          <cell r="C1260"/>
          <cell r="D1260"/>
          <cell r="E1260"/>
          <cell r="F1260"/>
          <cell r="G1260"/>
          <cell r="H1260"/>
          <cell r="I1260"/>
          <cell r="J1260"/>
          <cell r="K1260"/>
          <cell r="L1260"/>
        </row>
        <row r="1261">
          <cell r="C1261"/>
          <cell r="D1261"/>
          <cell r="E1261"/>
          <cell r="F1261"/>
          <cell r="G1261"/>
          <cell r="H1261"/>
          <cell r="I1261"/>
          <cell r="J1261"/>
          <cell r="K1261"/>
          <cell r="L1261"/>
        </row>
        <row r="1262">
          <cell r="C1262"/>
          <cell r="D1262"/>
          <cell r="E1262"/>
          <cell r="F1262"/>
          <cell r="G1262"/>
          <cell r="H1262"/>
          <cell r="I1262"/>
          <cell r="J1262"/>
          <cell r="K1262"/>
          <cell r="L1262"/>
        </row>
        <row r="1263">
          <cell r="C1263"/>
          <cell r="D1263"/>
          <cell r="E1263"/>
          <cell r="F1263"/>
          <cell r="G1263"/>
          <cell r="H1263"/>
          <cell r="I1263"/>
          <cell r="J1263"/>
          <cell r="K1263"/>
          <cell r="L1263"/>
        </row>
        <row r="1264">
          <cell r="C1264"/>
          <cell r="D1264"/>
          <cell r="E1264"/>
          <cell r="F1264"/>
          <cell r="G1264"/>
          <cell r="H1264"/>
          <cell r="I1264"/>
          <cell r="J1264"/>
          <cell r="K1264"/>
          <cell r="L1264"/>
        </row>
        <row r="1265">
          <cell r="C1265"/>
          <cell r="D1265"/>
          <cell r="E1265"/>
          <cell r="F1265"/>
          <cell r="G1265"/>
          <cell r="H1265"/>
          <cell r="I1265"/>
          <cell r="J1265"/>
          <cell r="K1265"/>
          <cell r="L1265"/>
        </row>
        <row r="1266">
          <cell r="C1266"/>
          <cell r="D1266"/>
          <cell r="E1266"/>
          <cell r="F1266"/>
          <cell r="G1266"/>
          <cell r="H1266"/>
          <cell r="I1266"/>
          <cell r="J1266"/>
          <cell r="K1266"/>
          <cell r="L1266"/>
        </row>
        <row r="1267">
          <cell r="C1267"/>
          <cell r="D1267"/>
          <cell r="E1267"/>
          <cell r="F1267"/>
          <cell r="G1267"/>
          <cell r="H1267"/>
          <cell r="I1267"/>
          <cell r="J1267"/>
          <cell r="K1267"/>
          <cell r="L1267"/>
        </row>
        <row r="1268">
          <cell r="C1268"/>
          <cell r="D1268"/>
          <cell r="E1268"/>
          <cell r="F1268"/>
          <cell r="G1268"/>
          <cell r="H1268"/>
          <cell r="I1268"/>
          <cell r="J1268"/>
          <cell r="K1268"/>
          <cell r="L1268"/>
        </row>
        <row r="1269">
          <cell r="C1269"/>
          <cell r="D1269"/>
          <cell r="E1269"/>
          <cell r="F1269"/>
          <cell r="G1269"/>
          <cell r="H1269"/>
          <cell r="I1269"/>
          <cell r="J1269"/>
          <cell r="K1269"/>
          <cell r="L1269"/>
        </row>
        <row r="1270">
          <cell r="C1270"/>
          <cell r="D1270"/>
          <cell r="E1270"/>
          <cell r="F1270"/>
          <cell r="G1270"/>
          <cell r="H1270"/>
          <cell r="I1270"/>
          <cell r="J1270"/>
          <cell r="K1270"/>
          <cell r="L1270"/>
        </row>
        <row r="1271">
          <cell r="C1271"/>
          <cell r="D1271"/>
          <cell r="E1271"/>
          <cell r="F1271"/>
          <cell r="G1271"/>
          <cell r="H1271"/>
          <cell r="I1271"/>
          <cell r="J1271"/>
          <cell r="K1271"/>
          <cell r="L1271"/>
        </row>
        <row r="1272">
          <cell r="C1272"/>
          <cell r="D1272"/>
          <cell r="E1272"/>
          <cell r="F1272"/>
          <cell r="G1272"/>
          <cell r="H1272"/>
          <cell r="I1272"/>
          <cell r="J1272"/>
          <cell r="K1272"/>
          <cell r="L1272"/>
        </row>
        <row r="1273">
          <cell r="C1273"/>
          <cell r="D1273"/>
          <cell r="E1273"/>
          <cell r="F1273"/>
          <cell r="G1273"/>
          <cell r="H1273"/>
          <cell r="I1273"/>
          <cell r="J1273"/>
          <cell r="K1273"/>
          <cell r="L1273"/>
        </row>
        <row r="1274">
          <cell r="C1274"/>
          <cell r="D1274"/>
          <cell r="E1274"/>
          <cell r="F1274"/>
          <cell r="G1274"/>
          <cell r="H1274"/>
          <cell r="I1274"/>
          <cell r="J1274"/>
          <cell r="K1274"/>
          <cell r="L1274"/>
        </row>
        <row r="1275">
          <cell r="C1275"/>
          <cell r="D1275"/>
          <cell r="E1275"/>
          <cell r="F1275"/>
          <cell r="G1275"/>
          <cell r="H1275"/>
          <cell r="I1275"/>
          <cell r="J1275"/>
          <cell r="K1275"/>
          <cell r="L1275"/>
        </row>
        <row r="1276">
          <cell r="C1276"/>
          <cell r="D1276"/>
          <cell r="E1276"/>
          <cell r="F1276"/>
          <cell r="G1276"/>
          <cell r="H1276"/>
          <cell r="I1276"/>
          <cell r="J1276"/>
          <cell r="K1276"/>
          <cell r="L1276"/>
        </row>
        <row r="1277">
          <cell r="C1277"/>
          <cell r="D1277"/>
          <cell r="E1277"/>
          <cell r="F1277"/>
          <cell r="G1277"/>
          <cell r="H1277"/>
          <cell r="I1277"/>
          <cell r="J1277"/>
          <cell r="K1277"/>
          <cell r="L1277"/>
        </row>
        <row r="1278">
          <cell r="C1278"/>
          <cell r="D1278"/>
          <cell r="E1278"/>
          <cell r="F1278"/>
          <cell r="G1278"/>
          <cell r="H1278"/>
          <cell r="I1278"/>
          <cell r="J1278"/>
          <cell r="K1278"/>
          <cell r="L1278"/>
        </row>
        <row r="1279">
          <cell r="C1279"/>
          <cell r="D1279"/>
          <cell r="E1279"/>
          <cell r="F1279"/>
          <cell r="G1279"/>
          <cell r="H1279"/>
          <cell r="I1279"/>
          <cell r="J1279"/>
          <cell r="K1279"/>
          <cell r="L1279"/>
        </row>
        <row r="1280">
          <cell r="C1280"/>
          <cell r="D1280"/>
          <cell r="E1280"/>
          <cell r="F1280"/>
          <cell r="G1280"/>
          <cell r="H1280"/>
          <cell r="I1280"/>
          <cell r="J1280"/>
          <cell r="K1280"/>
          <cell r="L1280"/>
        </row>
        <row r="1281">
          <cell r="C1281"/>
          <cell r="D1281"/>
          <cell r="E1281"/>
          <cell r="F1281"/>
          <cell r="G1281"/>
          <cell r="H1281"/>
          <cell r="I1281"/>
          <cell r="J1281"/>
          <cell r="K1281"/>
          <cell r="L1281"/>
        </row>
        <row r="1282">
          <cell r="C1282"/>
          <cell r="D1282"/>
          <cell r="E1282"/>
          <cell r="F1282"/>
          <cell r="G1282"/>
          <cell r="H1282"/>
          <cell r="I1282"/>
          <cell r="J1282"/>
          <cell r="K1282"/>
          <cell r="L1282"/>
        </row>
        <row r="1283">
          <cell r="C1283"/>
          <cell r="D1283"/>
          <cell r="E1283"/>
          <cell r="F1283"/>
          <cell r="G1283"/>
          <cell r="H1283"/>
          <cell r="I1283"/>
          <cell r="J1283"/>
          <cell r="K1283"/>
          <cell r="L1283"/>
        </row>
        <row r="1284">
          <cell r="C1284"/>
          <cell r="D1284"/>
          <cell r="E1284"/>
          <cell r="F1284"/>
          <cell r="G1284"/>
          <cell r="H1284"/>
          <cell r="I1284"/>
          <cell r="J1284"/>
          <cell r="K1284"/>
          <cell r="L1284"/>
        </row>
        <row r="1285">
          <cell r="C1285"/>
          <cell r="D1285"/>
          <cell r="E1285"/>
          <cell r="F1285"/>
          <cell r="G1285"/>
          <cell r="H1285"/>
          <cell r="I1285"/>
          <cell r="J1285"/>
          <cell r="K1285"/>
          <cell r="L1285"/>
        </row>
        <row r="1286">
          <cell r="C1286"/>
          <cell r="D1286"/>
          <cell r="E1286"/>
          <cell r="F1286"/>
          <cell r="G1286"/>
          <cell r="H1286"/>
          <cell r="I1286"/>
          <cell r="J1286"/>
          <cell r="K1286"/>
          <cell r="L1286"/>
        </row>
        <row r="1287">
          <cell r="C1287"/>
          <cell r="D1287"/>
          <cell r="E1287"/>
          <cell r="F1287"/>
          <cell r="G1287"/>
          <cell r="H1287"/>
          <cell r="I1287"/>
          <cell r="J1287"/>
          <cell r="K1287"/>
          <cell r="L1287"/>
        </row>
        <row r="1288">
          <cell r="C1288"/>
          <cell r="D1288"/>
          <cell r="E1288"/>
          <cell r="F1288"/>
          <cell r="G1288"/>
          <cell r="H1288"/>
          <cell r="I1288"/>
          <cell r="J1288"/>
          <cell r="K1288"/>
          <cell r="L1288"/>
        </row>
        <row r="1289">
          <cell r="C1289"/>
          <cell r="D1289"/>
          <cell r="E1289"/>
          <cell r="F1289"/>
          <cell r="G1289"/>
          <cell r="H1289"/>
          <cell r="I1289"/>
          <cell r="J1289"/>
          <cell r="K1289"/>
          <cell r="L1289"/>
        </row>
        <row r="1290">
          <cell r="C1290"/>
          <cell r="D1290"/>
          <cell r="E1290"/>
          <cell r="F1290"/>
          <cell r="G1290"/>
          <cell r="H1290"/>
          <cell r="I1290"/>
          <cell r="J1290"/>
          <cell r="K1290"/>
          <cell r="L1290"/>
        </row>
        <row r="1291">
          <cell r="C1291"/>
          <cell r="D1291"/>
          <cell r="E1291"/>
          <cell r="F1291"/>
          <cell r="G1291"/>
          <cell r="H1291"/>
          <cell r="I1291"/>
          <cell r="J1291"/>
          <cell r="K1291"/>
          <cell r="L1291"/>
        </row>
        <row r="1292">
          <cell r="C1292"/>
          <cell r="D1292"/>
          <cell r="E1292"/>
          <cell r="F1292"/>
          <cell r="G1292"/>
          <cell r="H1292"/>
          <cell r="I1292"/>
          <cell r="J1292"/>
          <cell r="K1292"/>
          <cell r="L1292"/>
        </row>
        <row r="1293">
          <cell r="C1293"/>
          <cell r="D1293"/>
          <cell r="E1293"/>
          <cell r="F1293"/>
          <cell r="G1293"/>
          <cell r="H1293"/>
          <cell r="I1293"/>
          <cell r="J1293"/>
          <cell r="K1293"/>
          <cell r="L1293"/>
        </row>
        <row r="1294">
          <cell r="C1294"/>
          <cell r="D1294"/>
          <cell r="E1294"/>
          <cell r="F1294"/>
          <cell r="G1294"/>
          <cell r="H1294"/>
          <cell r="I1294"/>
          <cell r="J1294"/>
          <cell r="K1294"/>
          <cell r="L1294"/>
        </row>
        <row r="1295">
          <cell r="C1295"/>
          <cell r="D1295"/>
          <cell r="E1295"/>
          <cell r="F1295"/>
          <cell r="G1295"/>
          <cell r="H1295"/>
          <cell r="I1295"/>
          <cell r="J1295"/>
          <cell r="K1295"/>
          <cell r="L1295"/>
        </row>
        <row r="1296">
          <cell r="C1296"/>
          <cell r="D1296"/>
          <cell r="E1296"/>
          <cell r="F1296"/>
          <cell r="G1296"/>
          <cell r="H1296"/>
          <cell r="I1296"/>
          <cell r="J1296"/>
          <cell r="K1296"/>
          <cell r="L1296"/>
        </row>
        <row r="1297">
          <cell r="C1297"/>
          <cell r="D1297"/>
          <cell r="E1297"/>
          <cell r="F1297"/>
          <cell r="G1297"/>
          <cell r="H1297"/>
          <cell r="I1297"/>
          <cell r="J1297"/>
          <cell r="K1297"/>
          <cell r="L1297"/>
        </row>
        <row r="1298">
          <cell r="C1298"/>
          <cell r="D1298"/>
          <cell r="E1298"/>
          <cell r="F1298"/>
          <cell r="G1298"/>
          <cell r="H1298"/>
          <cell r="I1298"/>
          <cell r="J1298"/>
          <cell r="K1298"/>
          <cell r="L1298"/>
        </row>
        <row r="1299">
          <cell r="C1299"/>
          <cell r="D1299"/>
          <cell r="E1299"/>
          <cell r="F1299"/>
          <cell r="G1299"/>
          <cell r="H1299"/>
          <cell r="I1299"/>
          <cell r="J1299"/>
          <cell r="K1299"/>
          <cell r="L1299"/>
        </row>
        <row r="1300">
          <cell r="C1300"/>
          <cell r="D1300"/>
          <cell r="E1300"/>
          <cell r="F1300"/>
          <cell r="G1300"/>
          <cell r="H1300"/>
          <cell r="I1300"/>
          <cell r="J1300"/>
          <cell r="K1300"/>
          <cell r="L1300"/>
        </row>
        <row r="1301">
          <cell r="C1301"/>
          <cell r="D1301"/>
          <cell r="E1301"/>
          <cell r="F1301"/>
          <cell r="G1301"/>
          <cell r="H1301"/>
          <cell r="I1301"/>
          <cell r="J1301"/>
          <cell r="K1301"/>
          <cell r="L1301"/>
        </row>
        <row r="1302">
          <cell r="C1302"/>
          <cell r="D1302"/>
          <cell r="E1302"/>
          <cell r="F1302"/>
          <cell r="G1302"/>
          <cell r="H1302"/>
          <cell r="I1302"/>
          <cell r="J1302"/>
          <cell r="K1302"/>
          <cell r="L1302"/>
        </row>
        <row r="1303">
          <cell r="C1303"/>
          <cell r="D1303"/>
          <cell r="E1303"/>
          <cell r="F1303"/>
          <cell r="G1303"/>
          <cell r="H1303"/>
          <cell r="I1303"/>
          <cell r="J1303"/>
          <cell r="K1303"/>
          <cell r="L1303"/>
        </row>
        <row r="1304">
          <cell r="C1304"/>
          <cell r="D1304"/>
          <cell r="E1304"/>
          <cell r="F1304"/>
          <cell r="G1304"/>
          <cell r="H1304"/>
          <cell r="I1304"/>
          <cell r="J1304"/>
          <cell r="K1304"/>
          <cell r="L1304"/>
        </row>
        <row r="1305">
          <cell r="C1305"/>
          <cell r="D1305"/>
          <cell r="E1305"/>
          <cell r="F1305"/>
          <cell r="G1305"/>
          <cell r="H1305"/>
          <cell r="I1305"/>
          <cell r="J1305"/>
          <cell r="K1305"/>
          <cell r="L1305"/>
        </row>
        <row r="1306">
          <cell r="C1306"/>
          <cell r="D1306"/>
          <cell r="E1306"/>
          <cell r="F1306"/>
          <cell r="G1306"/>
          <cell r="H1306"/>
          <cell r="I1306"/>
          <cell r="J1306"/>
          <cell r="K1306"/>
          <cell r="L1306"/>
        </row>
        <row r="1307">
          <cell r="C1307"/>
          <cell r="D1307"/>
          <cell r="E1307"/>
          <cell r="F1307"/>
          <cell r="G1307"/>
          <cell r="H1307"/>
          <cell r="I1307"/>
          <cell r="J1307"/>
          <cell r="K1307"/>
          <cell r="L1307"/>
        </row>
        <row r="1308">
          <cell r="C1308"/>
          <cell r="D1308"/>
          <cell r="E1308"/>
          <cell r="F1308"/>
          <cell r="G1308"/>
          <cell r="H1308"/>
          <cell r="I1308"/>
          <cell r="J1308"/>
          <cell r="K1308"/>
          <cell r="L1308"/>
        </row>
        <row r="1309">
          <cell r="C1309"/>
          <cell r="D1309"/>
          <cell r="E1309"/>
          <cell r="F1309"/>
          <cell r="G1309"/>
          <cell r="H1309"/>
          <cell r="I1309"/>
          <cell r="J1309"/>
          <cell r="K1309"/>
          <cell r="L1309"/>
        </row>
        <row r="1310">
          <cell r="C1310"/>
          <cell r="D1310"/>
          <cell r="E1310"/>
          <cell r="F1310"/>
          <cell r="G1310"/>
          <cell r="H1310"/>
          <cell r="I1310"/>
          <cell r="J1310"/>
          <cell r="K1310"/>
          <cell r="L1310"/>
        </row>
        <row r="1311">
          <cell r="C1311"/>
          <cell r="D1311"/>
          <cell r="E1311"/>
          <cell r="F1311"/>
          <cell r="G1311"/>
          <cell r="H1311"/>
          <cell r="I1311"/>
          <cell r="J1311"/>
          <cell r="K1311"/>
          <cell r="L1311"/>
        </row>
        <row r="1312">
          <cell r="C1312"/>
          <cell r="D1312"/>
          <cell r="E1312"/>
          <cell r="F1312"/>
          <cell r="G1312"/>
          <cell r="H1312"/>
          <cell r="I1312"/>
          <cell r="J1312"/>
          <cell r="K1312"/>
          <cell r="L1312"/>
        </row>
        <row r="1313">
          <cell r="C1313"/>
          <cell r="D1313"/>
          <cell r="E1313"/>
          <cell r="F1313"/>
          <cell r="G1313"/>
          <cell r="H1313"/>
          <cell r="I1313"/>
          <cell r="J1313"/>
          <cell r="K1313"/>
          <cell r="L1313"/>
        </row>
        <row r="1314">
          <cell r="C1314"/>
          <cell r="D1314"/>
          <cell r="E1314"/>
          <cell r="F1314"/>
          <cell r="G1314"/>
          <cell r="H1314"/>
          <cell r="I1314"/>
          <cell r="J1314"/>
          <cell r="K1314"/>
          <cell r="L1314"/>
        </row>
        <row r="1315">
          <cell r="C1315"/>
          <cell r="D1315"/>
          <cell r="E1315"/>
          <cell r="F1315"/>
          <cell r="G1315"/>
          <cell r="H1315"/>
          <cell r="I1315"/>
          <cell r="J1315"/>
          <cell r="K1315"/>
          <cell r="L1315"/>
        </row>
        <row r="1316">
          <cell r="C1316"/>
          <cell r="D1316"/>
          <cell r="E1316"/>
          <cell r="F1316"/>
          <cell r="G1316"/>
          <cell r="H1316"/>
          <cell r="I1316"/>
          <cell r="J1316"/>
          <cell r="K1316"/>
          <cell r="L1316"/>
        </row>
        <row r="1317">
          <cell r="C1317"/>
          <cell r="D1317"/>
          <cell r="E1317"/>
          <cell r="F1317"/>
          <cell r="G1317"/>
          <cell r="H1317"/>
          <cell r="I1317"/>
          <cell r="J1317"/>
          <cell r="K1317"/>
          <cell r="L1317"/>
        </row>
        <row r="1318">
          <cell r="C1318"/>
          <cell r="D1318"/>
          <cell r="E1318"/>
          <cell r="F1318"/>
          <cell r="G1318"/>
          <cell r="H1318"/>
          <cell r="I1318"/>
          <cell r="J1318"/>
          <cell r="K1318"/>
          <cell r="L1318"/>
        </row>
        <row r="1319">
          <cell r="C1319"/>
          <cell r="D1319"/>
          <cell r="E1319"/>
          <cell r="F1319"/>
          <cell r="G1319"/>
          <cell r="H1319"/>
          <cell r="I1319"/>
          <cell r="J1319"/>
          <cell r="K1319"/>
          <cell r="L1319"/>
        </row>
        <row r="1320">
          <cell r="C1320"/>
          <cell r="D1320"/>
          <cell r="E1320"/>
          <cell r="F1320"/>
          <cell r="G1320"/>
          <cell r="H1320"/>
          <cell r="I1320"/>
          <cell r="J1320"/>
          <cell r="K1320"/>
          <cell r="L1320"/>
        </row>
        <row r="1321">
          <cell r="C1321"/>
          <cell r="D1321"/>
          <cell r="E1321"/>
          <cell r="F1321"/>
          <cell r="G1321"/>
          <cell r="H1321"/>
          <cell r="I1321"/>
          <cell r="J1321"/>
          <cell r="K1321"/>
          <cell r="L1321"/>
        </row>
        <row r="1322">
          <cell r="C1322"/>
          <cell r="D1322"/>
          <cell r="E1322"/>
          <cell r="F1322"/>
          <cell r="G1322"/>
          <cell r="H1322"/>
          <cell r="I1322"/>
          <cell r="J1322"/>
          <cell r="K1322"/>
          <cell r="L1322"/>
        </row>
        <row r="1323">
          <cell r="C1323"/>
          <cell r="D1323"/>
          <cell r="E1323"/>
          <cell r="F1323"/>
          <cell r="G1323"/>
          <cell r="H1323"/>
          <cell r="I1323"/>
          <cell r="J1323"/>
          <cell r="K1323"/>
          <cell r="L1323"/>
        </row>
        <row r="1324">
          <cell r="C1324"/>
          <cell r="D1324"/>
          <cell r="E1324"/>
          <cell r="F1324"/>
          <cell r="G1324"/>
          <cell r="H1324"/>
          <cell r="I1324"/>
          <cell r="J1324"/>
          <cell r="K1324"/>
          <cell r="L1324"/>
        </row>
        <row r="1325">
          <cell r="C1325"/>
          <cell r="D1325"/>
          <cell r="E1325"/>
          <cell r="F1325"/>
          <cell r="G1325"/>
          <cell r="H1325"/>
          <cell r="I1325"/>
          <cell r="J1325"/>
          <cell r="K1325"/>
          <cell r="L1325"/>
        </row>
        <row r="1326">
          <cell r="C1326"/>
          <cell r="D1326"/>
          <cell r="E1326"/>
          <cell r="F1326"/>
          <cell r="G1326"/>
          <cell r="H1326"/>
          <cell r="I1326"/>
          <cell r="J1326"/>
          <cell r="K1326"/>
          <cell r="L1326"/>
        </row>
        <row r="1327">
          <cell r="C1327"/>
          <cell r="D1327"/>
          <cell r="E1327"/>
          <cell r="F1327"/>
          <cell r="G1327"/>
          <cell r="H1327"/>
          <cell r="I1327"/>
          <cell r="J1327"/>
          <cell r="K1327"/>
          <cell r="L1327"/>
        </row>
        <row r="1328">
          <cell r="C1328"/>
          <cell r="D1328"/>
          <cell r="E1328"/>
          <cell r="F1328"/>
          <cell r="G1328"/>
          <cell r="H1328"/>
          <cell r="I1328"/>
          <cell r="J1328"/>
          <cell r="K1328"/>
          <cell r="L1328"/>
        </row>
        <row r="1329">
          <cell r="C1329"/>
          <cell r="D1329"/>
          <cell r="E1329"/>
          <cell r="F1329"/>
          <cell r="G1329"/>
          <cell r="H1329"/>
          <cell r="I1329"/>
          <cell r="J1329"/>
          <cell r="K1329"/>
          <cell r="L1329"/>
        </row>
        <row r="1330">
          <cell r="C1330"/>
          <cell r="D1330"/>
          <cell r="E1330"/>
          <cell r="F1330"/>
          <cell r="G1330"/>
          <cell r="H1330"/>
          <cell r="I1330"/>
          <cell r="J1330"/>
          <cell r="K1330"/>
          <cell r="L1330"/>
        </row>
        <row r="1331">
          <cell r="C1331"/>
          <cell r="D1331"/>
          <cell r="E1331"/>
          <cell r="F1331"/>
          <cell r="G1331"/>
          <cell r="H1331"/>
          <cell r="I1331"/>
          <cell r="J1331"/>
          <cell r="K1331"/>
          <cell r="L1331"/>
        </row>
        <row r="1332">
          <cell r="C1332"/>
          <cell r="D1332"/>
          <cell r="E1332"/>
          <cell r="F1332"/>
          <cell r="G1332"/>
          <cell r="H1332"/>
          <cell r="I1332"/>
          <cell r="J1332"/>
          <cell r="K1332"/>
          <cell r="L1332"/>
        </row>
        <row r="1333">
          <cell r="C1333"/>
          <cell r="D1333"/>
          <cell r="E1333"/>
          <cell r="F1333"/>
          <cell r="G1333"/>
          <cell r="H1333"/>
          <cell r="I1333"/>
          <cell r="J1333"/>
          <cell r="K1333"/>
          <cell r="L1333"/>
        </row>
        <row r="1334">
          <cell r="C1334"/>
          <cell r="D1334"/>
          <cell r="E1334"/>
          <cell r="F1334"/>
          <cell r="G1334"/>
          <cell r="H1334"/>
          <cell r="I1334"/>
          <cell r="J1334"/>
          <cell r="K1334"/>
          <cell r="L1334"/>
        </row>
        <row r="1335">
          <cell r="C1335"/>
          <cell r="D1335"/>
          <cell r="E1335"/>
          <cell r="F1335"/>
          <cell r="G1335"/>
          <cell r="H1335"/>
          <cell r="I1335"/>
          <cell r="J1335"/>
          <cell r="K1335"/>
          <cell r="L1335"/>
        </row>
        <row r="1336">
          <cell r="C1336"/>
          <cell r="D1336"/>
          <cell r="E1336"/>
          <cell r="F1336"/>
          <cell r="G1336"/>
          <cell r="H1336"/>
          <cell r="I1336"/>
          <cell r="J1336"/>
          <cell r="K1336"/>
          <cell r="L1336"/>
        </row>
        <row r="1337">
          <cell r="C1337"/>
          <cell r="D1337"/>
          <cell r="E1337"/>
          <cell r="F1337"/>
          <cell r="G1337"/>
          <cell r="H1337"/>
          <cell r="I1337"/>
          <cell r="J1337"/>
          <cell r="K1337"/>
          <cell r="L1337"/>
        </row>
        <row r="1338">
          <cell r="C1338"/>
          <cell r="D1338"/>
          <cell r="E1338"/>
          <cell r="F1338"/>
          <cell r="G1338"/>
          <cell r="H1338"/>
          <cell r="I1338"/>
          <cell r="J1338"/>
          <cell r="K1338"/>
          <cell r="L1338"/>
        </row>
        <row r="1339">
          <cell r="C1339"/>
          <cell r="D1339"/>
          <cell r="E1339"/>
          <cell r="F1339"/>
          <cell r="G1339"/>
          <cell r="H1339"/>
          <cell r="I1339"/>
          <cell r="J1339"/>
          <cell r="K1339"/>
          <cell r="L1339"/>
        </row>
        <row r="1340">
          <cell r="C1340"/>
          <cell r="D1340"/>
          <cell r="E1340"/>
          <cell r="F1340"/>
          <cell r="G1340"/>
          <cell r="H1340"/>
          <cell r="I1340"/>
          <cell r="J1340"/>
          <cell r="K1340"/>
          <cell r="L1340"/>
        </row>
        <row r="1341">
          <cell r="C1341"/>
          <cell r="D1341"/>
          <cell r="E1341"/>
          <cell r="F1341"/>
          <cell r="G1341"/>
          <cell r="H1341"/>
          <cell r="I1341"/>
          <cell r="J1341"/>
          <cell r="K1341"/>
          <cell r="L1341"/>
        </row>
        <row r="1342">
          <cell r="C1342"/>
          <cell r="D1342"/>
          <cell r="E1342"/>
          <cell r="F1342"/>
          <cell r="G1342"/>
          <cell r="H1342"/>
          <cell r="I1342"/>
          <cell r="J1342"/>
          <cell r="K1342"/>
          <cell r="L1342"/>
        </row>
        <row r="1343">
          <cell r="C1343"/>
          <cell r="D1343"/>
          <cell r="E1343"/>
          <cell r="F1343"/>
          <cell r="G1343"/>
          <cell r="H1343"/>
          <cell r="I1343"/>
          <cell r="J1343"/>
          <cell r="K1343"/>
          <cell r="L1343"/>
        </row>
        <row r="1344">
          <cell r="C1344"/>
          <cell r="D1344"/>
          <cell r="E1344"/>
          <cell r="F1344"/>
          <cell r="G1344"/>
          <cell r="H1344"/>
          <cell r="I1344"/>
          <cell r="J1344"/>
          <cell r="K1344"/>
          <cell r="L1344"/>
        </row>
        <row r="1345">
          <cell r="C1345"/>
          <cell r="D1345"/>
          <cell r="E1345"/>
          <cell r="F1345"/>
          <cell r="G1345"/>
          <cell r="H1345"/>
          <cell r="I1345"/>
          <cell r="J1345"/>
          <cell r="K1345"/>
          <cell r="L1345"/>
        </row>
        <row r="1346">
          <cell r="C1346"/>
          <cell r="D1346"/>
          <cell r="E1346"/>
          <cell r="F1346"/>
          <cell r="G1346"/>
          <cell r="H1346"/>
          <cell r="I1346"/>
          <cell r="J1346"/>
          <cell r="K1346"/>
          <cell r="L1346"/>
        </row>
        <row r="1347">
          <cell r="C1347"/>
          <cell r="D1347"/>
          <cell r="E1347"/>
          <cell r="F1347"/>
          <cell r="G1347"/>
          <cell r="H1347"/>
          <cell r="I1347"/>
          <cell r="J1347"/>
          <cell r="K1347"/>
          <cell r="L1347"/>
        </row>
        <row r="1348">
          <cell r="C1348"/>
          <cell r="D1348"/>
          <cell r="E1348"/>
          <cell r="F1348"/>
          <cell r="G1348"/>
          <cell r="H1348"/>
          <cell r="I1348"/>
          <cell r="J1348"/>
          <cell r="K1348"/>
          <cell r="L1348"/>
        </row>
        <row r="1349">
          <cell r="C1349"/>
          <cell r="D1349"/>
          <cell r="E1349"/>
          <cell r="F1349"/>
          <cell r="G1349"/>
          <cell r="H1349"/>
          <cell r="I1349"/>
          <cell r="J1349"/>
          <cell r="K1349"/>
          <cell r="L1349"/>
        </row>
        <row r="1350">
          <cell r="C1350"/>
          <cell r="D1350"/>
          <cell r="E1350"/>
          <cell r="F1350"/>
          <cell r="G1350"/>
          <cell r="H1350"/>
          <cell r="I1350"/>
          <cell r="J1350"/>
          <cell r="K1350"/>
          <cell r="L1350"/>
        </row>
        <row r="1351">
          <cell r="C1351"/>
          <cell r="D1351"/>
          <cell r="E1351"/>
          <cell r="F1351"/>
          <cell r="G1351"/>
          <cell r="H1351"/>
          <cell r="I1351"/>
          <cell r="J1351"/>
          <cell r="K1351"/>
          <cell r="L1351"/>
        </row>
        <row r="1352">
          <cell r="C1352"/>
          <cell r="D1352"/>
          <cell r="E1352"/>
          <cell r="F1352"/>
          <cell r="G1352"/>
          <cell r="H1352"/>
          <cell r="I1352"/>
          <cell r="J1352"/>
          <cell r="K1352"/>
          <cell r="L1352"/>
        </row>
        <row r="1353">
          <cell r="C1353"/>
          <cell r="D1353"/>
          <cell r="E1353"/>
          <cell r="F1353"/>
          <cell r="G1353"/>
          <cell r="H1353"/>
          <cell r="I1353"/>
          <cell r="J1353"/>
          <cell r="K1353"/>
          <cell r="L1353"/>
        </row>
        <row r="1354">
          <cell r="C1354"/>
          <cell r="D1354"/>
          <cell r="E1354"/>
          <cell r="F1354"/>
          <cell r="G1354"/>
          <cell r="H1354"/>
          <cell r="I1354"/>
          <cell r="J1354"/>
          <cell r="K1354"/>
          <cell r="L1354"/>
        </row>
        <row r="1355">
          <cell r="C1355"/>
          <cell r="D1355"/>
          <cell r="E1355"/>
          <cell r="F1355"/>
          <cell r="G1355"/>
          <cell r="H1355"/>
          <cell r="I1355"/>
          <cell r="J1355"/>
          <cell r="K1355"/>
          <cell r="L1355"/>
        </row>
        <row r="1356">
          <cell r="C1356"/>
          <cell r="D1356"/>
          <cell r="E1356"/>
          <cell r="F1356"/>
          <cell r="G1356"/>
          <cell r="H1356"/>
          <cell r="I1356"/>
          <cell r="J1356"/>
          <cell r="K1356"/>
          <cell r="L1356"/>
        </row>
        <row r="1357">
          <cell r="C1357"/>
          <cell r="D1357"/>
          <cell r="E1357"/>
          <cell r="F1357"/>
          <cell r="G1357"/>
          <cell r="H1357"/>
          <cell r="I1357"/>
          <cell r="J1357"/>
          <cell r="K1357"/>
          <cell r="L1357"/>
        </row>
        <row r="1358">
          <cell r="C1358"/>
          <cell r="D1358"/>
          <cell r="E1358"/>
          <cell r="F1358"/>
          <cell r="G1358"/>
          <cell r="H1358"/>
          <cell r="I1358"/>
          <cell r="J1358"/>
          <cell r="K1358"/>
          <cell r="L1358"/>
        </row>
        <row r="1359">
          <cell r="C1359"/>
          <cell r="D1359"/>
          <cell r="E1359"/>
          <cell r="F1359"/>
          <cell r="G1359"/>
          <cell r="H1359"/>
          <cell r="I1359"/>
          <cell r="J1359"/>
          <cell r="K1359"/>
          <cell r="L1359"/>
        </row>
        <row r="1360">
          <cell r="C1360"/>
          <cell r="D1360"/>
          <cell r="E1360"/>
          <cell r="F1360"/>
          <cell r="G1360"/>
          <cell r="H1360"/>
          <cell r="I1360"/>
          <cell r="J1360"/>
          <cell r="K1360"/>
          <cell r="L1360"/>
        </row>
        <row r="1361">
          <cell r="C1361"/>
          <cell r="D1361"/>
          <cell r="E1361"/>
          <cell r="F1361"/>
          <cell r="G1361"/>
          <cell r="H1361"/>
          <cell r="I1361"/>
          <cell r="J1361"/>
          <cell r="K1361"/>
          <cell r="L1361"/>
        </row>
        <row r="1362">
          <cell r="C1362"/>
          <cell r="D1362"/>
          <cell r="E1362"/>
          <cell r="F1362"/>
          <cell r="G1362"/>
          <cell r="H1362"/>
          <cell r="I1362"/>
          <cell r="J1362"/>
          <cell r="K1362"/>
          <cell r="L1362"/>
        </row>
        <row r="1363">
          <cell r="C1363"/>
          <cell r="D1363"/>
          <cell r="E1363"/>
          <cell r="F1363"/>
          <cell r="G1363"/>
          <cell r="H1363"/>
          <cell r="I1363"/>
          <cell r="J1363"/>
          <cell r="K1363"/>
          <cell r="L1363"/>
        </row>
        <row r="1364">
          <cell r="C1364"/>
          <cell r="D1364"/>
          <cell r="E1364"/>
          <cell r="F1364"/>
          <cell r="G1364"/>
          <cell r="H1364"/>
          <cell r="I1364"/>
          <cell r="J1364"/>
          <cell r="K1364"/>
          <cell r="L1364"/>
        </row>
        <row r="1365">
          <cell r="C1365"/>
          <cell r="D1365"/>
          <cell r="E1365"/>
          <cell r="F1365"/>
          <cell r="G1365"/>
          <cell r="H1365"/>
          <cell r="I1365"/>
          <cell r="J1365"/>
          <cell r="K1365"/>
          <cell r="L1365"/>
        </row>
        <row r="1366">
          <cell r="C1366"/>
          <cell r="D1366"/>
          <cell r="E1366"/>
          <cell r="F1366"/>
          <cell r="G1366"/>
          <cell r="H1366"/>
          <cell r="I1366"/>
          <cell r="J1366"/>
          <cell r="K1366"/>
          <cell r="L1366"/>
        </row>
        <row r="1367">
          <cell r="C1367"/>
          <cell r="D1367"/>
          <cell r="E1367"/>
          <cell r="F1367"/>
          <cell r="G1367"/>
          <cell r="H1367"/>
          <cell r="I1367"/>
          <cell r="J1367"/>
          <cell r="K1367"/>
          <cell r="L1367"/>
        </row>
        <row r="1368">
          <cell r="C1368"/>
          <cell r="D1368"/>
          <cell r="E1368"/>
          <cell r="F1368"/>
          <cell r="G1368"/>
          <cell r="H1368"/>
          <cell r="I1368"/>
          <cell r="J1368"/>
          <cell r="K1368"/>
          <cell r="L1368"/>
        </row>
        <row r="1369">
          <cell r="C1369"/>
          <cell r="D1369"/>
          <cell r="E1369"/>
          <cell r="F1369"/>
          <cell r="G1369"/>
          <cell r="H1369"/>
          <cell r="I1369"/>
          <cell r="J1369"/>
          <cell r="K1369"/>
          <cell r="L1369"/>
        </row>
        <row r="1370">
          <cell r="C1370"/>
          <cell r="D1370"/>
          <cell r="E1370"/>
          <cell r="F1370"/>
          <cell r="G1370"/>
          <cell r="H1370"/>
          <cell r="I1370"/>
          <cell r="J1370"/>
          <cell r="K1370"/>
          <cell r="L1370"/>
        </row>
        <row r="1371">
          <cell r="C1371"/>
          <cell r="D1371"/>
          <cell r="E1371"/>
          <cell r="F1371"/>
          <cell r="G1371"/>
          <cell r="H1371"/>
          <cell r="I1371"/>
          <cell r="J1371"/>
          <cell r="K1371"/>
          <cell r="L1371"/>
        </row>
        <row r="1372">
          <cell r="C1372"/>
          <cell r="D1372"/>
          <cell r="E1372"/>
          <cell r="F1372"/>
          <cell r="G1372"/>
          <cell r="H1372"/>
          <cell r="I1372"/>
          <cell r="J1372"/>
          <cell r="K1372"/>
          <cell r="L1372"/>
        </row>
        <row r="1373">
          <cell r="C1373"/>
          <cell r="D1373"/>
          <cell r="E1373"/>
          <cell r="F1373"/>
          <cell r="G1373"/>
          <cell r="H1373"/>
          <cell r="I1373"/>
          <cell r="J1373"/>
          <cell r="K1373"/>
          <cell r="L1373"/>
        </row>
        <row r="1374">
          <cell r="C1374"/>
          <cell r="D1374"/>
          <cell r="E1374"/>
          <cell r="F1374"/>
          <cell r="G1374"/>
          <cell r="H1374"/>
          <cell r="I1374"/>
          <cell r="J1374"/>
          <cell r="K1374"/>
          <cell r="L1374"/>
        </row>
        <row r="1375">
          <cell r="C1375"/>
          <cell r="D1375"/>
          <cell r="E1375"/>
          <cell r="F1375"/>
          <cell r="G1375"/>
          <cell r="H1375"/>
          <cell r="I1375"/>
          <cell r="J1375"/>
          <cell r="K1375"/>
          <cell r="L1375"/>
        </row>
        <row r="1376">
          <cell r="C1376"/>
          <cell r="D1376"/>
          <cell r="E1376"/>
          <cell r="F1376"/>
          <cell r="G1376"/>
          <cell r="H1376"/>
          <cell r="I1376"/>
          <cell r="J1376"/>
          <cell r="K1376"/>
          <cell r="L1376"/>
        </row>
        <row r="1377">
          <cell r="C1377"/>
          <cell r="D1377"/>
          <cell r="E1377"/>
          <cell r="F1377"/>
          <cell r="G1377"/>
          <cell r="H1377"/>
          <cell r="I1377"/>
          <cell r="J1377"/>
          <cell r="K1377"/>
          <cell r="L1377"/>
        </row>
        <row r="1378">
          <cell r="C1378"/>
          <cell r="D1378"/>
          <cell r="E1378"/>
          <cell r="F1378"/>
          <cell r="G1378"/>
          <cell r="H1378"/>
          <cell r="I1378"/>
          <cell r="J1378"/>
          <cell r="K1378"/>
          <cell r="L1378"/>
        </row>
        <row r="1379">
          <cell r="C1379"/>
          <cell r="D1379"/>
          <cell r="E1379"/>
          <cell r="F1379"/>
          <cell r="G1379"/>
          <cell r="H1379"/>
          <cell r="I1379"/>
          <cell r="J1379"/>
          <cell r="K1379"/>
          <cell r="L1379"/>
        </row>
        <row r="1380">
          <cell r="C1380"/>
          <cell r="D1380"/>
          <cell r="E1380"/>
          <cell r="F1380"/>
          <cell r="G1380"/>
          <cell r="H1380"/>
          <cell r="I1380"/>
          <cell r="J1380"/>
          <cell r="K1380"/>
          <cell r="L1380"/>
        </row>
        <row r="1381">
          <cell r="C1381"/>
          <cell r="D1381"/>
          <cell r="E1381"/>
          <cell r="F1381"/>
          <cell r="G1381"/>
          <cell r="H1381"/>
          <cell r="I1381"/>
          <cell r="J1381"/>
          <cell r="K1381"/>
          <cell r="L1381"/>
        </row>
        <row r="1382">
          <cell r="C1382"/>
          <cell r="D1382"/>
          <cell r="E1382"/>
          <cell r="F1382"/>
          <cell r="G1382"/>
          <cell r="H1382"/>
          <cell r="I1382"/>
          <cell r="J1382"/>
          <cell r="K1382"/>
          <cell r="L1382"/>
        </row>
        <row r="1383">
          <cell r="C1383"/>
          <cell r="D1383"/>
          <cell r="E1383"/>
          <cell r="F1383"/>
          <cell r="G1383"/>
          <cell r="H1383"/>
          <cell r="I1383"/>
          <cell r="J1383"/>
          <cell r="K1383"/>
          <cell r="L1383"/>
        </row>
        <row r="1384">
          <cell r="C1384"/>
          <cell r="D1384"/>
          <cell r="E1384"/>
          <cell r="F1384"/>
          <cell r="G1384"/>
          <cell r="H1384"/>
          <cell r="I1384"/>
          <cell r="J1384"/>
          <cell r="K1384"/>
          <cell r="L1384"/>
        </row>
        <row r="1385">
          <cell r="C1385"/>
          <cell r="D1385"/>
          <cell r="E1385"/>
          <cell r="F1385"/>
          <cell r="G1385"/>
          <cell r="H1385"/>
          <cell r="I1385"/>
          <cell r="J1385"/>
          <cell r="K1385"/>
          <cell r="L1385"/>
        </row>
        <row r="1386">
          <cell r="C1386"/>
          <cell r="D1386"/>
          <cell r="E1386"/>
          <cell r="F1386"/>
          <cell r="G1386"/>
          <cell r="H1386"/>
          <cell r="I1386"/>
          <cell r="J1386"/>
          <cell r="K1386"/>
          <cell r="L1386"/>
        </row>
        <row r="1387">
          <cell r="C1387"/>
          <cell r="D1387"/>
          <cell r="E1387"/>
          <cell r="F1387"/>
          <cell r="G1387"/>
          <cell r="H1387"/>
          <cell r="I1387"/>
          <cell r="J1387"/>
          <cell r="K1387"/>
          <cell r="L1387"/>
        </row>
        <row r="1388">
          <cell r="C1388"/>
          <cell r="D1388"/>
          <cell r="E1388"/>
          <cell r="F1388"/>
          <cell r="G1388"/>
          <cell r="H1388"/>
          <cell r="I1388"/>
          <cell r="J1388"/>
          <cell r="K1388"/>
          <cell r="L1388"/>
        </row>
        <row r="1389">
          <cell r="C1389"/>
          <cell r="D1389"/>
          <cell r="E1389"/>
          <cell r="F1389"/>
          <cell r="G1389"/>
          <cell r="H1389"/>
          <cell r="I1389"/>
          <cell r="J1389"/>
          <cell r="K1389"/>
          <cell r="L1389"/>
        </row>
        <row r="1390">
          <cell r="C1390"/>
          <cell r="D1390"/>
          <cell r="E1390"/>
          <cell r="F1390"/>
          <cell r="G1390"/>
          <cell r="H1390"/>
          <cell r="I1390"/>
          <cell r="J1390"/>
          <cell r="K1390"/>
          <cell r="L1390"/>
        </row>
        <row r="1391">
          <cell r="C1391"/>
          <cell r="D1391"/>
          <cell r="E1391"/>
          <cell r="F1391"/>
          <cell r="G1391"/>
          <cell r="H1391"/>
          <cell r="I1391"/>
          <cell r="J1391"/>
          <cell r="K1391"/>
          <cell r="L1391"/>
        </row>
        <row r="1392">
          <cell r="C1392"/>
          <cell r="D1392"/>
          <cell r="E1392"/>
          <cell r="F1392"/>
          <cell r="G1392"/>
          <cell r="H1392"/>
          <cell r="I1392"/>
          <cell r="J1392"/>
          <cell r="K1392"/>
          <cell r="L1392"/>
        </row>
        <row r="1393">
          <cell r="C1393"/>
          <cell r="D1393"/>
          <cell r="E1393"/>
          <cell r="F1393"/>
          <cell r="G1393"/>
          <cell r="H1393"/>
          <cell r="I1393"/>
          <cell r="J1393"/>
          <cell r="K1393"/>
          <cell r="L1393"/>
        </row>
        <row r="1394">
          <cell r="C1394"/>
          <cell r="D1394"/>
          <cell r="E1394"/>
          <cell r="F1394"/>
          <cell r="G1394"/>
          <cell r="H1394"/>
          <cell r="I1394"/>
          <cell r="J1394"/>
          <cell r="K1394"/>
          <cell r="L1394"/>
        </row>
        <row r="1395">
          <cell r="C1395"/>
          <cell r="D1395"/>
          <cell r="E1395"/>
          <cell r="F1395"/>
          <cell r="G1395"/>
          <cell r="H1395"/>
          <cell r="I1395"/>
          <cell r="J1395"/>
          <cell r="K1395"/>
          <cell r="L1395"/>
        </row>
        <row r="1396">
          <cell r="C1396"/>
          <cell r="D1396"/>
          <cell r="E1396"/>
          <cell r="F1396"/>
          <cell r="G1396"/>
          <cell r="H1396"/>
          <cell r="I1396"/>
          <cell r="J1396"/>
          <cell r="K1396"/>
          <cell r="L1396"/>
        </row>
        <row r="1397">
          <cell r="C1397"/>
          <cell r="D1397"/>
          <cell r="E1397"/>
          <cell r="F1397"/>
          <cell r="G1397"/>
          <cell r="H1397"/>
          <cell r="I1397"/>
          <cell r="J1397"/>
          <cell r="K1397"/>
          <cell r="L1397"/>
        </row>
        <row r="1398">
          <cell r="C1398"/>
          <cell r="D1398"/>
          <cell r="E1398"/>
          <cell r="F1398"/>
          <cell r="G1398"/>
          <cell r="H1398"/>
          <cell r="I1398"/>
          <cell r="J1398"/>
          <cell r="K1398"/>
          <cell r="L1398"/>
        </row>
        <row r="1399">
          <cell r="C1399"/>
          <cell r="D1399"/>
          <cell r="E1399"/>
          <cell r="F1399"/>
          <cell r="G1399"/>
          <cell r="H1399"/>
          <cell r="I1399"/>
          <cell r="J1399"/>
          <cell r="K1399"/>
          <cell r="L1399"/>
        </row>
        <row r="1400">
          <cell r="C1400"/>
          <cell r="D1400"/>
          <cell r="E1400"/>
          <cell r="F1400"/>
          <cell r="G1400"/>
          <cell r="H1400"/>
          <cell r="I1400"/>
          <cell r="J1400"/>
          <cell r="K1400"/>
          <cell r="L1400"/>
        </row>
        <row r="1401">
          <cell r="C1401"/>
          <cell r="D1401"/>
          <cell r="E1401"/>
          <cell r="F1401"/>
          <cell r="G1401"/>
          <cell r="H1401"/>
          <cell r="I1401"/>
          <cell r="J1401"/>
          <cell r="K1401"/>
          <cell r="L1401"/>
        </row>
        <row r="1402">
          <cell r="C1402"/>
          <cell r="D1402"/>
          <cell r="E1402"/>
          <cell r="F1402"/>
          <cell r="G1402"/>
          <cell r="H1402"/>
          <cell r="I1402"/>
          <cell r="J1402"/>
          <cell r="K1402"/>
          <cell r="L1402"/>
        </row>
        <row r="1403">
          <cell r="C1403"/>
          <cell r="D1403"/>
          <cell r="E1403"/>
          <cell r="F1403"/>
          <cell r="G1403"/>
          <cell r="H1403"/>
          <cell r="I1403"/>
          <cell r="J1403"/>
          <cell r="K1403"/>
          <cell r="L1403"/>
        </row>
        <row r="1404">
          <cell r="C1404"/>
          <cell r="D1404"/>
          <cell r="E1404"/>
          <cell r="F1404"/>
          <cell r="G1404"/>
          <cell r="H1404"/>
          <cell r="I1404"/>
          <cell r="J1404"/>
          <cell r="K1404"/>
          <cell r="L1404"/>
        </row>
        <row r="1405">
          <cell r="C1405"/>
          <cell r="D1405"/>
          <cell r="E1405"/>
          <cell r="F1405"/>
          <cell r="G1405"/>
          <cell r="H1405"/>
          <cell r="I1405"/>
          <cell r="J1405"/>
          <cell r="K1405"/>
          <cell r="L1405"/>
        </row>
        <row r="1406">
          <cell r="C1406"/>
          <cell r="D1406"/>
          <cell r="E1406"/>
          <cell r="F1406"/>
          <cell r="G1406"/>
          <cell r="H1406"/>
          <cell r="I1406"/>
          <cell r="J1406"/>
          <cell r="K1406"/>
          <cell r="L1406"/>
        </row>
        <row r="1407">
          <cell r="C1407"/>
          <cell r="D1407"/>
          <cell r="E1407"/>
          <cell r="F1407"/>
          <cell r="G1407"/>
          <cell r="H1407"/>
          <cell r="I1407"/>
          <cell r="J1407"/>
          <cell r="K1407"/>
          <cell r="L1407"/>
        </row>
        <row r="1408">
          <cell r="C1408"/>
          <cell r="D1408"/>
          <cell r="E1408"/>
          <cell r="F1408"/>
          <cell r="G1408"/>
          <cell r="H1408"/>
          <cell r="I1408"/>
          <cell r="J1408"/>
          <cell r="K1408"/>
          <cell r="L1408"/>
        </row>
        <row r="1409">
          <cell r="C1409"/>
          <cell r="D1409"/>
          <cell r="E1409"/>
          <cell r="F1409"/>
          <cell r="G1409"/>
          <cell r="H1409"/>
          <cell r="I1409"/>
          <cell r="J1409"/>
          <cell r="K1409"/>
          <cell r="L1409"/>
        </row>
        <row r="1410">
          <cell r="C1410"/>
          <cell r="D1410"/>
          <cell r="E1410"/>
          <cell r="F1410"/>
          <cell r="G1410"/>
          <cell r="H1410"/>
          <cell r="I1410"/>
          <cell r="J1410"/>
          <cell r="K1410"/>
          <cell r="L1410"/>
        </row>
        <row r="1411">
          <cell r="C1411"/>
          <cell r="D1411"/>
          <cell r="E1411"/>
          <cell r="F1411"/>
          <cell r="G1411"/>
          <cell r="H1411"/>
          <cell r="I1411"/>
          <cell r="J1411"/>
          <cell r="K1411"/>
          <cell r="L1411"/>
        </row>
        <row r="1412">
          <cell r="C1412"/>
          <cell r="D1412"/>
          <cell r="E1412"/>
          <cell r="F1412"/>
          <cell r="G1412"/>
          <cell r="H1412"/>
          <cell r="I1412"/>
          <cell r="J1412"/>
          <cell r="K1412"/>
          <cell r="L1412"/>
        </row>
        <row r="1413">
          <cell r="C1413"/>
          <cell r="D1413"/>
          <cell r="E1413"/>
          <cell r="F1413"/>
          <cell r="G1413"/>
          <cell r="H1413"/>
          <cell r="I1413"/>
          <cell r="J1413"/>
          <cell r="K1413"/>
          <cell r="L1413"/>
        </row>
        <row r="1414">
          <cell r="C1414"/>
          <cell r="D1414"/>
          <cell r="E1414"/>
          <cell r="F1414"/>
          <cell r="G1414"/>
          <cell r="H1414"/>
          <cell r="I1414"/>
          <cell r="J1414"/>
          <cell r="K1414"/>
          <cell r="L1414"/>
        </row>
        <row r="1415">
          <cell r="C1415"/>
          <cell r="D1415"/>
          <cell r="E1415"/>
          <cell r="F1415"/>
          <cell r="G1415"/>
          <cell r="H1415"/>
          <cell r="I1415"/>
          <cell r="J1415"/>
          <cell r="K1415"/>
          <cell r="L1415"/>
        </row>
        <row r="1416">
          <cell r="C1416"/>
          <cell r="D1416"/>
          <cell r="E1416"/>
          <cell r="F1416"/>
          <cell r="G1416"/>
          <cell r="H1416"/>
          <cell r="I1416"/>
          <cell r="J1416"/>
          <cell r="K1416"/>
          <cell r="L1416"/>
        </row>
        <row r="1417">
          <cell r="C1417"/>
          <cell r="D1417"/>
          <cell r="E1417"/>
          <cell r="F1417"/>
          <cell r="G1417"/>
          <cell r="H1417"/>
          <cell r="I1417"/>
          <cell r="J1417"/>
          <cell r="K1417"/>
          <cell r="L1417"/>
        </row>
        <row r="1418">
          <cell r="C1418"/>
          <cell r="D1418"/>
          <cell r="E1418"/>
          <cell r="F1418"/>
          <cell r="G1418"/>
          <cell r="H1418"/>
          <cell r="I1418"/>
          <cell r="J1418"/>
          <cell r="K1418"/>
          <cell r="L1418"/>
        </row>
        <row r="1419">
          <cell r="C1419"/>
          <cell r="D1419"/>
          <cell r="E1419"/>
          <cell r="F1419"/>
          <cell r="G1419"/>
          <cell r="H1419"/>
          <cell r="I1419"/>
          <cell r="J1419"/>
          <cell r="K1419"/>
          <cell r="L1419"/>
        </row>
        <row r="1420">
          <cell r="C1420"/>
          <cell r="D1420"/>
          <cell r="E1420"/>
          <cell r="F1420"/>
          <cell r="G1420"/>
          <cell r="H1420"/>
          <cell r="I1420"/>
          <cell r="J1420"/>
          <cell r="K1420"/>
          <cell r="L1420"/>
        </row>
        <row r="1421">
          <cell r="C1421"/>
          <cell r="D1421"/>
          <cell r="E1421"/>
          <cell r="F1421"/>
          <cell r="G1421"/>
          <cell r="H1421"/>
          <cell r="I1421"/>
          <cell r="J1421"/>
          <cell r="K1421"/>
          <cell r="L1421"/>
        </row>
        <row r="1422">
          <cell r="C1422"/>
          <cell r="D1422"/>
          <cell r="E1422"/>
          <cell r="F1422"/>
          <cell r="G1422"/>
          <cell r="H1422"/>
          <cell r="I1422"/>
          <cell r="J1422"/>
          <cell r="K1422"/>
          <cell r="L1422"/>
        </row>
        <row r="1423">
          <cell r="C1423"/>
          <cell r="D1423"/>
          <cell r="E1423"/>
          <cell r="F1423"/>
          <cell r="G1423"/>
          <cell r="H1423"/>
          <cell r="I1423"/>
          <cell r="J1423"/>
          <cell r="K1423"/>
          <cell r="L1423"/>
        </row>
        <row r="1424">
          <cell r="C1424"/>
          <cell r="D1424"/>
          <cell r="E1424"/>
          <cell r="F1424"/>
          <cell r="G1424"/>
          <cell r="H1424"/>
          <cell r="I1424"/>
          <cell r="J1424"/>
          <cell r="K1424"/>
          <cell r="L1424"/>
        </row>
        <row r="1425">
          <cell r="C1425"/>
          <cell r="D1425"/>
          <cell r="E1425"/>
          <cell r="F1425"/>
          <cell r="G1425"/>
          <cell r="H1425"/>
          <cell r="I1425"/>
          <cell r="J1425"/>
          <cell r="K1425"/>
          <cell r="L1425"/>
        </row>
        <row r="1426">
          <cell r="C1426"/>
          <cell r="D1426"/>
          <cell r="E1426"/>
          <cell r="F1426"/>
          <cell r="G1426"/>
          <cell r="H1426"/>
          <cell r="I1426"/>
          <cell r="J1426"/>
          <cell r="K1426"/>
          <cell r="L1426"/>
        </row>
        <row r="1427">
          <cell r="C1427"/>
          <cell r="D1427"/>
          <cell r="E1427"/>
          <cell r="F1427"/>
          <cell r="G1427"/>
          <cell r="H1427"/>
          <cell r="I1427"/>
          <cell r="J1427"/>
          <cell r="K1427"/>
          <cell r="L1427"/>
        </row>
        <row r="1428">
          <cell r="C1428"/>
          <cell r="D1428"/>
          <cell r="E1428"/>
          <cell r="F1428"/>
          <cell r="G1428"/>
          <cell r="H1428"/>
          <cell r="I1428"/>
          <cell r="J1428"/>
          <cell r="K1428"/>
          <cell r="L1428"/>
        </row>
        <row r="1429">
          <cell r="C1429"/>
          <cell r="D1429"/>
          <cell r="E1429"/>
          <cell r="F1429"/>
          <cell r="G1429"/>
          <cell r="H1429"/>
          <cell r="I1429"/>
          <cell r="J1429"/>
          <cell r="K1429"/>
          <cell r="L1429"/>
        </row>
        <row r="1430">
          <cell r="C1430"/>
          <cell r="D1430"/>
          <cell r="E1430"/>
          <cell r="F1430"/>
          <cell r="G1430"/>
          <cell r="H1430"/>
          <cell r="I1430"/>
          <cell r="J1430"/>
          <cell r="K1430"/>
          <cell r="L1430"/>
        </row>
        <row r="1431">
          <cell r="C1431"/>
          <cell r="D1431"/>
          <cell r="E1431"/>
          <cell r="F1431"/>
          <cell r="G1431"/>
          <cell r="H1431"/>
          <cell r="I1431"/>
          <cell r="J1431"/>
          <cell r="K1431"/>
          <cell r="L1431"/>
        </row>
        <row r="1432">
          <cell r="C1432"/>
          <cell r="D1432"/>
          <cell r="E1432"/>
          <cell r="F1432"/>
          <cell r="G1432"/>
          <cell r="H1432"/>
          <cell r="I1432"/>
          <cell r="J1432"/>
          <cell r="K1432"/>
          <cell r="L1432"/>
        </row>
        <row r="1433">
          <cell r="C1433"/>
          <cell r="D1433"/>
          <cell r="E1433"/>
          <cell r="F1433"/>
          <cell r="G1433"/>
          <cell r="H1433"/>
          <cell r="I1433"/>
          <cell r="J1433"/>
          <cell r="K1433"/>
          <cell r="L1433"/>
        </row>
        <row r="1434">
          <cell r="C1434"/>
          <cell r="D1434"/>
          <cell r="E1434"/>
          <cell r="F1434"/>
          <cell r="G1434"/>
          <cell r="H1434"/>
          <cell r="I1434"/>
          <cell r="J1434"/>
          <cell r="K1434"/>
          <cell r="L1434"/>
        </row>
        <row r="1435">
          <cell r="C1435"/>
          <cell r="D1435"/>
          <cell r="E1435"/>
          <cell r="F1435"/>
          <cell r="G1435"/>
          <cell r="H1435"/>
          <cell r="I1435"/>
          <cell r="J1435"/>
          <cell r="K1435"/>
          <cell r="L1435"/>
        </row>
        <row r="1436">
          <cell r="C1436"/>
          <cell r="D1436"/>
          <cell r="E1436"/>
          <cell r="F1436"/>
          <cell r="G1436"/>
          <cell r="H1436"/>
          <cell r="I1436"/>
          <cell r="J1436"/>
          <cell r="K1436"/>
          <cell r="L1436"/>
        </row>
        <row r="1437">
          <cell r="C1437"/>
          <cell r="D1437"/>
          <cell r="E1437"/>
          <cell r="F1437"/>
          <cell r="G1437"/>
          <cell r="H1437"/>
          <cell r="I1437"/>
          <cell r="J1437"/>
          <cell r="K1437"/>
          <cell r="L1437"/>
        </row>
        <row r="1438">
          <cell r="C1438"/>
          <cell r="D1438"/>
          <cell r="E1438"/>
          <cell r="F1438"/>
          <cell r="G1438"/>
          <cell r="H1438"/>
          <cell r="I1438"/>
          <cell r="J1438"/>
          <cell r="K1438"/>
          <cell r="L1438"/>
        </row>
        <row r="1439">
          <cell r="C1439"/>
          <cell r="D1439"/>
          <cell r="E1439"/>
          <cell r="F1439"/>
          <cell r="G1439"/>
          <cell r="H1439"/>
          <cell r="I1439"/>
          <cell r="J1439"/>
          <cell r="K1439"/>
          <cell r="L1439"/>
        </row>
        <row r="1440">
          <cell r="C1440"/>
          <cell r="D1440"/>
          <cell r="E1440"/>
          <cell r="F1440"/>
          <cell r="G1440"/>
          <cell r="H1440"/>
          <cell r="I1440"/>
          <cell r="J1440"/>
          <cell r="K1440"/>
          <cell r="L1440"/>
        </row>
        <row r="1441">
          <cell r="C1441"/>
          <cell r="D1441"/>
          <cell r="E1441"/>
          <cell r="F1441"/>
          <cell r="G1441"/>
          <cell r="H1441"/>
          <cell r="I1441"/>
          <cell r="J1441"/>
          <cell r="K1441"/>
          <cell r="L1441"/>
        </row>
        <row r="1442">
          <cell r="C1442"/>
          <cell r="D1442"/>
          <cell r="E1442"/>
          <cell r="F1442"/>
          <cell r="G1442"/>
          <cell r="H1442"/>
          <cell r="I1442"/>
          <cell r="J1442"/>
          <cell r="K1442"/>
          <cell r="L1442"/>
        </row>
        <row r="1443">
          <cell r="C1443"/>
          <cell r="D1443"/>
          <cell r="E1443"/>
          <cell r="F1443"/>
          <cell r="G1443"/>
          <cell r="H1443"/>
          <cell r="I1443"/>
          <cell r="J1443"/>
          <cell r="K1443"/>
          <cell r="L1443"/>
        </row>
        <row r="1444">
          <cell r="C1444"/>
          <cell r="D1444"/>
          <cell r="E1444"/>
          <cell r="F1444"/>
          <cell r="G1444"/>
          <cell r="H1444"/>
          <cell r="I1444"/>
          <cell r="J1444"/>
          <cell r="K1444"/>
          <cell r="L1444"/>
        </row>
        <row r="1445">
          <cell r="C1445"/>
          <cell r="D1445"/>
          <cell r="E1445"/>
          <cell r="F1445"/>
          <cell r="G1445"/>
          <cell r="H1445"/>
          <cell r="I1445"/>
          <cell r="J1445"/>
          <cell r="K1445"/>
          <cell r="L1445"/>
        </row>
        <row r="1446">
          <cell r="C1446"/>
          <cell r="D1446"/>
          <cell r="E1446"/>
          <cell r="F1446"/>
          <cell r="G1446"/>
          <cell r="H1446"/>
          <cell r="I1446"/>
          <cell r="J1446"/>
          <cell r="K1446"/>
          <cell r="L1446"/>
        </row>
        <row r="1447">
          <cell r="C1447"/>
          <cell r="D1447"/>
          <cell r="E1447"/>
          <cell r="F1447"/>
          <cell r="G1447"/>
          <cell r="H1447"/>
          <cell r="I1447"/>
          <cell r="J1447"/>
          <cell r="K1447"/>
          <cell r="L1447"/>
        </row>
        <row r="1448">
          <cell r="C1448"/>
          <cell r="D1448"/>
          <cell r="E1448"/>
          <cell r="F1448"/>
          <cell r="G1448"/>
          <cell r="H1448"/>
          <cell r="I1448"/>
          <cell r="J1448"/>
          <cell r="K1448"/>
          <cell r="L1448"/>
        </row>
        <row r="1449">
          <cell r="C1449"/>
          <cell r="D1449"/>
          <cell r="E1449"/>
          <cell r="F1449"/>
          <cell r="G1449"/>
          <cell r="H1449"/>
          <cell r="I1449"/>
          <cell r="J1449"/>
          <cell r="K1449"/>
          <cell r="L1449"/>
        </row>
        <row r="1450">
          <cell r="C1450"/>
          <cell r="D1450"/>
          <cell r="E1450"/>
          <cell r="F1450"/>
          <cell r="G1450"/>
          <cell r="H1450"/>
          <cell r="I1450"/>
          <cell r="J1450"/>
          <cell r="K1450"/>
          <cell r="L1450"/>
        </row>
        <row r="1451">
          <cell r="C1451"/>
          <cell r="D1451"/>
          <cell r="E1451"/>
          <cell r="F1451"/>
          <cell r="G1451"/>
          <cell r="H1451"/>
          <cell r="I1451"/>
          <cell r="J1451"/>
          <cell r="K1451"/>
          <cell r="L1451"/>
        </row>
        <row r="1452">
          <cell r="C1452"/>
          <cell r="D1452"/>
          <cell r="E1452"/>
          <cell r="F1452"/>
          <cell r="G1452"/>
          <cell r="H1452"/>
          <cell r="I1452"/>
          <cell r="J1452"/>
          <cell r="K1452"/>
          <cell r="L1452"/>
        </row>
        <row r="1453">
          <cell r="C1453"/>
          <cell r="D1453"/>
          <cell r="E1453"/>
          <cell r="F1453"/>
          <cell r="G1453"/>
          <cell r="H1453"/>
          <cell r="I1453"/>
          <cell r="J1453"/>
          <cell r="K1453"/>
          <cell r="L1453"/>
        </row>
        <row r="1454">
          <cell r="C1454"/>
          <cell r="D1454"/>
          <cell r="E1454"/>
          <cell r="F1454"/>
          <cell r="G1454"/>
          <cell r="H1454"/>
          <cell r="I1454"/>
          <cell r="J1454"/>
          <cell r="K1454"/>
          <cell r="L1454"/>
        </row>
        <row r="1455">
          <cell r="C1455"/>
          <cell r="D1455"/>
          <cell r="E1455"/>
          <cell r="F1455"/>
          <cell r="G1455"/>
          <cell r="H1455"/>
          <cell r="I1455"/>
          <cell r="J1455"/>
          <cell r="K1455"/>
          <cell r="L1455"/>
        </row>
        <row r="1456">
          <cell r="C1456"/>
          <cell r="D1456"/>
          <cell r="E1456"/>
          <cell r="F1456"/>
          <cell r="G1456"/>
          <cell r="H1456"/>
          <cell r="I1456"/>
          <cell r="J1456"/>
          <cell r="K1456"/>
          <cell r="L1456"/>
        </row>
        <row r="1457">
          <cell r="C1457"/>
          <cell r="D1457"/>
          <cell r="E1457"/>
          <cell r="F1457"/>
          <cell r="G1457"/>
          <cell r="H1457"/>
          <cell r="I1457"/>
          <cell r="J1457"/>
          <cell r="K1457"/>
          <cell r="L1457"/>
        </row>
        <row r="1458">
          <cell r="C1458"/>
          <cell r="D1458"/>
          <cell r="E1458"/>
          <cell r="F1458"/>
          <cell r="G1458"/>
          <cell r="H1458"/>
          <cell r="I1458"/>
          <cell r="J1458"/>
          <cell r="K1458"/>
          <cell r="L1458"/>
        </row>
        <row r="1459">
          <cell r="C1459"/>
          <cell r="D1459"/>
          <cell r="E1459"/>
          <cell r="F1459"/>
          <cell r="G1459"/>
          <cell r="H1459"/>
          <cell r="I1459"/>
          <cell r="J1459"/>
          <cell r="K1459"/>
          <cell r="L1459"/>
        </row>
        <row r="1460">
          <cell r="C1460"/>
          <cell r="D1460"/>
          <cell r="E1460"/>
          <cell r="F1460"/>
          <cell r="G1460"/>
          <cell r="H1460"/>
          <cell r="I1460"/>
          <cell r="J1460"/>
          <cell r="K1460"/>
          <cell r="L1460"/>
        </row>
        <row r="1461">
          <cell r="C1461"/>
          <cell r="D1461"/>
          <cell r="E1461"/>
          <cell r="F1461"/>
          <cell r="G1461"/>
          <cell r="H1461"/>
          <cell r="I1461"/>
          <cell r="J1461"/>
          <cell r="K1461"/>
          <cell r="L1461"/>
        </row>
        <row r="1462">
          <cell r="C1462"/>
          <cell r="D1462"/>
          <cell r="E1462"/>
          <cell r="F1462"/>
          <cell r="G1462"/>
          <cell r="H1462"/>
          <cell r="I1462"/>
          <cell r="J1462"/>
          <cell r="K1462"/>
          <cell r="L1462"/>
        </row>
        <row r="1463">
          <cell r="C1463"/>
          <cell r="D1463"/>
          <cell r="E1463"/>
          <cell r="F1463"/>
          <cell r="G1463"/>
          <cell r="H1463"/>
          <cell r="I1463"/>
          <cell r="J1463"/>
          <cell r="K1463"/>
          <cell r="L1463"/>
        </row>
        <row r="1464">
          <cell r="C1464"/>
          <cell r="D1464"/>
          <cell r="E1464"/>
          <cell r="F1464"/>
          <cell r="G1464"/>
          <cell r="H1464"/>
          <cell r="I1464"/>
          <cell r="J1464"/>
          <cell r="K1464"/>
          <cell r="L1464"/>
        </row>
        <row r="1465">
          <cell r="C1465"/>
          <cell r="D1465"/>
          <cell r="E1465"/>
          <cell r="F1465"/>
          <cell r="G1465"/>
          <cell r="H1465"/>
          <cell r="I1465"/>
          <cell r="J1465"/>
          <cell r="K1465"/>
          <cell r="L1465"/>
        </row>
        <row r="1466">
          <cell r="C1466"/>
          <cell r="D1466"/>
          <cell r="E1466"/>
          <cell r="F1466"/>
          <cell r="G1466"/>
          <cell r="H1466"/>
          <cell r="I1466"/>
          <cell r="J1466"/>
          <cell r="K1466"/>
          <cell r="L1466"/>
        </row>
        <row r="1467">
          <cell r="C1467"/>
          <cell r="D1467"/>
          <cell r="E1467"/>
          <cell r="F1467"/>
          <cell r="G1467"/>
          <cell r="H1467"/>
          <cell r="I1467"/>
          <cell r="J1467"/>
          <cell r="K1467"/>
          <cell r="L1467"/>
        </row>
        <row r="1468">
          <cell r="C1468"/>
          <cell r="D1468"/>
          <cell r="E1468"/>
          <cell r="F1468"/>
          <cell r="G1468"/>
          <cell r="H1468"/>
          <cell r="I1468"/>
          <cell r="J1468"/>
          <cell r="K1468"/>
          <cell r="L1468"/>
        </row>
        <row r="1469">
          <cell r="C1469"/>
          <cell r="D1469"/>
          <cell r="E1469"/>
          <cell r="F1469"/>
          <cell r="G1469"/>
          <cell r="H1469"/>
          <cell r="I1469"/>
          <cell r="J1469"/>
          <cell r="K1469"/>
          <cell r="L1469"/>
        </row>
        <row r="1470">
          <cell r="C1470"/>
          <cell r="D1470"/>
          <cell r="E1470"/>
          <cell r="F1470"/>
          <cell r="G1470"/>
          <cell r="H1470"/>
          <cell r="I1470"/>
          <cell r="J1470"/>
          <cell r="K1470"/>
          <cell r="L1470"/>
        </row>
        <row r="1471">
          <cell r="C1471"/>
          <cell r="D1471"/>
          <cell r="E1471"/>
          <cell r="F1471"/>
          <cell r="G1471"/>
          <cell r="H1471"/>
          <cell r="I1471"/>
          <cell r="J1471"/>
          <cell r="K1471"/>
          <cell r="L1471"/>
        </row>
        <row r="1472">
          <cell r="C1472"/>
          <cell r="D1472"/>
          <cell r="E1472"/>
          <cell r="F1472"/>
          <cell r="G1472"/>
          <cell r="H1472"/>
          <cell r="I1472"/>
          <cell r="J1472"/>
          <cell r="K1472"/>
          <cell r="L1472"/>
        </row>
        <row r="1473">
          <cell r="C1473"/>
          <cell r="D1473"/>
          <cell r="E1473"/>
          <cell r="F1473"/>
          <cell r="G1473"/>
          <cell r="H1473"/>
          <cell r="I1473"/>
          <cell r="J1473"/>
          <cell r="K1473"/>
          <cell r="L1473"/>
        </row>
        <row r="1474">
          <cell r="C1474"/>
          <cell r="D1474"/>
          <cell r="E1474"/>
          <cell r="F1474"/>
          <cell r="G1474"/>
          <cell r="H1474"/>
          <cell r="I1474"/>
          <cell r="J1474"/>
          <cell r="K1474"/>
          <cell r="L1474"/>
        </row>
        <row r="1475">
          <cell r="C1475"/>
          <cell r="D1475"/>
          <cell r="E1475"/>
          <cell r="F1475"/>
          <cell r="G1475"/>
          <cell r="H1475"/>
          <cell r="I1475"/>
          <cell r="J1475"/>
          <cell r="K1475"/>
          <cell r="L1475"/>
        </row>
        <row r="1476">
          <cell r="C1476"/>
          <cell r="D1476"/>
          <cell r="E1476"/>
          <cell r="F1476"/>
          <cell r="G1476"/>
          <cell r="H1476"/>
          <cell r="I1476"/>
          <cell r="J1476"/>
          <cell r="K1476"/>
          <cell r="L1476"/>
        </row>
        <row r="1477">
          <cell r="C1477"/>
          <cell r="D1477"/>
          <cell r="E1477"/>
          <cell r="F1477"/>
          <cell r="G1477"/>
          <cell r="H1477"/>
          <cell r="I1477"/>
          <cell r="J1477"/>
          <cell r="K1477"/>
          <cell r="L1477"/>
        </row>
        <row r="1478">
          <cell r="C1478"/>
          <cell r="D1478"/>
          <cell r="E1478"/>
          <cell r="F1478"/>
          <cell r="G1478"/>
          <cell r="H1478"/>
          <cell r="I1478"/>
          <cell r="J1478"/>
          <cell r="K1478"/>
          <cell r="L1478"/>
        </row>
        <row r="1479">
          <cell r="C1479"/>
          <cell r="D1479"/>
          <cell r="E1479"/>
          <cell r="F1479"/>
          <cell r="G1479"/>
          <cell r="H1479"/>
          <cell r="I1479"/>
          <cell r="J1479"/>
          <cell r="K1479"/>
          <cell r="L1479"/>
        </row>
        <row r="1480">
          <cell r="C1480"/>
          <cell r="D1480"/>
          <cell r="E1480"/>
          <cell r="F1480"/>
          <cell r="G1480"/>
          <cell r="H1480"/>
          <cell r="I1480"/>
          <cell r="J1480"/>
          <cell r="K1480"/>
          <cell r="L1480"/>
        </row>
        <row r="1481">
          <cell r="C1481"/>
          <cell r="D1481"/>
          <cell r="E1481"/>
          <cell r="F1481"/>
          <cell r="G1481"/>
          <cell r="H1481"/>
          <cell r="I1481"/>
          <cell r="J1481"/>
          <cell r="K1481"/>
          <cell r="L1481"/>
        </row>
        <row r="1482">
          <cell r="C1482"/>
          <cell r="D1482"/>
          <cell r="E1482"/>
          <cell r="F1482"/>
          <cell r="G1482"/>
          <cell r="H1482"/>
          <cell r="I1482"/>
          <cell r="J1482"/>
          <cell r="K1482"/>
          <cell r="L1482"/>
        </row>
        <row r="1483">
          <cell r="C1483"/>
          <cell r="D1483"/>
          <cell r="E1483"/>
          <cell r="F1483"/>
          <cell r="G1483"/>
          <cell r="H1483"/>
          <cell r="I1483"/>
          <cell r="J1483"/>
          <cell r="K1483"/>
          <cell r="L1483"/>
        </row>
        <row r="1484">
          <cell r="C1484"/>
          <cell r="D1484"/>
          <cell r="E1484"/>
          <cell r="F1484"/>
          <cell r="G1484"/>
          <cell r="H1484"/>
          <cell r="I1484"/>
          <cell r="J1484"/>
          <cell r="K1484"/>
          <cell r="L1484"/>
        </row>
        <row r="1485">
          <cell r="C1485"/>
          <cell r="D1485"/>
          <cell r="E1485"/>
          <cell r="F1485"/>
          <cell r="G1485"/>
          <cell r="H1485"/>
          <cell r="I1485"/>
          <cell r="J1485"/>
          <cell r="K1485"/>
          <cell r="L1485"/>
        </row>
        <row r="1486">
          <cell r="C1486"/>
          <cell r="D1486"/>
          <cell r="E1486"/>
          <cell r="F1486"/>
          <cell r="G1486"/>
          <cell r="H1486"/>
          <cell r="I1486"/>
          <cell r="J1486"/>
          <cell r="K1486"/>
          <cell r="L1486"/>
        </row>
        <row r="1487">
          <cell r="C1487"/>
          <cell r="D1487"/>
          <cell r="E1487"/>
          <cell r="F1487"/>
          <cell r="G1487"/>
          <cell r="H1487"/>
          <cell r="I1487"/>
          <cell r="J1487"/>
          <cell r="K1487"/>
          <cell r="L1487"/>
        </row>
        <row r="1488">
          <cell r="C1488"/>
          <cell r="D1488"/>
          <cell r="E1488"/>
          <cell r="F1488"/>
          <cell r="G1488"/>
          <cell r="H1488"/>
          <cell r="I1488"/>
          <cell r="J1488"/>
          <cell r="K1488"/>
          <cell r="L1488"/>
        </row>
        <row r="1489">
          <cell r="C1489"/>
          <cell r="D1489"/>
          <cell r="E1489"/>
          <cell r="F1489"/>
          <cell r="G1489"/>
          <cell r="H1489"/>
          <cell r="I1489"/>
          <cell r="J1489"/>
          <cell r="K1489"/>
          <cell r="L1489"/>
        </row>
        <row r="1490">
          <cell r="C1490"/>
          <cell r="D1490"/>
          <cell r="E1490"/>
          <cell r="F1490"/>
          <cell r="G1490"/>
          <cell r="H1490"/>
          <cell r="I1490"/>
          <cell r="J1490"/>
          <cell r="K1490"/>
          <cell r="L1490"/>
        </row>
        <row r="1491">
          <cell r="C1491"/>
          <cell r="D1491"/>
          <cell r="E1491"/>
          <cell r="F1491"/>
          <cell r="G1491"/>
          <cell r="H1491"/>
          <cell r="I1491"/>
          <cell r="J1491"/>
          <cell r="K1491"/>
          <cell r="L1491"/>
        </row>
        <row r="1492">
          <cell r="C1492"/>
          <cell r="D1492"/>
          <cell r="E1492"/>
          <cell r="F1492"/>
          <cell r="G1492"/>
          <cell r="H1492"/>
          <cell r="I1492"/>
          <cell r="J1492"/>
          <cell r="K1492"/>
          <cell r="L1492"/>
        </row>
        <row r="1493">
          <cell r="C1493"/>
          <cell r="D1493"/>
          <cell r="E1493"/>
          <cell r="F1493"/>
          <cell r="G1493"/>
          <cell r="H1493"/>
          <cell r="I1493"/>
          <cell r="J1493"/>
          <cell r="K1493"/>
          <cell r="L1493"/>
        </row>
        <row r="1494">
          <cell r="C1494"/>
          <cell r="D1494"/>
          <cell r="E1494"/>
          <cell r="F1494"/>
          <cell r="G1494"/>
          <cell r="H1494"/>
          <cell r="I1494"/>
          <cell r="J1494"/>
          <cell r="K1494"/>
          <cell r="L1494"/>
        </row>
        <row r="1495">
          <cell r="C1495"/>
          <cell r="D1495"/>
          <cell r="E1495"/>
          <cell r="F1495"/>
          <cell r="G1495"/>
          <cell r="H1495"/>
          <cell r="I1495"/>
          <cell r="J1495"/>
          <cell r="K1495"/>
          <cell r="L1495"/>
        </row>
        <row r="1496">
          <cell r="C1496"/>
          <cell r="D1496"/>
          <cell r="E1496"/>
          <cell r="F1496"/>
          <cell r="G1496"/>
          <cell r="H1496"/>
          <cell r="I1496"/>
          <cell r="J1496"/>
          <cell r="K1496"/>
          <cell r="L1496"/>
        </row>
        <row r="1497">
          <cell r="C1497"/>
          <cell r="D1497"/>
          <cell r="E1497"/>
          <cell r="F1497"/>
          <cell r="G1497"/>
          <cell r="H1497"/>
          <cell r="I1497"/>
          <cell r="J1497"/>
          <cell r="K1497"/>
          <cell r="L1497"/>
        </row>
        <row r="1498">
          <cell r="C1498"/>
          <cell r="D1498"/>
          <cell r="E1498"/>
          <cell r="F1498"/>
          <cell r="G1498"/>
          <cell r="H1498"/>
          <cell r="I1498"/>
          <cell r="J1498"/>
          <cell r="K1498"/>
          <cell r="L1498"/>
        </row>
        <row r="1499">
          <cell r="C1499"/>
          <cell r="D1499"/>
          <cell r="E1499"/>
          <cell r="F1499"/>
          <cell r="G1499"/>
          <cell r="H1499"/>
          <cell r="I1499"/>
          <cell r="J1499"/>
          <cell r="K1499"/>
          <cell r="L1499"/>
        </row>
        <row r="1500">
          <cell r="C1500"/>
          <cell r="D1500"/>
          <cell r="E1500"/>
          <cell r="F1500"/>
          <cell r="G1500"/>
          <cell r="H1500"/>
          <cell r="I1500"/>
          <cell r="J1500"/>
          <cell r="K1500"/>
          <cell r="L1500"/>
        </row>
        <row r="1501">
          <cell r="C1501"/>
          <cell r="D1501"/>
          <cell r="E1501"/>
          <cell r="F1501"/>
          <cell r="G1501"/>
          <cell r="H1501"/>
          <cell r="I1501"/>
          <cell r="J1501"/>
          <cell r="K1501"/>
          <cell r="L1501"/>
        </row>
        <row r="1502">
          <cell r="C1502"/>
          <cell r="D1502"/>
          <cell r="E1502"/>
          <cell r="F1502"/>
          <cell r="G1502"/>
          <cell r="H1502"/>
          <cell r="I1502"/>
          <cell r="J1502"/>
          <cell r="K1502"/>
          <cell r="L1502"/>
        </row>
        <row r="1503">
          <cell r="C1503"/>
          <cell r="D1503"/>
          <cell r="E1503"/>
          <cell r="F1503"/>
          <cell r="G1503"/>
          <cell r="H1503"/>
          <cell r="I1503"/>
          <cell r="J1503"/>
          <cell r="K1503"/>
          <cell r="L1503"/>
        </row>
        <row r="1504">
          <cell r="C1504"/>
          <cell r="D1504"/>
          <cell r="E1504"/>
          <cell r="F1504"/>
          <cell r="G1504"/>
          <cell r="H1504"/>
          <cell r="I1504"/>
          <cell r="J1504"/>
          <cell r="K1504"/>
          <cell r="L1504"/>
        </row>
        <row r="1505">
          <cell r="C1505"/>
          <cell r="D1505"/>
          <cell r="E1505"/>
          <cell r="F1505"/>
          <cell r="G1505"/>
          <cell r="H1505"/>
          <cell r="I1505"/>
          <cell r="J1505"/>
          <cell r="K1505"/>
          <cell r="L1505"/>
        </row>
        <row r="1506">
          <cell r="C1506"/>
          <cell r="D1506"/>
          <cell r="E1506"/>
          <cell r="F1506"/>
          <cell r="G1506"/>
          <cell r="H1506"/>
          <cell r="I1506"/>
          <cell r="J1506"/>
          <cell r="K1506"/>
          <cell r="L1506"/>
        </row>
        <row r="1507">
          <cell r="C1507"/>
          <cell r="D1507"/>
          <cell r="E1507"/>
          <cell r="F1507"/>
          <cell r="G1507"/>
          <cell r="H1507"/>
          <cell r="I1507"/>
          <cell r="J1507"/>
          <cell r="K1507"/>
          <cell r="L1507"/>
        </row>
        <row r="1508">
          <cell r="C1508"/>
          <cell r="D1508"/>
          <cell r="E1508"/>
          <cell r="F1508"/>
          <cell r="G1508"/>
          <cell r="H1508"/>
          <cell r="I1508"/>
          <cell r="J1508"/>
          <cell r="K1508"/>
          <cell r="L1508"/>
        </row>
        <row r="1509">
          <cell r="C1509"/>
          <cell r="D1509"/>
          <cell r="E1509"/>
          <cell r="F1509"/>
          <cell r="G1509"/>
          <cell r="H1509"/>
          <cell r="I1509"/>
          <cell r="J1509"/>
          <cell r="K1509"/>
          <cell r="L1509"/>
        </row>
        <row r="1510">
          <cell r="C1510"/>
          <cell r="D1510"/>
          <cell r="E1510"/>
          <cell r="F1510"/>
          <cell r="G1510"/>
          <cell r="H1510"/>
          <cell r="I1510"/>
          <cell r="J1510"/>
          <cell r="K1510"/>
          <cell r="L1510"/>
        </row>
        <row r="1511">
          <cell r="C1511"/>
          <cell r="D1511"/>
          <cell r="E1511"/>
          <cell r="F1511"/>
          <cell r="G1511"/>
          <cell r="H1511"/>
          <cell r="I1511"/>
          <cell r="J1511"/>
          <cell r="K1511"/>
          <cell r="L1511"/>
        </row>
        <row r="1512">
          <cell r="C1512"/>
          <cell r="D1512"/>
          <cell r="E1512"/>
          <cell r="F1512"/>
          <cell r="G1512"/>
          <cell r="H1512"/>
          <cell r="I1512"/>
          <cell r="J1512"/>
          <cell r="K1512"/>
          <cell r="L1512"/>
        </row>
        <row r="1513">
          <cell r="C1513"/>
          <cell r="D1513"/>
          <cell r="E1513"/>
          <cell r="F1513"/>
          <cell r="G1513"/>
          <cell r="H1513"/>
          <cell r="I1513"/>
          <cell r="J1513"/>
          <cell r="K1513"/>
          <cell r="L1513"/>
        </row>
        <row r="1514">
          <cell r="C1514"/>
          <cell r="D1514"/>
          <cell r="E1514"/>
          <cell r="F1514"/>
          <cell r="G1514"/>
          <cell r="H1514"/>
          <cell r="I1514"/>
          <cell r="J1514"/>
          <cell r="K1514"/>
          <cell r="L1514"/>
        </row>
        <row r="1515">
          <cell r="C1515"/>
          <cell r="D1515"/>
          <cell r="E1515"/>
          <cell r="F1515"/>
          <cell r="G1515"/>
          <cell r="H1515"/>
          <cell r="I1515"/>
          <cell r="J1515"/>
          <cell r="K1515"/>
          <cell r="L1515"/>
        </row>
        <row r="1516">
          <cell r="C1516"/>
          <cell r="D1516"/>
          <cell r="E1516"/>
          <cell r="F1516"/>
          <cell r="G1516"/>
          <cell r="H1516"/>
          <cell r="I1516"/>
          <cell r="J1516"/>
          <cell r="K1516"/>
          <cell r="L1516"/>
        </row>
        <row r="1517">
          <cell r="C1517"/>
          <cell r="D1517"/>
          <cell r="E1517"/>
          <cell r="F1517"/>
          <cell r="G1517"/>
          <cell r="H1517"/>
          <cell r="I1517"/>
          <cell r="J1517"/>
          <cell r="K1517"/>
          <cell r="L1517"/>
        </row>
        <row r="1518">
          <cell r="C1518"/>
          <cell r="D1518"/>
          <cell r="E1518"/>
          <cell r="F1518"/>
          <cell r="G1518"/>
          <cell r="H1518"/>
          <cell r="I1518"/>
          <cell r="J1518"/>
          <cell r="K1518"/>
          <cell r="L1518"/>
        </row>
        <row r="1519">
          <cell r="C1519"/>
          <cell r="D1519"/>
          <cell r="E1519"/>
          <cell r="F1519"/>
          <cell r="G1519"/>
          <cell r="H1519"/>
          <cell r="I1519"/>
          <cell r="J1519"/>
          <cell r="K1519"/>
          <cell r="L1519"/>
        </row>
        <row r="1520">
          <cell r="C1520"/>
          <cell r="D1520"/>
          <cell r="E1520"/>
          <cell r="F1520"/>
          <cell r="G1520"/>
          <cell r="H1520"/>
          <cell r="I1520"/>
          <cell r="J1520"/>
          <cell r="K1520"/>
          <cell r="L1520"/>
        </row>
        <row r="1521">
          <cell r="C1521"/>
          <cell r="D1521"/>
          <cell r="E1521"/>
          <cell r="F1521"/>
          <cell r="G1521"/>
          <cell r="H1521"/>
          <cell r="I1521"/>
          <cell r="J1521"/>
          <cell r="K1521"/>
          <cell r="L1521"/>
        </row>
        <row r="1522">
          <cell r="C1522"/>
          <cell r="D1522"/>
          <cell r="E1522"/>
          <cell r="F1522"/>
          <cell r="G1522"/>
          <cell r="H1522"/>
          <cell r="I1522"/>
          <cell r="J1522"/>
          <cell r="K1522"/>
          <cell r="L1522"/>
        </row>
        <row r="1523">
          <cell r="C1523"/>
          <cell r="D1523"/>
          <cell r="E1523"/>
          <cell r="F1523"/>
          <cell r="G1523"/>
          <cell r="H1523"/>
          <cell r="I1523"/>
          <cell r="J1523"/>
          <cell r="K1523"/>
          <cell r="L1523"/>
        </row>
        <row r="1524">
          <cell r="C1524"/>
          <cell r="D1524"/>
          <cell r="E1524"/>
          <cell r="F1524"/>
          <cell r="G1524"/>
          <cell r="H1524"/>
          <cell r="I1524"/>
          <cell r="J1524"/>
          <cell r="K1524"/>
          <cell r="L1524"/>
        </row>
        <row r="1525">
          <cell r="C1525"/>
          <cell r="D1525"/>
          <cell r="E1525"/>
          <cell r="F1525"/>
          <cell r="G1525"/>
          <cell r="H1525"/>
          <cell r="I1525"/>
          <cell r="J1525"/>
          <cell r="K1525"/>
          <cell r="L1525"/>
        </row>
        <row r="1526">
          <cell r="C1526"/>
          <cell r="D1526"/>
          <cell r="E1526"/>
          <cell r="F1526"/>
          <cell r="G1526"/>
          <cell r="H1526"/>
          <cell r="I1526"/>
          <cell r="J1526"/>
          <cell r="K1526"/>
          <cell r="L1526"/>
        </row>
        <row r="1527">
          <cell r="C1527"/>
          <cell r="D1527"/>
          <cell r="E1527"/>
          <cell r="F1527"/>
          <cell r="G1527"/>
          <cell r="H1527"/>
          <cell r="I1527"/>
          <cell r="J1527"/>
          <cell r="K1527"/>
          <cell r="L1527"/>
        </row>
        <row r="1528">
          <cell r="C1528"/>
          <cell r="D1528"/>
          <cell r="E1528"/>
          <cell r="F1528"/>
          <cell r="G1528"/>
          <cell r="H1528"/>
          <cell r="I1528"/>
          <cell r="J1528"/>
          <cell r="K1528"/>
          <cell r="L1528"/>
        </row>
        <row r="1529">
          <cell r="C1529"/>
          <cell r="D1529"/>
          <cell r="E1529"/>
          <cell r="F1529"/>
          <cell r="G1529"/>
          <cell r="H1529"/>
          <cell r="I1529"/>
          <cell r="J1529"/>
          <cell r="K1529"/>
          <cell r="L1529"/>
        </row>
        <row r="1530">
          <cell r="C1530"/>
          <cell r="D1530"/>
          <cell r="E1530"/>
          <cell r="F1530"/>
          <cell r="G1530"/>
          <cell r="H1530"/>
          <cell r="I1530"/>
          <cell r="J1530"/>
          <cell r="K1530"/>
          <cell r="L1530"/>
        </row>
        <row r="1531">
          <cell r="C1531"/>
          <cell r="D1531"/>
          <cell r="E1531"/>
          <cell r="F1531"/>
          <cell r="G1531"/>
          <cell r="H1531"/>
          <cell r="I1531"/>
          <cell r="J1531"/>
          <cell r="K1531"/>
          <cell r="L1531"/>
        </row>
        <row r="1532">
          <cell r="C1532"/>
          <cell r="D1532"/>
          <cell r="E1532"/>
          <cell r="F1532"/>
          <cell r="G1532"/>
          <cell r="H1532"/>
          <cell r="I1532"/>
          <cell r="J1532"/>
          <cell r="K1532"/>
          <cell r="L1532"/>
        </row>
        <row r="1533">
          <cell r="C1533"/>
          <cell r="D1533"/>
          <cell r="E1533"/>
          <cell r="F1533"/>
          <cell r="G1533"/>
          <cell r="H1533"/>
          <cell r="I1533"/>
          <cell r="J1533"/>
          <cell r="K1533"/>
          <cell r="L1533"/>
        </row>
        <row r="1534">
          <cell r="C1534"/>
          <cell r="D1534"/>
          <cell r="E1534"/>
          <cell r="F1534"/>
          <cell r="G1534"/>
          <cell r="H1534"/>
          <cell r="I1534"/>
          <cell r="J1534"/>
          <cell r="K1534"/>
          <cell r="L1534"/>
        </row>
        <row r="1535">
          <cell r="C1535"/>
          <cell r="D1535"/>
          <cell r="E1535"/>
          <cell r="F1535"/>
          <cell r="G1535"/>
          <cell r="H1535"/>
          <cell r="I1535"/>
          <cell r="J1535"/>
          <cell r="K1535"/>
          <cell r="L1535"/>
        </row>
        <row r="1536">
          <cell r="C1536"/>
          <cell r="D1536"/>
          <cell r="E1536"/>
          <cell r="F1536"/>
          <cell r="G1536"/>
          <cell r="H1536"/>
          <cell r="I1536"/>
          <cell r="J1536"/>
          <cell r="K1536"/>
          <cell r="L1536"/>
        </row>
        <row r="1537">
          <cell r="C1537"/>
          <cell r="D1537"/>
          <cell r="E1537"/>
          <cell r="F1537"/>
          <cell r="G1537"/>
          <cell r="H1537"/>
          <cell r="I1537"/>
          <cell r="J1537"/>
          <cell r="K1537"/>
          <cell r="L1537"/>
        </row>
        <row r="1538">
          <cell r="C1538"/>
          <cell r="D1538"/>
          <cell r="E1538"/>
          <cell r="F1538"/>
          <cell r="G1538"/>
          <cell r="H1538"/>
          <cell r="I1538"/>
          <cell r="J1538"/>
          <cell r="K1538"/>
          <cell r="L1538"/>
        </row>
        <row r="1539">
          <cell r="C1539"/>
          <cell r="D1539"/>
          <cell r="E1539"/>
          <cell r="F1539"/>
          <cell r="G1539"/>
          <cell r="H1539"/>
          <cell r="I1539"/>
          <cell r="J1539"/>
          <cell r="K1539"/>
          <cell r="L1539"/>
        </row>
        <row r="1540">
          <cell r="C1540"/>
          <cell r="D1540"/>
          <cell r="E1540"/>
          <cell r="F1540"/>
          <cell r="G1540"/>
          <cell r="H1540"/>
          <cell r="I1540"/>
          <cell r="J1540"/>
          <cell r="K1540"/>
          <cell r="L1540"/>
        </row>
        <row r="1541">
          <cell r="C1541"/>
          <cell r="D1541"/>
          <cell r="E1541"/>
          <cell r="F1541"/>
          <cell r="G1541"/>
          <cell r="H1541"/>
          <cell r="I1541"/>
          <cell r="J1541"/>
          <cell r="K1541"/>
          <cell r="L1541"/>
        </row>
        <row r="1542">
          <cell r="C1542"/>
          <cell r="D1542"/>
          <cell r="E1542"/>
          <cell r="F1542"/>
          <cell r="G1542"/>
          <cell r="H1542"/>
          <cell r="I1542"/>
          <cell r="J1542"/>
          <cell r="K1542"/>
          <cell r="L1542"/>
        </row>
        <row r="1543">
          <cell r="C1543"/>
          <cell r="D1543"/>
          <cell r="E1543"/>
          <cell r="F1543"/>
          <cell r="G1543"/>
          <cell r="H1543"/>
          <cell r="I1543"/>
          <cell r="J1543"/>
          <cell r="K1543"/>
          <cell r="L1543"/>
        </row>
        <row r="1544">
          <cell r="C1544"/>
          <cell r="D1544"/>
          <cell r="E1544"/>
          <cell r="F1544"/>
          <cell r="G1544"/>
          <cell r="H1544"/>
          <cell r="I1544"/>
          <cell r="J1544"/>
          <cell r="K1544"/>
          <cell r="L1544"/>
        </row>
        <row r="1545">
          <cell r="C1545"/>
          <cell r="D1545"/>
          <cell r="E1545"/>
          <cell r="F1545"/>
          <cell r="G1545"/>
          <cell r="H1545"/>
          <cell r="I1545"/>
          <cell r="J1545"/>
          <cell r="K1545"/>
          <cell r="L1545"/>
        </row>
        <row r="1546">
          <cell r="C1546"/>
          <cell r="D1546"/>
          <cell r="E1546"/>
          <cell r="F1546"/>
          <cell r="G1546"/>
          <cell r="H1546"/>
          <cell r="I1546"/>
          <cell r="J1546"/>
          <cell r="K1546"/>
          <cell r="L1546"/>
        </row>
        <row r="1547">
          <cell r="C1547"/>
          <cell r="D1547"/>
          <cell r="E1547"/>
          <cell r="F1547"/>
          <cell r="G1547"/>
          <cell r="H1547"/>
          <cell r="I1547"/>
          <cell r="J1547"/>
          <cell r="K1547"/>
          <cell r="L1547"/>
        </row>
        <row r="1548">
          <cell r="C1548"/>
          <cell r="D1548"/>
          <cell r="E1548"/>
          <cell r="F1548"/>
          <cell r="G1548"/>
          <cell r="H1548"/>
          <cell r="I1548"/>
          <cell r="J1548"/>
          <cell r="K1548"/>
          <cell r="L1548"/>
        </row>
        <row r="1549">
          <cell r="C1549"/>
          <cell r="D1549"/>
          <cell r="E1549"/>
          <cell r="F1549"/>
          <cell r="G1549"/>
          <cell r="H1549"/>
          <cell r="I1549"/>
          <cell r="J1549"/>
          <cell r="K1549"/>
          <cell r="L1549"/>
        </row>
        <row r="1550">
          <cell r="C1550"/>
          <cell r="D1550"/>
          <cell r="E1550"/>
          <cell r="F1550"/>
          <cell r="G1550"/>
          <cell r="H1550"/>
          <cell r="I1550"/>
          <cell r="J1550"/>
          <cell r="K1550"/>
          <cell r="L1550"/>
        </row>
        <row r="1551">
          <cell r="C1551"/>
          <cell r="D1551"/>
          <cell r="E1551"/>
          <cell r="F1551"/>
          <cell r="G1551"/>
          <cell r="H1551"/>
          <cell r="I1551"/>
          <cell r="J1551"/>
          <cell r="K1551"/>
          <cell r="L1551"/>
        </row>
        <row r="1552">
          <cell r="C1552"/>
          <cell r="D1552"/>
          <cell r="E1552"/>
          <cell r="F1552"/>
          <cell r="G1552"/>
          <cell r="H1552"/>
          <cell r="I1552"/>
          <cell r="J1552"/>
          <cell r="K1552"/>
          <cell r="L1552"/>
        </row>
        <row r="1553">
          <cell r="C1553"/>
          <cell r="D1553"/>
          <cell r="E1553"/>
          <cell r="F1553"/>
          <cell r="G1553"/>
          <cell r="H1553"/>
          <cell r="I1553"/>
          <cell r="J1553"/>
          <cell r="K1553"/>
          <cell r="L1553"/>
        </row>
        <row r="1554">
          <cell r="C1554"/>
          <cell r="D1554"/>
          <cell r="E1554"/>
          <cell r="F1554"/>
          <cell r="G1554"/>
          <cell r="H1554"/>
          <cell r="I1554"/>
          <cell r="J1554"/>
          <cell r="K1554"/>
          <cell r="L1554"/>
        </row>
        <row r="1555">
          <cell r="C1555"/>
          <cell r="D1555"/>
          <cell r="E1555"/>
          <cell r="F1555"/>
          <cell r="G1555"/>
          <cell r="H1555"/>
          <cell r="I1555"/>
          <cell r="J1555"/>
          <cell r="K1555"/>
          <cell r="L1555"/>
        </row>
        <row r="1556">
          <cell r="C1556"/>
          <cell r="D1556"/>
          <cell r="E1556"/>
          <cell r="F1556"/>
          <cell r="G1556"/>
          <cell r="H1556"/>
          <cell r="I1556"/>
          <cell r="J1556"/>
          <cell r="K1556"/>
          <cell r="L1556"/>
        </row>
        <row r="1557">
          <cell r="C1557"/>
          <cell r="D1557"/>
          <cell r="E1557"/>
          <cell r="F1557"/>
          <cell r="G1557"/>
          <cell r="H1557"/>
          <cell r="I1557"/>
          <cell r="J1557"/>
          <cell r="K1557"/>
          <cell r="L1557"/>
        </row>
        <row r="1558">
          <cell r="C1558"/>
          <cell r="D1558"/>
          <cell r="E1558"/>
          <cell r="F1558"/>
          <cell r="G1558"/>
          <cell r="H1558"/>
          <cell r="I1558"/>
          <cell r="J1558"/>
          <cell r="K1558"/>
          <cell r="L1558"/>
        </row>
        <row r="1559">
          <cell r="C1559"/>
          <cell r="D1559"/>
          <cell r="E1559"/>
          <cell r="F1559"/>
          <cell r="G1559"/>
          <cell r="H1559"/>
          <cell r="I1559"/>
          <cell r="J1559"/>
          <cell r="K1559"/>
          <cell r="L1559"/>
        </row>
        <row r="1560">
          <cell r="C1560"/>
          <cell r="D1560"/>
          <cell r="E1560"/>
          <cell r="F1560"/>
          <cell r="G1560"/>
          <cell r="H1560"/>
          <cell r="I1560"/>
          <cell r="J1560"/>
          <cell r="K1560"/>
          <cell r="L1560"/>
        </row>
        <row r="1561">
          <cell r="C1561"/>
          <cell r="D1561"/>
          <cell r="E1561"/>
          <cell r="F1561"/>
          <cell r="G1561"/>
          <cell r="H1561"/>
          <cell r="I1561"/>
          <cell r="J1561"/>
          <cell r="K1561"/>
          <cell r="L1561"/>
        </row>
        <row r="1562">
          <cell r="C1562"/>
          <cell r="D1562"/>
          <cell r="E1562"/>
          <cell r="F1562"/>
          <cell r="G1562"/>
          <cell r="H1562"/>
          <cell r="I1562"/>
          <cell r="J1562"/>
          <cell r="K1562"/>
          <cell r="L1562"/>
        </row>
        <row r="1563">
          <cell r="C1563"/>
          <cell r="D1563"/>
          <cell r="E1563"/>
          <cell r="F1563"/>
          <cell r="G1563"/>
          <cell r="H1563"/>
          <cell r="I1563"/>
          <cell r="J1563"/>
          <cell r="K1563"/>
          <cell r="L1563"/>
        </row>
        <row r="1564">
          <cell r="C1564"/>
          <cell r="D1564"/>
          <cell r="E1564"/>
          <cell r="F1564"/>
          <cell r="G1564"/>
          <cell r="H1564"/>
          <cell r="I1564"/>
          <cell r="J1564"/>
          <cell r="K1564"/>
          <cell r="L1564"/>
        </row>
        <row r="1565">
          <cell r="C1565"/>
          <cell r="D1565"/>
          <cell r="E1565"/>
          <cell r="F1565"/>
          <cell r="G1565"/>
          <cell r="H1565"/>
          <cell r="I1565"/>
          <cell r="J1565"/>
          <cell r="K1565"/>
          <cell r="L1565"/>
        </row>
        <row r="1566">
          <cell r="C1566"/>
          <cell r="D1566"/>
          <cell r="E1566"/>
          <cell r="F1566"/>
          <cell r="G1566"/>
          <cell r="H1566"/>
          <cell r="I1566"/>
          <cell r="J1566"/>
          <cell r="K1566"/>
          <cell r="L1566"/>
        </row>
        <row r="1567">
          <cell r="C1567"/>
          <cell r="D1567"/>
          <cell r="E1567"/>
          <cell r="F1567"/>
          <cell r="G1567"/>
          <cell r="H1567"/>
          <cell r="I1567"/>
          <cell r="J1567"/>
          <cell r="K1567"/>
          <cell r="L1567"/>
        </row>
        <row r="1568">
          <cell r="C1568"/>
          <cell r="D1568"/>
          <cell r="E1568"/>
          <cell r="F1568"/>
          <cell r="G1568"/>
          <cell r="H1568"/>
          <cell r="I1568"/>
          <cell r="J1568"/>
          <cell r="K1568"/>
          <cell r="L1568"/>
        </row>
        <row r="1569">
          <cell r="C1569"/>
          <cell r="D1569"/>
          <cell r="E1569"/>
          <cell r="F1569"/>
          <cell r="G1569"/>
          <cell r="H1569"/>
          <cell r="I1569"/>
          <cell r="J1569"/>
          <cell r="K1569"/>
          <cell r="L1569"/>
        </row>
        <row r="1570">
          <cell r="C1570"/>
          <cell r="D1570"/>
          <cell r="E1570"/>
          <cell r="F1570"/>
          <cell r="G1570"/>
          <cell r="H1570"/>
          <cell r="I1570"/>
          <cell r="J1570"/>
          <cell r="K1570"/>
          <cell r="L1570"/>
        </row>
        <row r="1571">
          <cell r="C1571"/>
          <cell r="D1571"/>
          <cell r="E1571"/>
          <cell r="F1571"/>
          <cell r="G1571"/>
          <cell r="H1571"/>
          <cell r="I1571"/>
          <cell r="J1571"/>
          <cell r="K1571"/>
          <cell r="L1571"/>
        </row>
        <row r="1572">
          <cell r="C1572"/>
          <cell r="D1572"/>
          <cell r="E1572"/>
          <cell r="F1572"/>
          <cell r="G1572"/>
          <cell r="H1572"/>
          <cell r="I1572"/>
          <cell r="J1572"/>
          <cell r="K1572"/>
          <cell r="L1572"/>
        </row>
        <row r="1573">
          <cell r="C1573"/>
          <cell r="D1573"/>
          <cell r="E1573"/>
          <cell r="F1573"/>
          <cell r="G1573"/>
          <cell r="H1573"/>
          <cell r="I1573"/>
          <cell r="J1573"/>
          <cell r="K1573"/>
          <cell r="L1573"/>
        </row>
        <row r="1574">
          <cell r="C1574"/>
          <cell r="D1574"/>
          <cell r="E1574"/>
          <cell r="F1574"/>
          <cell r="G1574"/>
          <cell r="H1574"/>
          <cell r="I1574"/>
          <cell r="J1574"/>
          <cell r="K1574"/>
          <cell r="L1574"/>
        </row>
        <row r="1575">
          <cell r="C1575"/>
          <cell r="D1575"/>
          <cell r="E1575"/>
          <cell r="F1575"/>
          <cell r="G1575"/>
          <cell r="H1575"/>
          <cell r="I1575"/>
          <cell r="J1575"/>
          <cell r="K1575"/>
          <cell r="L1575"/>
        </row>
        <row r="1576">
          <cell r="C1576"/>
          <cell r="D1576"/>
          <cell r="E1576"/>
          <cell r="F1576"/>
          <cell r="G1576"/>
          <cell r="H1576"/>
          <cell r="I1576"/>
          <cell r="J1576"/>
          <cell r="K1576"/>
          <cell r="L1576"/>
        </row>
        <row r="1577">
          <cell r="C1577"/>
          <cell r="D1577"/>
          <cell r="E1577"/>
          <cell r="F1577"/>
          <cell r="G1577"/>
          <cell r="H1577"/>
          <cell r="I1577"/>
          <cell r="J1577"/>
          <cell r="K1577"/>
          <cell r="L1577"/>
        </row>
        <row r="1578">
          <cell r="C1578"/>
          <cell r="D1578"/>
          <cell r="E1578"/>
          <cell r="F1578"/>
          <cell r="G1578"/>
          <cell r="H1578"/>
          <cell r="I1578"/>
          <cell r="J1578"/>
          <cell r="K1578"/>
          <cell r="L1578"/>
        </row>
        <row r="1579">
          <cell r="C1579"/>
          <cell r="D1579"/>
          <cell r="E1579"/>
          <cell r="F1579"/>
          <cell r="G1579"/>
          <cell r="H1579"/>
          <cell r="I1579"/>
          <cell r="J1579"/>
          <cell r="K1579"/>
          <cell r="L1579"/>
        </row>
        <row r="1580">
          <cell r="C1580"/>
          <cell r="D1580"/>
          <cell r="E1580"/>
          <cell r="F1580"/>
          <cell r="G1580"/>
          <cell r="H1580"/>
          <cell r="I1580"/>
          <cell r="J1580"/>
          <cell r="K1580"/>
          <cell r="L1580"/>
        </row>
        <row r="1581">
          <cell r="C1581"/>
          <cell r="D1581"/>
          <cell r="E1581"/>
          <cell r="F1581"/>
          <cell r="G1581"/>
          <cell r="H1581"/>
          <cell r="I1581"/>
          <cell r="J1581"/>
          <cell r="K1581"/>
          <cell r="L1581"/>
        </row>
        <row r="1582">
          <cell r="C1582"/>
          <cell r="D1582"/>
          <cell r="E1582"/>
          <cell r="F1582"/>
          <cell r="G1582"/>
          <cell r="H1582"/>
          <cell r="I1582"/>
          <cell r="J1582"/>
          <cell r="K1582"/>
          <cell r="L1582"/>
        </row>
        <row r="1583">
          <cell r="C1583"/>
          <cell r="D1583"/>
          <cell r="E1583"/>
          <cell r="F1583"/>
          <cell r="G1583"/>
          <cell r="H1583"/>
          <cell r="I1583"/>
          <cell r="J1583"/>
          <cell r="K1583"/>
          <cell r="L1583"/>
        </row>
        <row r="1584">
          <cell r="C1584"/>
          <cell r="D1584"/>
          <cell r="E1584"/>
          <cell r="F1584"/>
          <cell r="G1584"/>
          <cell r="H1584"/>
          <cell r="I1584"/>
          <cell r="J1584"/>
          <cell r="K1584"/>
          <cell r="L1584"/>
        </row>
        <row r="1585">
          <cell r="C1585"/>
          <cell r="D1585"/>
          <cell r="E1585"/>
          <cell r="F1585"/>
          <cell r="G1585"/>
          <cell r="H1585"/>
          <cell r="I1585"/>
          <cell r="J1585"/>
          <cell r="K1585"/>
          <cell r="L1585"/>
        </row>
        <row r="1586">
          <cell r="C1586"/>
          <cell r="D1586"/>
          <cell r="E1586"/>
          <cell r="F1586"/>
          <cell r="G1586"/>
          <cell r="H1586"/>
          <cell r="I1586"/>
          <cell r="J1586"/>
          <cell r="K1586"/>
          <cell r="L1586"/>
        </row>
        <row r="1587">
          <cell r="C1587"/>
          <cell r="D1587"/>
          <cell r="E1587"/>
          <cell r="F1587"/>
          <cell r="G1587"/>
          <cell r="H1587"/>
          <cell r="I1587"/>
          <cell r="J1587"/>
          <cell r="K1587"/>
          <cell r="L1587"/>
        </row>
        <row r="1588">
          <cell r="C1588"/>
          <cell r="D1588"/>
          <cell r="E1588"/>
          <cell r="F1588"/>
          <cell r="G1588"/>
          <cell r="H1588"/>
          <cell r="I1588"/>
          <cell r="J1588"/>
          <cell r="K1588"/>
          <cell r="L1588"/>
        </row>
        <row r="1589">
          <cell r="C1589"/>
          <cell r="D1589"/>
          <cell r="E1589"/>
          <cell r="F1589"/>
          <cell r="G1589"/>
          <cell r="H1589"/>
          <cell r="I1589"/>
          <cell r="J1589"/>
          <cell r="K1589"/>
          <cell r="L1589"/>
        </row>
        <row r="1590">
          <cell r="C1590"/>
          <cell r="D1590"/>
          <cell r="E1590"/>
          <cell r="F1590"/>
          <cell r="G1590"/>
          <cell r="H1590"/>
          <cell r="I1590"/>
          <cell r="J1590"/>
          <cell r="K1590"/>
          <cell r="L1590"/>
        </row>
        <row r="1591">
          <cell r="C1591"/>
          <cell r="D1591"/>
          <cell r="E1591"/>
          <cell r="F1591"/>
          <cell r="G1591"/>
          <cell r="H1591"/>
          <cell r="I1591"/>
          <cell r="J1591"/>
          <cell r="K1591"/>
          <cell r="L1591"/>
        </row>
        <row r="1592">
          <cell r="C1592"/>
          <cell r="D1592"/>
          <cell r="E1592"/>
          <cell r="F1592"/>
          <cell r="G1592"/>
          <cell r="H1592"/>
          <cell r="I1592"/>
          <cell r="J1592"/>
          <cell r="K1592"/>
          <cell r="L1592"/>
        </row>
        <row r="1593">
          <cell r="C1593"/>
          <cell r="D1593"/>
          <cell r="E1593"/>
          <cell r="F1593"/>
          <cell r="G1593"/>
          <cell r="H1593"/>
          <cell r="I1593"/>
          <cell r="J1593"/>
          <cell r="K1593"/>
          <cell r="L1593"/>
        </row>
        <row r="1594">
          <cell r="C1594"/>
          <cell r="D1594"/>
          <cell r="E1594"/>
          <cell r="F1594"/>
          <cell r="G1594"/>
          <cell r="H1594"/>
          <cell r="I1594"/>
          <cell r="J1594"/>
          <cell r="K1594"/>
          <cell r="L1594"/>
        </row>
        <row r="1595">
          <cell r="C1595"/>
          <cell r="D1595"/>
          <cell r="E1595"/>
          <cell r="F1595"/>
          <cell r="G1595"/>
          <cell r="H1595"/>
          <cell r="I1595"/>
          <cell r="J1595"/>
          <cell r="K1595"/>
          <cell r="L1595"/>
        </row>
        <row r="1596">
          <cell r="C1596"/>
          <cell r="D1596"/>
          <cell r="E1596"/>
          <cell r="F1596"/>
          <cell r="G1596"/>
          <cell r="H1596"/>
          <cell r="I1596"/>
          <cell r="J1596"/>
          <cell r="K1596"/>
          <cell r="L1596"/>
        </row>
        <row r="1597">
          <cell r="C1597"/>
          <cell r="D1597"/>
          <cell r="E1597"/>
          <cell r="F1597"/>
          <cell r="G1597"/>
          <cell r="H1597"/>
          <cell r="I1597"/>
          <cell r="J1597"/>
          <cell r="K1597"/>
          <cell r="L1597"/>
        </row>
        <row r="1598">
          <cell r="C1598"/>
          <cell r="D1598"/>
          <cell r="E1598"/>
          <cell r="F1598"/>
          <cell r="G1598"/>
          <cell r="H1598"/>
          <cell r="I1598"/>
          <cell r="J1598"/>
          <cell r="K1598"/>
          <cell r="L1598"/>
        </row>
        <row r="1599">
          <cell r="C1599"/>
          <cell r="D1599"/>
          <cell r="E1599"/>
          <cell r="F1599"/>
          <cell r="G1599"/>
          <cell r="H1599"/>
          <cell r="I1599"/>
          <cell r="J1599"/>
          <cell r="K1599"/>
          <cell r="L1599"/>
        </row>
        <row r="1600">
          <cell r="C1600"/>
          <cell r="D1600"/>
          <cell r="E1600"/>
          <cell r="F1600"/>
          <cell r="G1600"/>
          <cell r="H1600"/>
          <cell r="I1600"/>
          <cell r="J1600"/>
          <cell r="K1600"/>
          <cell r="L1600"/>
        </row>
        <row r="1601">
          <cell r="C1601"/>
          <cell r="D1601"/>
          <cell r="E1601"/>
          <cell r="F1601"/>
          <cell r="G1601"/>
          <cell r="H1601"/>
          <cell r="I1601"/>
          <cell r="J1601"/>
          <cell r="K1601"/>
          <cell r="L1601"/>
        </row>
        <row r="1602">
          <cell r="C1602"/>
          <cell r="D1602"/>
          <cell r="E1602"/>
          <cell r="F1602"/>
          <cell r="G1602"/>
          <cell r="H1602"/>
          <cell r="I1602"/>
          <cell r="J1602"/>
          <cell r="K1602"/>
          <cell r="L1602"/>
        </row>
        <row r="1603">
          <cell r="C1603"/>
          <cell r="D1603"/>
          <cell r="E1603"/>
          <cell r="F1603"/>
          <cell r="G1603"/>
          <cell r="H1603"/>
          <cell r="I1603"/>
          <cell r="J1603"/>
          <cell r="K1603"/>
          <cell r="L1603"/>
        </row>
        <row r="1604">
          <cell r="C1604"/>
          <cell r="D1604"/>
          <cell r="E1604"/>
          <cell r="F1604"/>
          <cell r="G1604"/>
          <cell r="H1604"/>
          <cell r="I1604"/>
          <cell r="J1604"/>
          <cell r="K1604"/>
          <cell r="L1604"/>
        </row>
        <row r="1605">
          <cell r="C1605"/>
          <cell r="D1605"/>
          <cell r="E1605"/>
          <cell r="F1605"/>
          <cell r="G1605"/>
          <cell r="H1605"/>
          <cell r="I1605"/>
          <cell r="J1605"/>
          <cell r="K1605"/>
          <cell r="L1605"/>
        </row>
        <row r="1606">
          <cell r="C1606"/>
          <cell r="D1606"/>
          <cell r="E1606"/>
          <cell r="F1606"/>
          <cell r="G1606"/>
          <cell r="H1606"/>
          <cell r="I1606"/>
          <cell r="J1606"/>
          <cell r="K1606"/>
          <cell r="L1606"/>
        </row>
        <row r="1607">
          <cell r="C1607"/>
          <cell r="D1607"/>
          <cell r="E1607"/>
          <cell r="F1607"/>
          <cell r="G1607"/>
          <cell r="H1607"/>
          <cell r="I1607"/>
          <cell r="J1607"/>
          <cell r="K1607"/>
          <cell r="L1607"/>
        </row>
        <row r="1608">
          <cell r="C1608"/>
          <cell r="D1608"/>
          <cell r="E1608"/>
          <cell r="F1608"/>
          <cell r="G1608"/>
          <cell r="H1608"/>
          <cell r="I1608"/>
          <cell r="J1608"/>
          <cell r="K1608"/>
          <cell r="L1608"/>
        </row>
        <row r="1609">
          <cell r="C1609"/>
          <cell r="D1609"/>
          <cell r="E1609"/>
          <cell r="F1609"/>
          <cell r="G1609"/>
          <cell r="H1609"/>
          <cell r="I1609"/>
          <cell r="J1609"/>
          <cell r="K1609"/>
          <cell r="L1609"/>
        </row>
        <row r="1610">
          <cell r="C1610"/>
          <cell r="D1610"/>
          <cell r="E1610"/>
          <cell r="F1610"/>
          <cell r="G1610"/>
          <cell r="H1610"/>
          <cell r="I1610"/>
          <cell r="J1610"/>
          <cell r="K1610"/>
          <cell r="L1610"/>
        </row>
        <row r="1611">
          <cell r="C1611"/>
          <cell r="D1611"/>
          <cell r="E1611"/>
          <cell r="F1611"/>
          <cell r="G1611"/>
          <cell r="H1611"/>
          <cell r="I1611"/>
          <cell r="J1611"/>
          <cell r="K1611"/>
          <cell r="L1611"/>
        </row>
        <row r="1612">
          <cell r="C1612"/>
          <cell r="D1612"/>
          <cell r="E1612"/>
          <cell r="F1612"/>
          <cell r="G1612"/>
          <cell r="H1612"/>
          <cell r="I1612"/>
          <cell r="J1612"/>
          <cell r="K1612"/>
          <cell r="L1612"/>
        </row>
        <row r="1613">
          <cell r="C1613"/>
          <cell r="D1613"/>
          <cell r="E1613"/>
          <cell r="F1613"/>
          <cell r="G1613"/>
          <cell r="H1613"/>
          <cell r="I1613"/>
          <cell r="J1613"/>
          <cell r="K1613"/>
          <cell r="L1613"/>
        </row>
        <row r="1614">
          <cell r="C1614"/>
          <cell r="D1614"/>
          <cell r="E1614"/>
          <cell r="F1614"/>
          <cell r="G1614"/>
          <cell r="H1614"/>
          <cell r="I1614"/>
          <cell r="J1614"/>
          <cell r="K1614"/>
          <cell r="L1614"/>
        </row>
        <row r="1615">
          <cell r="C1615"/>
          <cell r="D1615"/>
          <cell r="E1615"/>
          <cell r="F1615"/>
          <cell r="G1615"/>
          <cell r="H1615"/>
          <cell r="I1615"/>
          <cell r="J1615"/>
          <cell r="K1615"/>
          <cell r="L1615"/>
        </row>
        <row r="1616">
          <cell r="C1616"/>
          <cell r="D1616"/>
          <cell r="E1616"/>
          <cell r="F1616"/>
          <cell r="G1616"/>
          <cell r="H1616"/>
          <cell r="I1616"/>
          <cell r="J1616"/>
          <cell r="K1616"/>
          <cell r="L1616"/>
        </row>
        <row r="1617">
          <cell r="C1617"/>
          <cell r="D1617"/>
          <cell r="E1617"/>
          <cell r="F1617"/>
          <cell r="G1617"/>
          <cell r="H1617"/>
          <cell r="I1617"/>
          <cell r="J1617"/>
          <cell r="K1617"/>
          <cell r="L1617"/>
        </row>
        <row r="1618">
          <cell r="C1618"/>
          <cell r="D1618"/>
          <cell r="E1618"/>
          <cell r="F1618"/>
          <cell r="G1618"/>
          <cell r="H1618"/>
          <cell r="I1618"/>
          <cell r="J1618"/>
          <cell r="K1618"/>
          <cell r="L1618"/>
        </row>
        <row r="1619">
          <cell r="C1619"/>
          <cell r="D1619"/>
          <cell r="E1619"/>
          <cell r="F1619"/>
          <cell r="G1619"/>
          <cell r="H1619"/>
          <cell r="I1619"/>
          <cell r="J1619"/>
          <cell r="K1619"/>
          <cell r="L1619"/>
        </row>
        <row r="1620">
          <cell r="C1620"/>
          <cell r="D1620"/>
          <cell r="E1620"/>
          <cell r="F1620"/>
          <cell r="G1620"/>
          <cell r="H1620"/>
          <cell r="I1620"/>
          <cell r="J1620"/>
          <cell r="K1620"/>
          <cell r="L1620"/>
        </row>
        <row r="1621">
          <cell r="C1621"/>
          <cell r="D1621"/>
          <cell r="E1621"/>
          <cell r="F1621"/>
          <cell r="G1621"/>
          <cell r="H1621"/>
          <cell r="I1621"/>
          <cell r="J1621"/>
          <cell r="K1621"/>
          <cell r="L1621"/>
        </row>
        <row r="1622">
          <cell r="C1622"/>
          <cell r="D1622"/>
          <cell r="E1622"/>
          <cell r="F1622"/>
          <cell r="G1622"/>
          <cell r="H1622"/>
          <cell r="I1622"/>
          <cell r="J1622"/>
          <cell r="K1622"/>
          <cell r="L1622"/>
        </row>
        <row r="1623">
          <cell r="C1623"/>
          <cell r="D1623"/>
          <cell r="E1623"/>
          <cell r="F1623"/>
          <cell r="G1623"/>
          <cell r="H1623"/>
          <cell r="I1623"/>
          <cell r="J1623"/>
          <cell r="K1623"/>
          <cell r="L1623"/>
        </row>
        <row r="1624">
          <cell r="C1624"/>
          <cell r="D1624"/>
          <cell r="E1624"/>
          <cell r="F1624"/>
          <cell r="G1624"/>
          <cell r="H1624"/>
          <cell r="I1624"/>
          <cell r="J1624"/>
          <cell r="K1624"/>
          <cell r="L1624"/>
        </row>
        <row r="1625">
          <cell r="C1625"/>
          <cell r="D1625"/>
          <cell r="E1625"/>
          <cell r="F1625"/>
          <cell r="G1625"/>
          <cell r="H1625"/>
          <cell r="I1625"/>
          <cell r="J1625"/>
          <cell r="K1625"/>
          <cell r="L1625"/>
        </row>
        <row r="1626">
          <cell r="C1626"/>
          <cell r="D1626"/>
          <cell r="E1626"/>
          <cell r="F1626"/>
          <cell r="G1626"/>
          <cell r="H1626"/>
          <cell r="I1626"/>
          <cell r="J1626"/>
          <cell r="K1626"/>
          <cell r="L1626"/>
        </row>
        <row r="1627">
          <cell r="C1627"/>
          <cell r="D1627"/>
          <cell r="E1627"/>
          <cell r="F1627"/>
          <cell r="G1627"/>
          <cell r="H1627"/>
          <cell r="I1627"/>
          <cell r="J1627"/>
          <cell r="K1627"/>
          <cell r="L1627"/>
        </row>
        <row r="1628">
          <cell r="C1628"/>
          <cell r="D1628"/>
          <cell r="E1628"/>
          <cell r="F1628"/>
          <cell r="G1628"/>
          <cell r="H1628"/>
          <cell r="I1628"/>
          <cell r="J1628"/>
          <cell r="K1628"/>
          <cell r="L1628"/>
        </row>
        <row r="1629">
          <cell r="C1629"/>
          <cell r="D1629"/>
          <cell r="E1629"/>
          <cell r="F1629"/>
          <cell r="G1629"/>
          <cell r="H1629"/>
          <cell r="I1629"/>
          <cell r="J1629"/>
          <cell r="K1629"/>
          <cell r="L1629"/>
        </row>
        <row r="1630">
          <cell r="C1630"/>
          <cell r="D1630"/>
          <cell r="E1630"/>
          <cell r="F1630"/>
          <cell r="G1630"/>
          <cell r="H1630"/>
          <cell r="I1630"/>
          <cell r="J1630"/>
          <cell r="K1630"/>
          <cell r="L1630"/>
        </row>
        <row r="1631">
          <cell r="C1631"/>
          <cell r="D1631"/>
          <cell r="E1631"/>
          <cell r="F1631"/>
          <cell r="G1631"/>
          <cell r="H1631"/>
          <cell r="I1631"/>
          <cell r="J1631"/>
          <cell r="K1631"/>
          <cell r="L1631"/>
        </row>
        <row r="1632">
          <cell r="C1632"/>
          <cell r="D1632"/>
          <cell r="E1632"/>
          <cell r="F1632"/>
          <cell r="G1632"/>
          <cell r="H1632"/>
          <cell r="I1632"/>
          <cell r="J1632"/>
          <cell r="K1632"/>
          <cell r="L1632"/>
        </row>
        <row r="1633">
          <cell r="C1633"/>
          <cell r="D1633"/>
          <cell r="E1633"/>
          <cell r="F1633"/>
          <cell r="G1633"/>
          <cell r="H1633"/>
          <cell r="I1633"/>
          <cell r="J1633"/>
          <cell r="K1633"/>
          <cell r="L1633"/>
        </row>
        <row r="1634">
          <cell r="C1634"/>
          <cell r="D1634"/>
          <cell r="E1634"/>
          <cell r="F1634"/>
          <cell r="G1634"/>
          <cell r="H1634"/>
          <cell r="I1634"/>
          <cell r="J1634"/>
          <cell r="K1634"/>
          <cell r="L1634"/>
        </row>
        <row r="1635">
          <cell r="C1635"/>
          <cell r="D1635"/>
          <cell r="E1635"/>
          <cell r="F1635"/>
          <cell r="G1635"/>
          <cell r="H1635"/>
          <cell r="I1635"/>
          <cell r="J1635"/>
          <cell r="K1635"/>
          <cell r="L1635"/>
        </row>
        <row r="1636">
          <cell r="C1636"/>
          <cell r="D1636"/>
          <cell r="E1636"/>
          <cell r="F1636"/>
          <cell r="G1636"/>
          <cell r="H1636"/>
          <cell r="I1636"/>
          <cell r="J1636"/>
          <cell r="K1636"/>
          <cell r="L1636"/>
        </row>
        <row r="1637">
          <cell r="C1637"/>
          <cell r="D1637"/>
          <cell r="E1637"/>
          <cell r="F1637"/>
          <cell r="G1637"/>
          <cell r="H1637"/>
          <cell r="I1637"/>
          <cell r="J1637"/>
          <cell r="K1637"/>
          <cell r="L1637"/>
        </row>
        <row r="1638">
          <cell r="C1638"/>
          <cell r="D1638"/>
          <cell r="E1638"/>
          <cell r="F1638"/>
          <cell r="G1638"/>
          <cell r="H1638"/>
          <cell r="I1638"/>
          <cell r="J1638"/>
          <cell r="K1638"/>
          <cell r="L1638"/>
        </row>
        <row r="1639">
          <cell r="C1639"/>
          <cell r="D1639"/>
          <cell r="E1639"/>
          <cell r="F1639"/>
          <cell r="G1639"/>
          <cell r="H1639"/>
          <cell r="I1639"/>
          <cell r="J1639"/>
          <cell r="K1639"/>
          <cell r="L1639"/>
        </row>
        <row r="1640">
          <cell r="C1640"/>
          <cell r="D1640"/>
          <cell r="E1640"/>
          <cell r="F1640"/>
          <cell r="G1640"/>
          <cell r="H1640"/>
          <cell r="I1640"/>
          <cell r="J1640"/>
          <cell r="K1640"/>
          <cell r="L1640"/>
        </row>
        <row r="1641">
          <cell r="C1641"/>
          <cell r="D1641"/>
          <cell r="E1641"/>
          <cell r="F1641"/>
          <cell r="G1641"/>
          <cell r="H1641"/>
          <cell r="I1641"/>
          <cell r="J1641"/>
          <cell r="K1641"/>
          <cell r="L1641"/>
        </row>
        <row r="1642">
          <cell r="C1642"/>
          <cell r="D1642"/>
          <cell r="E1642"/>
          <cell r="F1642"/>
          <cell r="G1642"/>
          <cell r="H1642"/>
          <cell r="I1642"/>
          <cell r="J1642"/>
          <cell r="K1642"/>
          <cell r="L1642"/>
        </row>
        <row r="1643">
          <cell r="C1643"/>
          <cell r="D1643"/>
          <cell r="E1643"/>
          <cell r="F1643"/>
          <cell r="G1643"/>
          <cell r="H1643"/>
          <cell r="I1643"/>
          <cell r="J1643"/>
          <cell r="K1643"/>
          <cell r="L1643"/>
        </row>
        <row r="1644">
          <cell r="C1644"/>
          <cell r="D1644"/>
          <cell r="E1644"/>
          <cell r="F1644"/>
          <cell r="G1644"/>
          <cell r="H1644"/>
          <cell r="I1644"/>
          <cell r="J1644"/>
          <cell r="K1644"/>
          <cell r="L1644"/>
        </row>
        <row r="1645">
          <cell r="C1645"/>
          <cell r="D1645"/>
          <cell r="E1645"/>
          <cell r="F1645"/>
          <cell r="G1645"/>
          <cell r="H1645"/>
          <cell r="I1645"/>
          <cell r="J1645"/>
          <cell r="K1645"/>
          <cell r="L1645"/>
        </row>
        <row r="1646">
          <cell r="C1646"/>
          <cell r="D1646"/>
          <cell r="E1646"/>
          <cell r="F1646"/>
          <cell r="G1646"/>
          <cell r="H1646"/>
          <cell r="I1646"/>
          <cell r="J1646"/>
          <cell r="K1646"/>
          <cell r="L1646"/>
        </row>
        <row r="1647">
          <cell r="C1647"/>
          <cell r="D1647"/>
          <cell r="E1647"/>
          <cell r="F1647"/>
          <cell r="G1647"/>
          <cell r="H1647"/>
          <cell r="I1647"/>
          <cell r="J1647"/>
          <cell r="K1647"/>
          <cell r="L1647"/>
        </row>
        <row r="1648">
          <cell r="C1648"/>
          <cell r="D1648"/>
          <cell r="E1648"/>
          <cell r="F1648"/>
          <cell r="G1648"/>
          <cell r="H1648"/>
          <cell r="I1648"/>
          <cell r="J1648"/>
          <cell r="K1648"/>
          <cell r="L1648"/>
        </row>
        <row r="1649">
          <cell r="C1649"/>
          <cell r="D1649"/>
          <cell r="E1649"/>
          <cell r="F1649"/>
          <cell r="G1649"/>
          <cell r="H1649"/>
          <cell r="I1649"/>
          <cell r="J1649"/>
          <cell r="K1649"/>
          <cell r="L1649"/>
        </row>
        <row r="1650">
          <cell r="C1650"/>
          <cell r="D1650"/>
          <cell r="E1650"/>
          <cell r="F1650"/>
          <cell r="G1650"/>
          <cell r="H1650"/>
          <cell r="I1650"/>
          <cell r="J1650"/>
          <cell r="K1650"/>
          <cell r="L1650"/>
        </row>
        <row r="1651">
          <cell r="C1651"/>
          <cell r="D1651"/>
          <cell r="E1651"/>
          <cell r="F1651"/>
          <cell r="G1651"/>
          <cell r="H1651"/>
          <cell r="I1651"/>
          <cell r="J1651"/>
          <cell r="K1651"/>
          <cell r="L1651"/>
        </row>
        <row r="1652">
          <cell r="C1652"/>
          <cell r="D1652"/>
          <cell r="E1652"/>
          <cell r="F1652"/>
          <cell r="G1652"/>
          <cell r="H1652"/>
          <cell r="I1652"/>
          <cell r="J1652"/>
          <cell r="K1652"/>
          <cell r="L1652"/>
        </row>
        <row r="1653">
          <cell r="C1653"/>
          <cell r="D1653"/>
          <cell r="E1653"/>
          <cell r="F1653"/>
          <cell r="G1653"/>
          <cell r="H1653"/>
          <cell r="I1653"/>
          <cell r="J1653"/>
          <cell r="K1653"/>
          <cell r="L1653"/>
        </row>
        <row r="1654">
          <cell r="C1654"/>
          <cell r="D1654"/>
          <cell r="E1654"/>
          <cell r="F1654"/>
          <cell r="G1654"/>
          <cell r="H1654"/>
          <cell r="I1654"/>
          <cell r="J1654"/>
          <cell r="K1654"/>
          <cell r="L1654"/>
        </row>
        <row r="1655">
          <cell r="C1655"/>
          <cell r="D1655"/>
          <cell r="E1655"/>
          <cell r="F1655"/>
          <cell r="G1655"/>
          <cell r="H1655"/>
          <cell r="I1655"/>
          <cell r="J1655"/>
          <cell r="K1655"/>
          <cell r="L1655"/>
        </row>
        <row r="1656">
          <cell r="C1656"/>
          <cell r="D1656"/>
          <cell r="E1656"/>
          <cell r="F1656"/>
          <cell r="G1656"/>
          <cell r="H1656"/>
          <cell r="I1656"/>
          <cell r="J1656"/>
          <cell r="K1656"/>
          <cell r="L1656"/>
        </row>
        <row r="1657">
          <cell r="C1657"/>
          <cell r="D1657"/>
          <cell r="E1657"/>
          <cell r="F1657"/>
          <cell r="G1657"/>
          <cell r="H1657"/>
          <cell r="I1657"/>
          <cell r="J1657"/>
          <cell r="K1657"/>
          <cell r="L1657"/>
        </row>
        <row r="1658">
          <cell r="C1658"/>
          <cell r="D1658"/>
          <cell r="E1658"/>
          <cell r="F1658"/>
          <cell r="G1658"/>
          <cell r="H1658"/>
          <cell r="I1658"/>
          <cell r="J1658"/>
          <cell r="K1658"/>
          <cell r="L1658"/>
        </row>
        <row r="1659">
          <cell r="C1659"/>
          <cell r="D1659"/>
          <cell r="E1659"/>
          <cell r="F1659"/>
          <cell r="G1659"/>
          <cell r="H1659"/>
          <cell r="I1659"/>
          <cell r="J1659"/>
          <cell r="K1659"/>
          <cell r="L1659"/>
        </row>
        <row r="1660">
          <cell r="C1660"/>
          <cell r="D1660"/>
          <cell r="E1660"/>
          <cell r="F1660"/>
          <cell r="G1660"/>
          <cell r="H1660"/>
          <cell r="I1660"/>
          <cell r="J1660"/>
          <cell r="K1660"/>
          <cell r="L1660"/>
        </row>
        <row r="1661">
          <cell r="C1661"/>
          <cell r="D1661"/>
          <cell r="E1661"/>
          <cell r="F1661"/>
          <cell r="G1661"/>
          <cell r="H1661"/>
          <cell r="I1661"/>
          <cell r="J1661"/>
          <cell r="K1661"/>
          <cell r="L1661"/>
        </row>
        <row r="1662">
          <cell r="C1662"/>
          <cell r="D1662"/>
          <cell r="E1662"/>
          <cell r="F1662"/>
          <cell r="G1662"/>
          <cell r="H1662"/>
          <cell r="I1662"/>
          <cell r="J1662"/>
          <cell r="K1662"/>
          <cell r="L1662"/>
        </row>
        <row r="1663">
          <cell r="C1663"/>
          <cell r="D1663"/>
          <cell r="E1663"/>
          <cell r="F1663"/>
          <cell r="G1663"/>
          <cell r="H1663"/>
          <cell r="I1663"/>
          <cell r="J1663"/>
          <cell r="K1663"/>
          <cell r="L1663"/>
        </row>
        <row r="1664">
          <cell r="C1664"/>
          <cell r="D1664"/>
          <cell r="E1664"/>
          <cell r="F1664"/>
          <cell r="G1664"/>
          <cell r="H1664"/>
          <cell r="I1664"/>
          <cell r="J1664"/>
          <cell r="K1664"/>
          <cell r="L1664"/>
        </row>
        <row r="1665">
          <cell r="C1665"/>
          <cell r="D1665"/>
          <cell r="E1665"/>
          <cell r="F1665"/>
          <cell r="G1665"/>
          <cell r="H1665"/>
          <cell r="I1665"/>
          <cell r="J1665"/>
          <cell r="K1665"/>
          <cell r="L1665"/>
        </row>
        <row r="1666">
          <cell r="C1666"/>
          <cell r="D1666"/>
          <cell r="E1666"/>
          <cell r="F1666"/>
          <cell r="G1666"/>
          <cell r="H1666"/>
          <cell r="I1666"/>
          <cell r="J1666"/>
          <cell r="K1666"/>
          <cell r="L1666"/>
        </row>
        <row r="1667">
          <cell r="C1667"/>
          <cell r="D1667"/>
          <cell r="E1667"/>
          <cell r="F1667"/>
          <cell r="G1667"/>
          <cell r="H1667"/>
          <cell r="I1667"/>
          <cell r="J1667"/>
          <cell r="K1667"/>
          <cell r="L1667"/>
        </row>
        <row r="1668">
          <cell r="C1668"/>
          <cell r="D1668"/>
          <cell r="E1668"/>
          <cell r="F1668"/>
          <cell r="G1668"/>
          <cell r="H1668"/>
          <cell r="I1668"/>
          <cell r="J1668"/>
          <cell r="K1668"/>
          <cell r="L1668"/>
        </row>
        <row r="1669">
          <cell r="C1669"/>
          <cell r="D1669"/>
          <cell r="E1669"/>
          <cell r="F1669"/>
          <cell r="G1669"/>
          <cell r="H1669"/>
          <cell r="I1669"/>
          <cell r="J1669"/>
          <cell r="K1669"/>
          <cell r="L1669"/>
        </row>
        <row r="1670">
          <cell r="C1670"/>
          <cell r="D1670"/>
          <cell r="E1670"/>
          <cell r="F1670"/>
          <cell r="G1670"/>
          <cell r="H1670"/>
          <cell r="I1670"/>
          <cell r="J1670"/>
          <cell r="K1670"/>
          <cell r="L1670"/>
        </row>
        <row r="1671">
          <cell r="C1671"/>
          <cell r="D1671"/>
          <cell r="E1671"/>
          <cell r="F1671"/>
          <cell r="G1671"/>
          <cell r="H1671"/>
          <cell r="I1671"/>
          <cell r="J1671"/>
          <cell r="K1671"/>
          <cell r="L1671"/>
        </row>
        <row r="1672">
          <cell r="C1672"/>
          <cell r="D1672"/>
          <cell r="E1672"/>
          <cell r="F1672"/>
          <cell r="G1672"/>
          <cell r="H1672"/>
          <cell r="I1672"/>
          <cell r="J1672"/>
          <cell r="K1672"/>
          <cell r="L1672"/>
        </row>
        <row r="1673">
          <cell r="C1673"/>
          <cell r="D1673"/>
          <cell r="E1673"/>
          <cell r="F1673"/>
          <cell r="G1673"/>
          <cell r="H1673"/>
          <cell r="I1673"/>
          <cell r="J1673"/>
          <cell r="K1673"/>
          <cell r="L1673"/>
        </row>
        <row r="1674">
          <cell r="C1674"/>
          <cell r="D1674"/>
          <cell r="E1674"/>
          <cell r="F1674"/>
          <cell r="G1674"/>
          <cell r="H1674"/>
          <cell r="I1674"/>
          <cell r="J1674"/>
          <cell r="K1674"/>
          <cell r="L1674"/>
        </row>
        <row r="1675">
          <cell r="C1675"/>
          <cell r="D1675"/>
          <cell r="E1675"/>
          <cell r="F1675"/>
          <cell r="G1675"/>
          <cell r="H1675"/>
          <cell r="I1675"/>
          <cell r="J1675"/>
          <cell r="K1675"/>
          <cell r="L1675"/>
        </row>
        <row r="1676">
          <cell r="C1676"/>
          <cell r="D1676"/>
          <cell r="E1676"/>
          <cell r="F1676"/>
          <cell r="G1676"/>
          <cell r="H1676"/>
          <cell r="I1676"/>
          <cell r="J1676"/>
          <cell r="K1676"/>
          <cell r="L1676"/>
        </row>
        <row r="1677">
          <cell r="C1677"/>
          <cell r="D1677"/>
          <cell r="E1677"/>
          <cell r="F1677"/>
          <cell r="G1677"/>
          <cell r="H1677"/>
          <cell r="I1677"/>
          <cell r="J1677"/>
          <cell r="K1677"/>
          <cell r="L1677"/>
        </row>
        <row r="1678">
          <cell r="C1678"/>
          <cell r="D1678"/>
          <cell r="E1678"/>
          <cell r="F1678"/>
          <cell r="G1678"/>
          <cell r="H1678"/>
          <cell r="I1678"/>
          <cell r="J1678"/>
          <cell r="K1678"/>
          <cell r="L1678"/>
        </row>
        <row r="1679">
          <cell r="C1679"/>
          <cell r="D1679"/>
          <cell r="E1679"/>
          <cell r="F1679"/>
          <cell r="G1679"/>
          <cell r="H1679"/>
          <cell r="I1679"/>
          <cell r="J1679"/>
          <cell r="K1679"/>
          <cell r="L1679"/>
        </row>
        <row r="1680">
          <cell r="C1680"/>
          <cell r="D1680"/>
          <cell r="E1680"/>
          <cell r="F1680"/>
          <cell r="G1680"/>
          <cell r="H1680"/>
          <cell r="I1680"/>
          <cell r="J1680"/>
          <cell r="K1680"/>
          <cell r="L1680"/>
        </row>
        <row r="1681">
          <cell r="C1681"/>
          <cell r="D1681"/>
          <cell r="E1681"/>
          <cell r="F1681"/>
          <cell r="G1681"/>
          <cell r="H1681"/>
          <cell r="I1681"/>
          <cell r="J1681"/>
          <cell r="K1681"/>
          <cell r="L1681"/>
        </row>
        <row r="1682">
          <cell r="C1682"/>
          <cell r="D1682"/>
          <cell r="E1682"/>
          <cell r="F1682"/>
          <cell r="G1682"/>
          <cell r="H1682"/>
          <cell r="I1682"/>
          <cell r="J1682"/>
          <cell r="K1682"/>
          <cell r="L1682"/>
        </row>
        <row r="1683">
          <cell r="C1683"/>
          <cell r="D1683"/>
          <cell r="E1683"/>
          <cell r="F1683"/>
          <cell r="G1683"/>
          <cell r="H1683"/>
          <cell r="I1683"/>
          <cell r="J1683"/>
          <cell r="K1683"/>
          <cell r="L1683"/>
        </row>
        <row r="1684">
          <cell r="C1684"/>
          <cell r="D1684"/>
          <cell r="E1684"/>
          <cell r="F1684"/>
          <cell r="G1684"/>
          <cell r="H1684"/>
          <cell r="I1684"/>
          <cell r="J1684"/>
          <cell r="K1684"/>
          <cell r="L1684"/>
        </row>
        <row r="1685">
          <cell r="C1685"/>
          <cell r="D1685"/>
          <cell r="E1685"/>
          <cell r="F1685"/>
          <cell r="G1685"/>
          <cell r="H1685"/>
          <cell r="I1685"/>
          <cell r="J1685"/>
          <cell r="K1685"/>
          <cell r="L1685"/>
        </row>
        <row r="1686">
          <cell r="C1686"/>
          <cell r="D1686"/>
          <cell r="E1686"/>
          <cell r="F1686"/>
          <cell r="G1686"/>
          <cell r="H1686"/>
          <cell r="I1686"/>
          <cell r="J1686"/>
          <cell r="K1686"/>
          <cell r="L1686"/>
        </row>
        <row r="1687">
          <cell r="C1687"/>
          <cell r="D1687"/>
          <cell r="E1687"/>
          <cell r="F1687"/>
          <cell r="G1687"/>
          <cell r="H1687"/>
          <cell r="I1687"/>
          <cell r="J1687"/>
          <cell r="K1687"/>
          <cell r="L1687"/>
        </row>
        <row r="1688">
          <cell r="C1688"/>
          <cell r="D1688"/>
          <cell r="E1688"/>
          <cell r="F1688"/>
          <cell r="G1688"/>
          <cell r="H1688"/>
          <cell r="I1688"/>
          <cell r="J1688"/>
          <cell r="K1688"/>
          <cell r="L1688"/>
        </row>
        <row r="1689">
          <cell r="C1689"/>
          <cell r="D1689"/>
          <cell r="E1689"/>
          <cell r="F1689"/>
          <cell r="G1689"/>
          <cell r="H1689"/>
          <cell r="I1689"/>
          <cell r="J1689"/>
          <cell r="K1689"/>
          <cell r="L1689"/>
        </row>
        <row r="1690">
          <cell r="C1690"/>
          <cell r="D1690"/>
          <cell r="E1690"/>
          <cell r="F1690"/>
          <cell r="G1690"/>
          <cell r="H1690"/>
          <cell r="I1690"/>
          <cell r="J1690"/>
          <cell r="K1690"/>
          <cell r="L1690"/>
        </row>
        <row r="1691">
          <cell r="C1691"/>
          <cell r="D1691"/>
          <cell r="E1691"/>
          <cell r="F1691"/>
          <cell r="G1691"/>
          <cell r="H1691"/>
          <cell r="I1691"/>
          <cell r="J1691"/>
          <cell r="K1691"/>
          <cell r="L1691"/>
        </row>
        <row r="1692">
          <cell r="C1692"/>
          <cell r="D1692"/>
          <cell r="E1692"/>
          <cell r="F1692"/>
          <cell r="G1692"/>
          <cell r="H1692"/>
          <cell r="I1692"/>
          <cell r="J1692"/>
          <cell r="K1692"/>
          <cell r="L1692"/>
        </row>
        <row r="1693">
          <cell r="C1693"/>
          <cell r="D1693"/>
          <cell r="E1693"/>
          <cell r="F1693"/>
          <cell r="G1693"/>
          <cell r="H1693"/>
          <cell r="I1693"/>
          <cell r="J1693"/>
          <cell r="K1693"/>
          <cell r="L1693"/>
        </row>
        <row r="1694">
          <cell r="C1694"/>
          <cell r="D1694"/>
          <cell r="E1694"/>
          <cell r="F1694"/>
          <cell r="G1694"/>
          <cell r="H1694"/>
          <cell r="I1694"/>
          <cell r="J1694"/>
          <cell r="K1694"/>
          <cell r="L1694"/>
        </row>
        <row r="1695">
          <cell r="C1695"/>
          <cell r="D1695"/>
          <cell r="E1695"/>
          <cell r="F1695"/>
          <cell r="G1695"/>
          <cell r="H1695"/>
          <cell r="I1695"/>
          <cell r="J1695"/>
          <cell r="K1695"/>
          <cell r="L1695"/>
        </row>
        <row r="1696">
          <cell r="C1696"/>
          <cell r="D1696"/>
          <cell r="E1696"/>
          <cell r="F1696"/>
          <cell r="G1696"/>
          <cell r="H1696"/>
          <cell r="I1696"/>
          <cell r="J1696"/>
          <cell r="K1696"/>
          <cell r="L1696"/>
        </row>
        <row r="1697">
          <cell r="C1697"/>
          <cell r="D1697"/>
          <cell r="E1697"/>
          <cell r="F1697"/>
          <cell r="G1697"/>
          <cell r="H1697"/>
          <cell r="I1697"/>
          <cell r="J1697"/>
          <cell r="K1697"/>
          <cell r="L1697"/>
        </row>
        <row r="1698">
          <cell r="C1698"/>
          <cell r="D1698"/>
          <cell r="E1698"/>
          <cell r="F1698"/>
          <cell r="G1698"/>
          <cell r="H1698"/>
          <cell r="I1698"/>
          <cell r="J1698"/>
          <cell r="K1698"/>
          <cell r="L1698"/>
        </row>
        <row r="1699">
          <cell r="C1699"/>
          <cell r="D1699"/>
          <cell r="E1699"/>
          <cell r="F1699"/>
          <cell r="G1699"/>
          <cell r="H1699"/>
          <cell r="I1699"/>
          <cell r="J1699"/>
          <cell r="K1699"/>
          <cell r="L1699"/>
        </row>
        <row r="1700">
          <cell r="C1700"/>
          <cell r="D1700"/>
          <cell r="E1700"/>
          <cell r="F1700"/>
          <cell r="G1700"/>
          <cell r="H1700"/>
          <cell r="I1700"/>
          <cell r="J1700"/>
          <cell r="K1700"/>
          <cell r="L1700"/>
        </row>
        <row r="1701">
          <cell r="C1701"/>
          <cell r="D1701"/>
          <cell r="E1701"/>
          <cell r="F1701"/>
          <cell r="G1701"/>
          <cell r="H1701"/>
          <cell r="I1701"/>
          <cell r="J1701"/>
          <cell r="K1701"/>
          <cell r="L1701"/>
        </row>
        <row r="1702">
          <cell r="C1702"/>
          <cell r="D1702"/>
          <cell r="E1702"/>
          <cell r="F1702"/>
          <cell r="G1702"/>
          <cell r="H1702"/>
          <cell r="I1702"/>
          <cell r="J1702"/>
          <cell r="K1702"/>
          <cell r="L1702"/>
        </row>
        <row r="1703">
          <cell r="C1703"/>
          <cell r="D1703"/>
          <cell r="E1703"/>
          <cell r="F1703"/>
          <cell r="G1703"/>
          <cell r="H1703"/>
          <cell r="I1703"/>
          <cell r="J1703"/>
          <cell r="K1703"/>
          <cell r="L1703"/>
        </row>
        <row r="1704">
          <cell r="C1704"/>
          <cell r="D1704"/>
          <cell r="E1704"/>
          <cell r="F1704"/>
          <cell r="G1704"/>
          <cell r="H1704"/>
          <cell r="I1704"/>
          <cell r="J1704"/>
          <cell r="K1704"/>
          <cell r="L1704"/>
        </row>
        <row r="1705">
          <cell r="C1705"/>
          <cell r="D1705"/>
          <cell r="E1705"/>
          <cell r="F1705"/>
          <cell r="G1705"/>
          <cell r="H1705"/>
          <cell r="I1705"/>
          <cell r="J1705"/>
          <cell r="K1705"/>
          <cell r="L1705"/>
        </row>
        <row r="1706">
          <cell r="C1706"/>
          <cell r="D1706"/>
          <cell r="E1706"/>
          <cell r="F1706"/>
          <cell r="G1706"/>
          <cell r="H1706"/>
          <cell r="I1706"/>
          <cell r="J1706"/>
          <cell r="K1706"/>
          <cell r="L1706"/>
        </row>
        <row r="1707">
          <cell r="C1707"/>
          <cell r="D1707"/>
          <cell r="E1707"/>
          <cell r="F1707"/>
          <cell r="G1707"/>
          <cell r="H1707"/>
          <cell r="I1707"/>
          <cell r="J1707"/>
          <cell r="K1707"/>
          <cell r="L1707"/>
        </row>
        <row r="1708">
          <cell r="C1708"/>
          <cell r="D1708"/>
          <cell r="E1708"/>
          <cell r="F1708"/>
          <cell r="G1708"/>
          <cell r="H1708"/>
          <cell r="I1708"/>
          <cell r="J1708"/>
          <cell r="K1708"/>
          <cell r="L1708"/>
        </row>
        <row r="1709">
          <cell r="C1709"/>
          <cell r="D1709"/>
          <cell r="E1709"/>
          <cell r="F1709"/>
          <cell r="G1709"/>
          <cell r="H1709"/>
          <cell r="I1709"/>
          <cell r="J1709"/>
          <cell r="K1709"/>
          <cell r="L1709"/>
        </row>
        <row r="1710">
          <cell r="C1710"/>
          <cell r="D1710"/>
          <cell r="E1710"/>
          <cell r="F1710"/>
          <cell r="G1710"/>
          <cell r="H1710"/>
          <cell r="I1710"/>
          <cell r="J1710"/>
          <cell r="K1710"/>
          <cell r="L1710"/>
        </row>
        <row r="1711">
          <cell r="C1711"/>
          <cell r="D1711"/>
          <cell r="E1711"/>
          <cell r="F1711"/>
          <cell r="G1711"/>
          <cell r="H1711"/>
          <cell r="I1711"/>
          <cell r="J1711"/>
          <cell r="K1711"/>
          <cell r="L1711"/>
        </row>
        <row r="1712">
          <cell r="C1712"/>
          <cell r="D1712"/>
          <cell r="E1712"/>
          <cell r="F1712"/>
          <cell r="G1712"/>
          <cell r="H1712"/>
          <cell r="I1712"/>
          <cell r="J1712"/>
          <cell r="K1712"/>
          <cell r="L1712"/>
        </row>
        <row r="1713">
          <cell r="C1713"/>
          <cell r="D1713"/>
          <cell r="E1713"/>
          <cell r="F1713"/>
          <cell r="G1713"/>
          <cell r="H1713"/>
          <cell r="I1713"/>
          <cell r="J1713"/>
          <cell r="K1713"/>
          <cell r="L1713"/>
        </row>
        <row r="1714">
          <cell r="C1714"/>
          <cell r="D1714"/>
          <cell r="E1714"/>
          <cell r="F1714"/>
          <cell r="G1714"/>
          <cell r="H1714"/>
          <cell r="I1714"/>
          <cell r="J1714"/>
          <cell r="K1714"/>
          <cell r="L1714"/>
        </row>
        <row r="1715">
          <cell r="C1715"/>
          <cell r="D1715"/>
          <cell r="E1715"/>
          <cell r="F1715"/>
          <cell r="G1715"/>
          <cell r="H1715"/>
          <cell r="I1715"/>
          <cell r="J1715"/>
          <cell r="K1715"/>
          <cell r="L1715"/>
        </row>
        <row r="1716">
          <cell r="C1716"/>
          <cell r="D1716"/>
          <cell r="E1716"/>
          <cell r="F1716"/>
          <cell r="G1716"/>
          <cell r="H1716"/>
          <cell r="I1716"/>
          <cell r="J1716"/>
          <cell r="K1716"/>
          <cell r="L1716"/>
        </row>
        <row r="1717">
          <cell r="C1717"/>
          <cell r="D1717"/>
          <cell r="E1717"/>
          <cell r="F1717"/>
          <cell r="G1717"/>
          <cell r="H1717"/>
          <cell r="I1717"/>
          <cell r="J1717"/>
          <cell r="K1717"/>
          <cell r="L1717"/>
        </row>
        <row r="1718">
          <cell r="C1718"/>
          <cell r="D1718"/>
          <cell r="E1718"/>
          <cell r="F1718"/>
          <cell r="G1718"/>
          <cell r="H1718"/>
          <cell r="I1718"/>
          <cell r="J1718"/>
          <cell r="K1718"/>
          <cell r="L1718"/>
        </row>
        <row r="1719">
          <cell r="C1719"/>
          <cell r="D1719"/>
          <cell r="E1719"/>
          <cell r="F1719"/>
          <cell r="G1719"/>
          <cell r="H1719"/>
          <cell r="I1719"/>
          <cell r="J1719"/>
          <cell r="K1719"/>
          <cell r="L1719"/>
        </row>
        <row r="1720">
          <cell r="C1720"/>
          <cell r="D1720"/>
          <cell r="E1720"/>
          <cell r="F1720"/>
          <cell r="G1720"/>
          <cell r="H1720"/>
          <cell r="I1720"/>
          <cell r="J1720"/>
          <cell r="K1720"/>
          <cell r="L1720"/>
        </row>
        <row r="1721">
          <cell r="C1721"/>
          <cell r="D1721"/>
          <cell r="E1721"/>
          <cell r="F1721"/>
          <cell r="G1721"/>
          <cell r="H1721"/>
          <cell r="I1721"/>
          <cell r="J1721"/>
          <cell r="K1721"/>
          <cell r="L1721"/>
        </row>
        <row r="1722">
          <cell r="C1722"/>
          <cell r="D1722"/>
          <cell r="E1722"/>
          <cell r="F1722"/>
          <cell r="G1722"/>
          <cell r="H1722"/>
          <cell r="I1722"/>
          <cell r="J1722"/>
          <cell r="K1722"/>
          <cell r="L1722"/>
        </row>
        <row r="1723">
          <cell r="C1723"/>
          <cell r="D1723"/>
          <cell r="E1723"/>
          <cell r="F1723"/>
          <cell r="G1723"/>
          <cell r="H1723"/>
          <cell r="I1723"/>
          <cell r="J1723"/>
          <cell r="K1723"/>
          <cell r="L1723"/>
        </row>
        <row r="1724">
          <cell r="C1724"/>
          <cell r="D1724"/>
          <cell r="E1724"/>
          <cell r="F1724"/>
          <cell r="G1724"/>
          <cell r="H1724"/>
          <cell r="I1724"/>
          <cell r="J1724"/>
          <cell r="K1724"/>
          <cell r="L1724"/>
        </row>
        <row r="1725">
          <cell r="C1725"/>
          <cell r="D1725"/>
          <cell r="E1725"/>
          <cell r="F1725"/>
          <cell r="G1725"/>
          <cell r="H1725"/>
          <cell r="I1725"/>
          <cell r="J1725"/>
          <cell r="K1725"/>
          <cell r="L1725"/>
        </row>
        <row r="1726">
          <cell r="C1726"/>
          <cell r="D1726"/>
          <cell r="E1726"/>
          <cell r="F1726"/>
          <cell r="G1726"/>
          <cell r="H1726"/>
          <cell r="I1726"/>
          <cell r="J1726"/>
          <cell r="K1726"/>
          <cell r="L1726"/>
        </row>
        <row r="1727">
          <cell r="C1727"/>
          <cell r="D1727"/>
          <cell r="E1727"/>
          <cell r="F1727"/>
          <cell r="G1727"/>
          <cell r="H1727"/>
          <cell r="I1727"/>
          <cell r="J1727"/>
          <cell r="K1727"/>
          <cell r="L1727"/>
        </row>
        <row r="1728">
          <cell r="C1728"/>
          <cell r="D1728"/>
          <cell r="E1728"/>
          <cell r="F1728"/>
          <cell r="G1728"/>
          <cell r="H1728"/>
          <cell r="I1728"/>
          <cell r="J1728"/>
          <cell r="K1728"/>
          <cell r="L1728"/>
        </row>
        <row r="1729">
          <cell r="C1729"/>
          <cell r="D1729"/>
          <cell r="E1729"/>
          <cell r="F1729"/>
          <cell r="G1729"/>
          <cell r="H1729"/>
          <cell r="I1729"/>
          <cell r="J1729"/>
          <cell r="K1729"/>
          <cell r="L1729"/>
        </row>
        <row r="1730">
          <cell r="C1730"/>
          <cell r="D1730"/>
          <cell r="E1730"/>
          <cell r="F1730"/>
          <cell r="G1730"/>
          <cell r="H1730"/>
          <cell r="I1730"/>
          <cell r="J1730"/>
          <cell r="K1730"/>
          <cell r="L1730"/>
        </row>
        <row r="1731">
          <cell r="C1731"/>
          <cell r="D1731"/>
          <cell r="E1731"/>
          <cell r="F1731"/>
          <cell r="G1731"/>
          <cell r="H1731"/>
          <cell r="I1731"/>
          <cell r="J1731"/>
          <cell r="K1731"/>
          <cell r="L1731"/>
        </row>
        <row r="1732">
          <cell r="C1732"/>
          <cell r="D1732"/>
          <cell r="E1732"/>
          <cell r="F1732"/>
          <cell r="G1732"/>
          <cell r="H1732"/>
          <cell r="I1732"/>
          <cell r="J1732"/>
          <cell r="K1732"/>
          <cell r="L1732"/>
        </row>
        <row r="1733">
          <cell r="C1733"/>
          <cell r="D1733"/>
          <cell r="E1733"/>
          <cell r="F1733"/>
          <cell r="G1733"/>
          <cell r="H1733"/>
          <cell r="I1733"/>
          <cell r="J1733"/>
          <cell r="K1733"/>
          <cell r="L1733"/>
        </row>
        <row r="1734">
          <cell r="C1734"/>
          <cell r="D1734"/>
          <cell r="E1734"/>
          <cell r="F1734"/>
          <cell r="G1734"/>
          <cell r="H1734"/>
          <cell r="I1734"/>
          <cell r="J1734"/>
          <cell r="K1734"/>
          <cell r="L1734"/>
        </row>
        <row r="1735">
          <cell r="C1735"/>
          <cell r="D1735"/>
          <cell r="E1735"/>
          <cell r="F1735"/>
          <cell r="G1735"/>
          <cell r="H1735"/>
          <cell r="I1735"/>
          <cell r="J1735"/>
          <cell r="K1735"/>
          <cell r="L1735"/>
        </row>
        <row r="1736">
          <cell r="C1736"/>
          <cell r="D1736"/>
          <cell r="E1736"/>
          <cell r="F1736"/>
          <cell r="G1736"/>
          <cell r="H1736"/>
          <cell r="I1736"/>
          <cell r="J1736"/>
          <cell r="K1736"/>
          <cell r="L1736"/>
        </row>
        <row r="1737">
          <cell r="C1737"/>
          <cell r="D1737"/>
          <cell r="E1737"/>
          <cell r="F1737"/>
          <cell r="G1737"/>
          <cell r="H1737"/>
          <cell r="I1737"/>
          <cell r="J1737"/>
          <cell r="K1737"/>
          <cell r="L1737"/>
        </row>
        <row r="1738">
          <cell r="C1738"/>
          <cell r="D1738"/>
          <cell r="E1738"/>
          <cell r="F1738"/>
          <cell r="G1738"/>
          <cell r="H1738"/>
          <cell r="I1738"/>
          <cell r="J1738"/>
          <cell r="K1738"/>
          <cell r="L1738"/>
        </row>
        <row r="1739">
          <cell r="C1739"/>
          <cell r="D1739"/>
          <cell r="E1739"/>
          <cell r="F1739"/>
          <cell r="G1739"/>
          <cell r="H1739"/>
          <cell r="I1739"/>
          <cell r="J1739"/>
          <cell r="K1739"/>
          <cell r="L1739"/>
        </row>
        <row r="1740">
          <cell r="C1740"/>
          <cell r="D1740"/>
          <cell r="E1740"/>
          <cell r="F1740"/>
          <cell r="G1740"/>
          <cell r="H1740"/>
          <cell r="I1740"/>
          <cell r="J1740"/>
          <cell r="K1740"/>
          <cell r="L1740"/>
        </row>
        <row r="1741">
          <cell r="C1741"/>
          <cell r="D1741"/>
          <cell r="E1741"/>
          <cell r="F1741"/>
          <cell r="G1741"/>
          <cell r="H1741"/>
          <cell r="I1741"/>
          <cell r="J1741"/>
          <cell r="K1741"/>
          <cell r="L1741"/>
        </row>
        <row r="1742">
          <cell r="C1742"/>
          <cell r="D1742"/>
          <cell r="E1742"/>
          <cell r="F1742"/>
          <cell r="G1742"/>
          <cell r="H1742"/>
          <cell r="I1742"/>
          <cell r="J1742"/>
          <cell r="K1742"/>
          <cell r="L1742"/>
        </row>
        <row r="1743">
          <cell r="C1743"/>
          <cell r="D1743"/>
          <cell r="E1743"/>
          <cell r="F1743"/>
          <cell r="G1743"/>
          <cell r="H1743"/>
          <cell r="I1743"/>
          <cell r="J1743"/>
          <cell r="K1743"/>
          <cell r="L1743"/>
        </row>
        <row r="1744">
          <cell r="C1744"/>
          <cell r="D1744"/>
          <cell r="E1744"/>
          <cell r="F1744"/>
          <cell r="G1744"/>
          <cell r="H1744"/>
          <cell r="I1744"/>
          <cell r="J1744"/>
          <cell r="K1744"/>
          <cell r="L1744"/>
        </row>
        <row r="1745">
          <cell r="C1745"/>
          <cell r="D1745"/>
          <cell r="E1745"/>
          <cell r="F1745"/>
          <cell r="G1745"/>
          <cell r="H1745"/>
          <cell r="I1745"/>
          <cell r="J1745"/>
          <cell r="K1745"/>
          <cell r="L1745"/>
        </row>
        <row r="1746">
          <cell r="C1746"/>
          <cell r="D1746"/>
          <cell r="E1746"/>
          <cell r="F1746"/>
          <cell r="G1746"/>
          <cell r="H1746"/>
          <cell r="I1746"/>
          <cell r="J1746"/>
          <cell r="K1746"/>
          <cell r="L1746"/>
        </row>
        <row r="1747">
          <cell r="C1747"/>
          <cell r="D1747"/>
          <cell r="E1747"/>
          <cell r="F1747"/>
          <cell r="G1747"/>
          <cell r="H1747"/>
          <cell r="I1747"/>
          <cell r="J1747"/>
          <cell r="K1747"/>
          <cell r="L1747"/>
        </row>
        <row r="1748">
          <cell r="C1748"/>
          <cell r="D1748"/>
          <cell r="E1748"/>
          <cell r="F1748"/>
          <cell r="G1748"/>
          <cell r="H1748"/>
          <cell r="I1748"/>
          <cell r="J1748"/>
          <cell r="K1748"/>
          <cell r="L1748"/>
        </row>
        <row r="1749">
          <cell r="C1749"/>
          <cell r="D1749"/>
          <cell r="E1749"/>
          <cell r="F1749"/>
          <cell r="G1749"/>
          <cell r="H1749"/>
          <cell r="I1749"/>
          <cell r="J1749"/>
          <cell r="K1749"/>
          <cell r="L1749"/>
        </row>
        <row r="1750">
          <cell r="C1750"/>
          <cell r="D1750"/>
          <cell r="E1750"/>
          <cell r="F1750"/>
          <cell r="G1750"/>
          <cell r="H1750"/>
          <cell r="I1750"/>
          <cell r="J1750"/>
          <cell r="K1750"/>
          <cell r="L1750"/>
        </row>
        <row r="1751">
          <cell r="C1751"/>
          <cell r="D1751"/>
          <cell r="E1751"/>
          <cell r="F1751"/>
          <cell r="G1751"/>
          <cell r="H1751"/>
          <cell r="I1751"/>
          <cell r="J1751"/>
          <cell r="K1751"/>
          <cell r="L1751"/>
        </row>
        <row r="1752">
          <cell r="C1752"/>
          <cell r="D1752"/>
          <cell r="E1752"/>
          <cell r="F1752"/>
          <cell r="G1752"/>
          <cell r="H1752"/>
          <cell r="I1752"/>
          <cell r="J1752"/>
          <cell r="K1752"/>
          <cell r="L1752"/>
        </row>
        <row r="1753">
          <cell r="C1753"/>
          <cell r="D1753"/>
          <cell r="E1753"/>
          <cell r="F1753"/>
          <cell r="G1753"/>
          <cell r="H1753"/>
          <cell r="I1753"/>
          <cell r="J1753"/>
          <cell r="K1753"/>
          <cell r="L1753"/>
        </row>
        <row r="1754">
          <cell r="C1754"/>
          <cell r="D1754"/>
          <cell r="E1754"/>
          <cell r="F1754"/>
          <cell r="G1754"/>
          <cell r="H1754"/>
          <cell r="I1754"/>
          <cell r="J1754"/>
          <cell r="K1754"/>
          <cell r="L1754"/>
        </row>
        <row r="1755">
          <cell r="C1755"/>
          <cell r="D1755"/>
          <cell r="E1755"/>
          <cell r="F1755"/>
          <cell r="G1755"/>
          <cell r="H1755"/>
          <cell r="I1755"/>
          <cell r="J1755"/>
          <cell r="K1755"/>
          <cell r="L1755"/>
        </row>
        <row r="1756">
          <cell r="C1756"/>
          <cell r="D1756"/>
          <cell r="E1756"/>
          <cell r="F1756"/>
          <cell r="G1756"/>
          <cell r="H1756"/>
          <cell r="I1756"/>
          <cell r="J1756"/>
          <cell r="K1756"/>
          <cell r="L1756"/>
        </row>
        <row r="1757">
          <cell r="C1757"/>
          <cell r="D1757"/>
          <cell r="E1757"/>
          <cell r="F1757"/>
          <cell r="G1757"/>
          <cell r="H1757"/>
          <cell r="I1757"/>
          <cell r="J1757"/>
          <cell r="K1757"/>
          <cell r="L1757"/>
        </row>
        <row r="1758">
          <cell r="C1758"/>
          <cell r="D1758"/>
          <cell r="E1758"/>
          <cell r="F1758"/>
          <cell r="G1758"/>
          <cell r="H1758"/>
          <cell r="I1758"/>
          <cell r="J1758"/>
          <cell r="K1758"/>
          <cell r="L1758"/>
        </row>
        <row r="1759">
          <cell r="C1759"/>
          <cell r="D1759"/>
          <cell r="E1759"/>
          <cell r="F1759"/>
          <cell r="G1759"/>
          <cell r="H1759"/>
          <cell r="I1759"/>
          <cell r="J1759"/>
          <cell r="K1759"/>
          <cell r="L1759"/>
        </row>
        <row r="1760">
          <cell r="C1760"/>
          <cell r="D1760"/>
          <cell r="E1760"/>
          <cell r="F1760"/>
          <cell r="G1760"/>
          <cell r="H1760"/>
          <cell r="I1760"/>
          <cell r="J1760"/>
          <cell r="K1760"/>
          <cell r="L1760"/>
        </row>
        <row r="1761">
          <cell r="C1761"/>
          <cell r="D1761"/>
          <cell r="E1761"/>
          <cell r="F1761"/>
          <cell r="G1761"/>
          <cell r="H1761"/>
          <cell r="I1761"/>
          <cell r="J1761"/>
          <cell r="K1761"/>
          <cell r="L1761"/>
        </row>
        <row r="1762">
          <cell r="C1762"/>
          <cell r="D1762"/>
          <cell r="E1762"/>
          <cell r="F1762"/>
          <cell r="G1762"/>
          <cell r="H1762"/>
          <cell r="I1762"/>
          <cell r="J1762"/>
          <cell r="K1762"/>
          <cell r="L1762"/>
        </row>
        <row r="1763">
          <cell r="C1763"/>
          <cell r="D1763"/>
          <cell r="E1763"/>
          <cell r="F1763"/>
          <cell r="G1763"/>
          <cell r="H1763"/>
          <cell r="I1763"/>
          <cell r="J1763"/>
          <cell r="K1763"/>
          <cell r="L1763"/>
        </row>
        <row r="1764">
          <cell r="C1764"/>
          <cell r="D1764"/>
          <cell r="E1764"/>
          <cell r="F1764"/>
          <cell r="G1764"/>
          <cell r="H1764"/>
          <cell r="I1764"/>
          <cell r="J1764"/>
          <cell r="K1764"/>
          <cell r="L1764"/>
        </row>
        <row r="1765">
          <cell r="C1765"/>
          <cell r="D1765"/>
          <cell r="E1765"/>
          <cell r="F1765"/>
          <cell r="G1765"/>
          <cell r="H1765"/>
          <cell r="I1765"/>
          <cell r="J1765"/>
          <cell r="K1765"/>
          <cell r="L1765"/>
        </row>
        <row r="1766">
          <cell r="C1766"/>
          <cell r="D1766"/>
          <cell r="E1766"/>
          <cell r="F1766"/>
          <cell r="G1766"/>
          <cell r="H1766"/>
          <cell r="I1766"/>
          <cell r="J1766"/>
          <cell r="K1766"/>
          <cell r="L1766"/>
        </row>
        <row r="1767">
          <cell r="C1767"/>
          <cell r="D1767"/>
          <cell r="E1767"/>
          <cell r="F1767"/>
          <cell r="G1767"/>
          <cell r="H1767"/>
          <cell r="I1767"/>
          <cell r="J1767"/>
          <cell r="K1767"/>
          <cell r="L1767"/>
        </row>
        <row r="1768">
          <cell r="C1768"/>
          <cell r="D1768"/>
          <cell r="E1768"/>
          <cell r="F1768"/>
          <cell r="G1768"/>
          <cell r="H1768"/>
          <cell r="I1768"/>
          <cell r="J1768"/>
          <cell r="K1768"/>
          <cell r="L1768"/>
        </row>
        <row r="1769">
          <cell r="C1769"/>
          <cell r="D1769"/>
          <cell r="E1769"/>
          <cell r="F1769"/>
          <cell r="G1769"/>
          <cell r="H1769"/>
          <cell r="I1769"/>
          <cell r="J1769"/>
          <cell r="K1769"/>
          <cell r="L1769"/>
        </row>
        <row r="1770">
          <cell r="C1770"/>
          <cell r="D1770"/>
          <cell r="E1770"/>
          <cell r="F1770"/>
          <cell r="G1770"/>
          <cell r="H1770"/>
          <cell r="I1770"/>
          <cell r="J1770"/>
          <cell r="K1770"/>
          <cell r="L1770"/>
        </row>
        <row r="1771">
          <cell r="C1771"/>
          <cell r="D1771"/>
          <cell r="E1771"/>
          <cell r="F1771"/>
          <cell r="G1771"/>
          <cell r="H1771"/>
          <cell r="I1771"/>
          <cell r="J1771"/>
          <cell r="K1771"/>
          <cell r="L1771"/>
        </row>
        <row r="1772">
          <cell r="C1772"/>
          <cell r="D1772"/>
          <cell r="E1772"/>
          <cell r="F1772"/>
          <cell r="G1772"/>
          <cell r="H1772"/>
          <cell r="I1772"/>
          <cell r="J1772"/>
          <cell r="K1772"/>
          <cell r="L1772"/>
        </row>
        <row r="1773">
          <cell r="C1773"/>
          <cell r="D1773"/>
          <cell r="E1773"/>
          <cell r="F1773"/>
          <cell r="G1773"/>
          <cell r="H1773"/>
          <cell r="I1773"/>
          <cell r="J1773"/>
          <cell r="K1773"/>
          <cell r="L1773"/>
        </row>
        <row r="1774">
          <cell r="C1774"/>
          <cell r="D1774"/>
          <cell r="E1774"/>
          <cell r="F1774"/>
          <cell r="G1774"/>
          <cell r="H1774"/>
          <cell r="I1774"/>
          <cell r="J1774"/>
          <cell r="K1774"/>
          <cell r="L1774"/>
        </row>
        <row r="1775">
          <cell r="C1775"/>
          <cell r="D1775"/>
          <cell r="E1775"/>
          <cell r="F1775"/>
          <cell r="G1775"/>
          <cell r="H1775"/>
          <cell r="I1775"/>
          <cell r="J1775"/>
          <cell r="K1775"/>
          <cell r="L1775"/>
        </row>
        <row r="1776">
          <cell r="C1776"/>
          <cell r="D1776"/>
          <cell r="E1776"/>
          <cell r="F1776"/>
          <cell r="G1776"/>
          <cell r="H1776"/>
          <cell r="I1776"/>
          <cell r="J1776"/>
          <cell r="K1776"/>
          <cell r="L1776"/>
        </row>
        <row r="1777">
          <cell r="C1777"/>
          <cell r="D1777"/>
          <cell r="E1777"/>
          <cell r="F1777"/>
          <cell r="G1777"/>
          <cell r="H1777"/>
          <cell r="I1777"/>
          <cell r="J1777"/>
          <cell r="K1777"/>
          <cell r="L1777"/>
        </row>
        <row r="1778">
          <cell r="C1778"/>
          <cell r="D1778"/>
          <cell r="E1778"/>
          <cell r="F1778"/>
          <cell r="G1778"/>
          <cell r="H1778"/>
          <cell r="I1778"/>
          <cell r="J1778"/>
          <cell r="K1778"/>
          <cell r="L1778"/>
        </row>
        <row r="1779">
          <cell r="C1779"/>
          <cell r="D1779"/>
          <cell r="E1779"/>
          <cell r="F1779"/>
          <cell r="G1779"/>
          <cell r="H1779"/>
          <cell r="I1779"/>
          <cell r="J1779"/>
          <cell r="K1779"/>
          <cell r="L1779"/>
        </row>
        <row r="1780">
          <cell r="C1780"/>
          <cell r="D1780"/>
          <cell r="E1780"/>
          <cell r="F1780"/>
          <cell r="G1780"/>
          <cell r="H1780"/>
          <cell r="I1780"/>
          <cell r="J1780"/>
          <cell r="K1780"/>
          <cell r="L1780"/>
        </row>
        <row r="1781">
          <cell r="C1781"/>
          <cell r="D1781"/>
          <cell r="E1781"/>
          <cell r="F1781"/>
          <cell r="G1781"/>
          <cell r="H1781"/>
          <cell r="I1781"/>
          <cell r="J1781"/>
          <cell r="K1781"/>
          <cell r="L1781"/>
        </row>
        <row r="1782">
          <cell r="C1782"/>
          <cell r="D1782"/>
          <cell r="E1782"/>
          <cell r="F1782"/>
          <cell r="G1782"/>
          <cell r="H1782"/>
          <cell r="I1782"/>
          <cell r="J1782"/>
          <cell r="K1782"/>
          <cell r="L1782"/>
        </row>
        <row r="1783">
          <cell r="C1783"/>
          <cell r="D1783"/>
          <cell r="E1783"/>
          <cell r="F1783"/>
          <cell r="G1783"/>
          <cell r="H1783"/>
          <cell r="I1783"/>
          <cell r="J1783"/>
          <cell r="K1783"/>
          <cell r="L1783"/>
        </row>
        <row r="1784">
          <cell r="C1784"/>
          <cell r="D1784"/>
          <cell r="E1784"/>
          <cell r="F1784"/>
          <cell r="G1784"/>
          <cell r="H1784"/>
          <cell r="I1784"/>
          <cell r="J1784"/>
          <cell r="K1784"/>
          <cell r="L1784"/>
        </row>
        <row r="1785">
          <cell r="C1785"/>
          <cell r="D1785"/>
          <cell r="E1785"/>
          <cell r="F1785"/>
          <cell r="G1785"/>
          <cell r="H1785"/>
          <cell r="I1785"/>
          <cell r="J1785"/>
          <cell r="K1785"/>
          <cell r="L1785"/>
        </row>
        <row r="1786">
          <cell r="C1786"/>
          <cell r="D1786"/>
          <cell r="E1786"/>
          <cell r="F1786"/>
          <cell r="G1786"/>
          <cell r="H1786"/>
          <cell r="I1786"/>
          <cell r="J1786"/>
          <cell r="K1786"/>
          <cell r="L1786"/>
        </row>
        <row r="1787">
          <cell r="C1787"/>
          <cell r="D1787"/>
          <cell r="E1787"/>
          <cell r="F1787"/>
          <cell r="G1787"/>
          <cell r="H1787"/>
          <cell r="I1787"/>
          <cell r="J1787"/>
          <cell r="K1787"/>
          <cell r="L1787"/>
        </row>
        <row r="1788">
          <cell r="C1788"/>
          <cell r="D1788"/>
          <cell r="E1788"/>
          <cell r="F1788"/>
          <cell r="G1788"/>
          <cell r="H1788"/>
          <cell r="I1788"/>
          <cell r="J1788"/>
          <cell r="K1788"/>
          <cell r="L1788"/>
        </row>
        <row r="1789">
          <cell r="C1789"/>
          <cell r="D1789"/>
          <cell r="E1789"/>
          <cell r="F1789"/>
          <cell r="G1789"/>
          <cell r="H1789"/>
          <cell r="I1789"/>
          <cell r="J1789"/>
          <cell r="K1789"/>
          <cell r="L1789"/>
        </row>
        <row r="1790">
          <cell r="C1790"/>
          <cell r="D1790"/>
          <cell r="E1790"/>
          <cell r="F1790"/>
          <cell r="G1790"/>
          <cell r="H1790"/>
          <cell r="I1790"/>
          <cell r="J1790"/>
          <cell r="K1790"/>
          <cell r="L1790"/>
        </row>
        <row r="1791">
          <cell r="C1791"/>
          <cell r="D1791"/>
          <cell r="E1791"/>
          <cell r="F1791"/>
          <cell r="G1791"/>
          <cell r="H1791"/>
          <cell r="I1791"/>
          <cell r="J1791"/>
          <cell r="K1791"/>
          <cell r="L1791"/>
        </row>
        <row r="1792">
          <cell r="C1792"/>
          <cell r="D1792"/>
          <cell r="E1792"/>
          <cell r="F1792"/>
          <cell r="G1792"/>
          <cell r="H1792"/>
          <cell r="I1792"/>
          <cell r="J1792"/>
          <cell r="K1792"/>
          <cell r="L1792"/>
        </row>
        <row r="1793">
          <cell r="C1793"/>
          <cell r="D1793"/>
          <cell r="E1793"/>
          <cell r="F1793"/>
          <cell r="G1793"/>
          <cell r="H1793"/>
          <cell r="I1793"/>
          <cell r="J1793"/>
          <cell r="K1793"/>
          <cell r="L1793"/>
        </row>
        <row r="1794">
          <cell r="C1794"/>
          <cell r="D1794"/>
          <cell r="E1794"/>
          <cell r="F1794"/>
          <cell r="G1794"/>
          <cell r="H1794"/>
          <cell r="I1794"/>
          <cell r="J1794"/>
          <cell r="K1794"/>
          <cell r="L1794"/>
        </row>
        <row r="1795">
          <cell r="C1795"/>
          <cell r="D1795"/>
          <cell r="E1795"/>
          <cell r="F1795"/>
          <cell r="G1795"/>
          <cell r="H1795"/>
          <cell r="I1795"/>
          <cell r="J1795"/>
          <cell r="K1795"/>
          <cell r="L1795"/>
        </row>
        <row r="1796">
          <cell r="C1796"/>
          <cell r="D1796"/>
          <cell r="E1796"/>
          <cell r="F1796"/>
          <cell r="G1796"/>
          <cell r="H1796"/>
          <cell r="I1796"/>
          <cell r="J1796"/>
          <cell r="K1796"/>
          <cell r="L1796"/>
        </row>
        <row r="1797">
          <cell r="C1797"/>
          <cell r="D1797"/>
          <cell r="E1797"/>
          <cell r="F1797"/>
          <cell r="G1797"/>
          <cell r="H1797"/>
          <cell r="I1797"/>
          <cell r="J1797"/>
          <cell r="K1797"/>
          <cell r="L1797"/>
        </row>
        <row r="1798">
          <cell r="C1798"/>
          <cell r="D1798"/>
          <cell r="E1798"/>
          <cell r="F1798"/>
          <cell r="G1798"/>
          <cell r="H1798"/>
          <cell r="I1798"/>
          <cell r="J1798"/>
          <cell r="K1798"/>
          <cell r="L1798"/>
        </row>
        <row r="1799">
          <cell r="C1799"/>
          <cell r="D1799"/>
          <cell r="E1799"/>
          <cell r="F1799"/>
          <cell r="G1799"/>
          <cell r="H1799"/>
          <cell r="I1799"/>
          <cell r="J1799"/>
          <cell r="K1799"/>
          <cell r="L1799"/>
        </row>
        <row r="1800">
          <cell r="C1800"/>
          <cell r="D1800"/>
          <cell r="E1800"/>
          <cell r="F1800"/>
          <cell r="G1800"/>
          <cell r="H1800"/>
          <cell r="I1800"/>
          <cell r="J1800"/>
          <cell r="K1800"/>
          <cell r="L1800"/>
        </row>
        <row r="1801">
          <cell r="C1801"/>
          <cell r="D1801"/>
          <cell r="E1801"/>
          <cell r="F1801"/>
          <cell r="G1801"/>
          <cell r="H1801"/>
          <cell r="I1801"/>
          <cell r="J1801"/>
          <cell r="K1801"/>
          <cell r="L1801"/>
        </row>
        <row r="1802">
          <cell r="C1802"/>
          <cell r="D1802"/>
          <cell r="E1802"/>
          <cell r="F1802"/>
          <cell r="G1802"/>
          <cell r="H1802"/>
          <cell r="I1802"/>
          <cell r="J1802"/>
          <cell r="K1802"/>
          <cell r="L1802"/>
        </row>
        <row r="1803">
          <cell r="C1803"/>
          <cell r="D1803"/>
          <cell r="E1803"/>
          <cell r="F1803"/>
          <cell r="G1803"/>
          <cell r="H1803"/>
          <cell r="I1803"/>
          <cell r="J1803"/>
          <cell r="K1803"/>
          <cell r="L1803"/>
        </row>
        <row r="1804">
          <cell r="C1804"/>
          <cell r="D1804"/>
          <cell r="E1804"/>
          <cell r="F1804"/>
          <cell r="G1804"/>
          <cell r="H1804"/>
          <cell r="I1804"/>
          <cell r="J1804"/>
          <cell r="K1804"/>
          <cell r="L1804"/>
        </row>
        <row r="1805">
          <cell r="C1805"/>
          <cell r="D1805"/>
          <cell r="E1805"/>
          <cell r="F1805"/>
          <cell r="G1805"/>
          <cell r="H1805"/>
          <cell r="I1805"/>
          <cell r="J1805"/>
          <cell r="K1805"/>
          <cell r="L1805"/>
        </row>
        <row r="1806">
          <cell r="C1806"/>
          <cell r="D1806"/>
          <cell r="E1806"/>
          <cell r="F1806"/>
          <cell r="G1806"/>
          <cell r="H1806"/>
          <cell r="I1806"/>
          <cell r="J1806"/>
          <cell r="K1806"/>
          <cell r="L1806"/>
        </row>
        <row r="1807">
          <cell r="C1807"/>
          <cell r="D1807"/>
          <cell r="E1807"/>
          <cell r="F1807"/>
          <cell r="G1807"/>
          <cell r="H1807"/>
          <cell r="I1807"/>
          <cell r="J1807"/>
          <cell r="K1807"/>
          <cell r="L1807"/>
        </row>
        <row r="1808">
          <cell r="C1808"/>
          <cell r="D1808"/>
          <cell r="E1808"/>
          <cell r="F1808"/>
          <cell r="G1808"/>
          <cell r="H1808"/>
          <cell r="I1808"/>
          <cell r="J1808"/>
          <cell r="K1808"/>
          <cell r="L1808"/>
        </row>
        <row r="1809">
          <cell r="C1809"/>
          <cell r="D1809"/>
          <cell r="E1809"/>
          <cell r="F1809"/>
          <cell r="G1809"/>
          <cell r="H1809"/>
          <cell r="I1809"/>
          <cell r="J1809"/>
          <cell r="K1809"/>
          <cell r="L1809"/>
        </row>
        <row r="1810">
          <cell r="C1810"/>
          <cell r="D1810"/>
          <cell r="E1810"/>
          <cell r="F1810"/>
          <cell r="G1810"/>
          <cell r="H1810"/>
          <cell r="I1810"/>
          <cell r="J1810"/>
          <cell r="K1810"/>
          <cell r="L1810"/>
        </row>
        <row r="1811">
          <cell r="C1811"/>
          <cell r="D1811"/>
          <cell r="E1811"/>
          <cell r="F1811"/>
          <cell r="G1811"/>
          <cell r="H1811"/>
          <cell r="I1811"/>
          <cell r="J1811"/>
          <cell r="K1811"/>
          <cell r="L1811"/>
        </row>
        <row r="1812">
          <cell r="C1812"/>
          <cell r="D1812"/>
          <cell r="E1812"/>
          <cell r="F1812"/>
          <cell r="G1812"/>
          <cell r="H1812"/>
          <cell r="I1812"/>
          <cell r="J1812"/>
          <cell r="K1812"/>
          <cell r="L1812"/>
        </row>
        <row r="1813">
          <cell r="C1813"/>
          <cell r="D1813"/>
          <cell r="E1813"/>
          <cell r="F1813"/>
          <cell r="G1813"/>
          <cell r="H1813"/>
          <cell r="I1813"/>
          <cell r="J1813"/>
          <cell r="K1813"/>
          <cell r="L1813"/>
        </row>
        <row r="1814">
          <cell r="C1814"/>
          <cell r="D1814"/>
          <cell r="E1814"/>
          <cell r="F1814"/>
          <cell r="G1814"/>
          <cell r="H1814"/>
          <cell r="I1814"/>
          <cell r="J1814"/>
          <cell r="K1814"/>
          <cell r="L1814"/>
        </row>
        <row r="1815">
          <cell r="C1815"/>
          <cell r="D1815"/>
          <cell r="E1815"/>
          <cell r="F1815"/>
          <cell r="G1815"/>
          <cell r="H1815"/>
          <cell r="I1815"/>
          <cell r="J1815"/>
          <cell r="K1815"/>
          <cell r="L1815"/>
        </row>
        <row r="1816">
          <cell r="C1816"/>
          <cell r="D1816"/>
          <cell r="E1816"/>
          <cell r="F1816"/>
          <cell r="G1816"/>
          <cell r="H1816"/>
          <cell r="I1816"/>
          <cell r="J1816"/>
          <cell r="K1816"/>
          <cell r="L1816"/>
        </row>
        <row r="1817">
          <cell r="C1817"/>
          <cell r="D1817"/>
          <cell r="E1817"/>
          <cell r="F1817"/>
          <cell r="G1817"/>
          <cell r="H1817"/>
          <cell r="I1817"/>
          <cell r="J1817"/>
          <cell r="K1817"/>
          <cell r="L1817"/>
        </row>
        <row r="1818">
          <cell r="C1818"/>
          <cell r="D1818"/>
          <cell r="E1818"/>
          <cell r="F1818"/>
          <cell r="G1818"/>
          <cell r="H1818"/>
          <cell r="I1818"/>
          <cell r="J1818"/>
          <cell r="K1818"/>
          <cell r="L1818"/>
        </row>
        <row r="1819">
          <cell r="C1819"/>
          <cell r="D1819"/>
          <cell r="E1819"/>
          <cell r="F1819"/>
          <cell r="G1819"/>
          <cell r="H1819"/>
          <cell r="I1819"/>
          <cell r="J1819"/>
          <cell r="K1819"/>
          <cell r="L1819"/>
        </row>
        <row r="1820">
          <cell r="C1820"/>
          <cell r="D1820"/>
          <cell r="E1820"/>
          <cell r="F1820"/>
          <cell r="G1820"/>
          <cell r="H1820"/>
          <cell r="I1820"/>
          <cell r="J1820"/>
          <cell r="K1820"/>
          <cell r="L1820"/>
        </row>
        <row r="1821">
          <cell r="C1821"/>
          <cell r="D1821"/>
          <cell r="E1821"/>
          <cell r="F1821"/>
          <cell r="G1821"/>
          <cell r="H1821"/>
          <cell r="I1821"/>
          <cell r="J1821"/>
          <cell r="K1821"/>
          <cell r="L1821"/>
        </row>
        <row r="1822">
          <cell r="C1822"/>
          <cell r="D1822"/>
          <cell r="E1822"/>
          <cell r="F1822"/>
          <cell r="G1822"/>
          <cell r="H1822"/>
          <cell r="I1822"/>
          <cell r="J1822"/>
          <cell r="K1822"/>
          <cell r="L1822"/>
        </row>
        <row r="1823">
          <cell r="C1823"/>
          <cell r="D1823"/>
          <cell r="E1823"/>
          <cell r="F1823"/>
          <cell r="G1823"/>
          <cell r="H1823"/>
          <cell r="I1823"/>
          <cell r="J1823"/>
          <cell r="K1823"/>
          <cell r="L1823"/>
        </row>
        <row r="1824">
          <cell r="C1824"/>
          <cell r="D1824"/>
          <cell r="E1824"/>
          <cell r="F1824"/>
          <cell r="G1824"/>
          <cell r="H1824"/>
          <cell r="I1824"/>
          <cell r="J1824"/>
          <cell r="K1824"/>
          <cell r="L1824"/>
        </row>
        <row r="1825">
          <cell r="C1825"/>
          <cell r="D1825"/>
          <cell r="E1825"/>
          <cell r="F1825"/>
          <cell r="G1825"/>
          <cell r="H1825"/>
          <cell r="I1825"/>
          <cell r="J1825"/>
          <cell r="K1825"/>
          <cell r="L1825"/>
        </row>
        <row r="1826">
          <cell r="C1826"/>
          <cell r="D1826"/>
          <cell r="E1826"/>
          <cell r="F1826"/>
          <cell r="G1826"/>
          <cell r="H1826"/>
          <cell r="I1826"/>
          <cell r="J1826"/>
          <cell r="K1826"/>
          <cell r="L1826"/>
        </row>
        <row r="1827">
          <cell r="C1827"/>
          <cell r="D1827"/>
          <cell r="E1827"/>
          <cell r="F1827"/>
          <cell r="G1827"/>
          <cell r="H1827"/>
          <cell r="I1827"/>
          <cell r="J1827"/>
          <cell r="K1827"/>
          <cell r="L1827"/>
        </row>
        <row r="1828">
          <cell r="C1828"/>
          <cell r="D1828"/>
          <cell r="E1828"/>
          <cell r="F1828"/>
          <cell r="G1828"/>
          <cell r="H1828"/>
          <cell r="I1828"/>
          <cell r="J1828"/>
          <cell r="K1828"/>
          <cell r="L1828"/>
        </row>
        <row r="1829">
          <cell r="C1829"/>
          <cell r="D1829"/>
          <cell r="E1829"/>
          <cell r="F1829"/>
          <cell r="G1829"/>
          <cell r="H1829"/>
          <cell r="I1829"/>
          <cell r="J1829"/>
          <cell r="K1829"/>
          <cell r="L1829"/>
        </row>
        <row r="1830">
          <cell r="C1830"/>
          <cell r="D1830"/>
          <cell r="E1830"/>
          <cell r="F1830"/>
          <cell r="G1830"/>
          <cell r="H1830"/>
          <cell r="I1830"/>
          <cell r="J1830"/>
          <cell r="K1830"/>
          <cell r="L1830"/>
        </row>
        <row r="1831">
          <cell r="C1831"/>
          <cell r="D1831"/>
          <cell r="E1831"/>
          <cell r="F1831"/>
          <cell r="G1831"/>
          <cell r="H1831"/>
          <cell r="I1831"/>
          <cell r="J1831"/>
          <cell r="K1831"/>
          <cell r="L1831"/>
        </row>
        <row r="1832">
          <cell r="C1832"/>
          <cell r="D1832"/>
          <cell r="E1832"/>
          <cell r="F1832"/>
          <cell r="G1832"/>
          <cell r="H1832"/>
          <cell r="I1832"/>
          <cell r="J1832"/>
          <cell r="K1832"/>
          <cell r="L1832"/>
        </row>
        <row r="1833">
          <cell r="C1833"/>
          <cell r="D1833"/>
          <cell r="E1833"/>
          <cell r="F1833"/>
          <cell r="G1833"/>
          <cell r="H1833"/>
          <cell r="I1833"/>
          <cell r="J1833"/>
          <cell r="K1833"/>
          <cell r="L1833"/>
        </row>
        <row r="1834">
          <cell r="C1834"/>
          <cell r="D1834"/>
          <cell r="E1834"/>
          <cell r="F1834"/>
          <cell r="G1834"/>
          <cell r="H1834"/>
          <cell r="I1834"/>
          <cell r="J1834"/>
          <cell r="K1834"/>
          <cell r="L1834"/>
        </row>
        <row r="1835">
          <cell r="C1835"/>
          <cell r="D1835"/>
          <cell r="E1835"/>
          <cell r="F1835"/>
          <cell r="G1835"/>
          <cell r="H1835"/>
          <cell r="I1835"/>
          <cell r="J1835"/>
          <cell r="K1835"/>
          <cell r="L1835"/>
        </row>
        <row r="1836">
          <cell r="C1836"/>
          <cell r="D1836"/>
          <cell r="E1836"/>
          <cell r="F1836"/>
          <cell r="G1836"/>
          <cell r="H1836"/>
          <cell r="I1836"/>
          <cell r="J1836"/>
          <cell r="K1836"/>
          <cell r="L1836"/>
        </row>
        <row r="1837">
          <cell r="C1837"/>
          <cell r="D1837"/>
          <cell r="E1837"/>
          <cell r="F1837"/>
          <cell r="G1837"/>
          <cell r="H1837"/>
          <cell r="I1837"/>
          <cell r="J1837"/>
          <cell r="K1837"/>
          <cell r="L1837"/>
        </row>
        <row r="1838">
          <cell r="C1838"/>
          <cell r="D1838"/>
          <cell r="E1838"/>
          <cell r="F1838"/>
          <cell r="G1838"/>
          <cell r="H1838"/>
          <cell r="I1838"/>
          <cell r="J1838"/>
          <cell r="K1838"/>
          <cell r="L1838"/>
        </row>
        <row r="1839">
          <cell r="C1839"/>
          <cell r="D1839"/>
          <cell r="E1839"/>
          <cell r="F1839"/>
          <cell r="G1839"/>
          <cell r="H1839"/>
          <cell r="I1839"/>
          <cell r="J1839"/>
          <cell r="K1839"/>
          <cell r="L1839"/>
        </row>
        <row r="1840">
          <cell r="C1840"/>
          <cell r="D1840"/>
          <cell r="E1840"/>
          <cell r="F1840"/>
          <cell r="G1840"/>
          <cell r="H1840"/>
          <cell r="I1840"/>
          <cell r="J1840"/>
          <cell r="K1840"/>
          <cell r="L1840"/>
        </row>
        <row r="1841">
          <cell r="C1841"/>
          <cell r="D1841"/>
          <cell r="E1841"/>
          <cell r="F1841"/>
          <cell r="G1841"/>
          <cell r="H1841"/>
          <cell r="I1841"/>
          <cell r="J1841"/>
          <cell r="K1841"/>
          <cell r="L1841"/>
        </row>
        <row r="1842">
          <cell r="C1842"/>
          <cell r="D1842"/>
          <cell r="E1842"/>
          <cell r="F1842"/>
          <cell r="G1842"/>
          <cell r="H1842"/>
          <cell r="I1842"/>
          <cell r="J1842"/>
          <cell r="K1842"/>
          <cell r="L1842"/>
        </row>
        <row r="1843">
          <cell r="C1843"/>
          <cell r="D1843"/>
          <cell r="E1843"/>
          <cell r="F1843"/>
          <cell r="G1843"/>
          <cell r="H1843"/>
          <cell r="I1843"/>
          <cell r="J1843"/>
          <cell r="K1843"/>
          <cell r="L1843"/>
        </row>
        <row r="1844">
          <cell r="C1844"/>
          <cell r="D1844"/>
          <cell r="E1844"/>
          <cell r="F1844"/>
          <cell r="G1844"/>
          <cell r="H1844"/>
          <cell r="I1844"/>
          <cell r="J1844"/>
          <cell r="K1844"/>
          <cell r="L1844"/>
        </row>
        <row r="1845">
          <cell r="C1845"/>
          <cell r="D1845"/>
          <cell r="E1845"/>
          <cell r="F1845"/>
          <cell r="G1845"/>
          <cell r="H1845"/>
          <cell r="I1845"/>
          <cell r="J1845"/>
          <cell r="K1845"/>
          <cell r="L1845"/>
        </row>
        <row r="1846">
          <cell r="C1846"/>
          <cell r="D1846"/>
          <cell r="E1846"/>
          <cell r="F1846"/>
          <cell r="G1846"/>
          <cell r="H1846"/>
          <cell r="I1846"/>
          <cell r="J1846"/>
          <cell r="K1846"/>
          <cell r="L1846"/>
        </row>
        <row r="1847">
          <cell r="C1847"/>
          <cell r="D1847"/>
          <cell r="E1847"/>
          <cell r="F1847"/>
          <cell r="G1847"/>
          <cell r="H1847"/>
          <cell r="I1847"/>
          <cell r="J1847"/>
          <cell r="K1847"/>
          <cell r="L1847"/>
        </row>
        <row r="1848">
          <cell r="C1848"/>
          <cell r="D1848"/>
          <cell r="E1848"/>
          <cell r="F1848"/>
          <cell r="G1848"/>
          <cell r="H1848"/>
          <cell r="I1848"/>
          <cell r="J1848"/>
          <cell r="K1848"/>
          <cell r="L1848"/>
        </row>
        <row r="1849">
          <cell r="C1849"/>
          <cell r="D1849"/>
          <cell r="E1849"/>
          <cell r="F1849"/>
          <cell r="G1849"/>
          <cell r="H1849"/>
          <cell r="I1849"/>
          <cell r="J1849"/>
          <cell r="K1849"/>
          <cell r="L1849"/>
        </row>
        <row r="1850">
          <cell r="C1850"/>
          <cell r="D1850"/>
          <cell r="E1850"/>
          <cell r="F1850"/>
          <cell r="G1850"/>
          <cell r="H1850"/>
          <cell r="I1850"/>
          <cell r="J1850"/>
          <cell r="K1850"/>
          <cell r="L1850"/>
        </row>
        <row r="1851">
          <cell r="C1851"/>
          <cell r="D1851"/>
          <cell r="E1851"/>
          <cell r="F1851"/>
          <cell r="G1851"/>
          <cell r="H1851"/>
          <cell r="I1851"/>
          <cell r="J1851"/>
          <cell r="K1851"/>
          <cell r="L1851"/>
        </row>
        <row r="1852">
          <cell r="C1852"/>
          <cell r="D1852"/>
          <cell r="E1852"/>
          <cell r="F1852"/>
          <cell r="G1852"/>
          <cell r="H1852"/>
          <cell r="I1852"/>
          <cell r="J1852"/>
          <cell r="K1852"/>
          <cell r="L1852"/>
        </row>
        <row r="1853">
          <cell r="C1853"/>
          <cell r="D1853"/>
          <cell r="E1853"/>
          <cell r="F1853"/>
          <cell r="G1853"/>
          <cell r="H1853"/>
          <cell r="I1853"/>
          <cell r="J1853"/>
          <cell r="K1853"/>
          <cell r="L1853"/>
        </row>
        <row r="1854">
          <cell r="C1854"/>
          <cell r="D1854"/>
          <cell r="E1854"/>
          <cell r="F1854"/>
          <cell r="G1854"/>
          <cell r="H1854"/>
          <cell r="I1854"/>
          <cell r="J1854"/>
          <cell r="K1854"/>
          <cell r="L1854"/>
        </row>
        <row r="1855">
          <cell r="C1855"/>
          <cell r="D1855"/>
          <cell r="E1855"/>
          <cell r="F1855"/>
          <cell r="G1855"/>
          <cell r="H1855"/>
          <cell r="I1855"/>
          <cell r="J1855"/>
          <cell r="K1855"/>
          <cell r="L1855"/>
        </row>
        <row r="1856">
          <cell r="C1856"/>
          <cell r="D1856"/>
          <cell r="E1856"/>
          <cell r="F1856"/>
          <cell r="G1856"/>
          <cell r="H1856"/>
          <cell r="I1856"/>
          <cell r="J1856"/>
          <cell r="K1856"/>
          <cell r="L1856"/>
        </row>
        <row r="1857">
          <cell r="C1857"/>
          <cell r="D1857"/>
          <cell r="E1857"/>
          <cell r="F1857"/>
          <cell r="G1857"/>
          <cell r="H1857"/>
          <cell r="I1857"/>
          <cell r="J1857"/>
          <cell r="K1857"/>
          <cell r="L1857"/>
        </row>
        <row r="1858">
          <cell r="C1858"/>
          <cell r="D1858"/>
          <cell r="E1858"/>
          <cell r="F1858"/>
          <cell r="G1858"/>
          <cell r="H1858"/>
          <cell r="I1858"/>
          <cell r="J1858"/>
          <cell r="K1858"/>
          <cell r="L1858"/>
        </row>
        <row r="1859">
          <cell r="C1859"/>
          <cell r="D1859"/>
          <cell r="E1859"/>
          <cell r="F1859"/>
          <cell r="G1859"/>
          <cell r="H1859"/>
          <cell r="I1859"/>
          <cell r="J1859"/>
          <cell r="K1859"/>
          <cell r="L1859"/>
        </row>
        <row r="1860">
          <cell r="C1860"/>
          <cell r="D1860"/>
          <cell r="E1860"/>
          <cell r="F1860"/>
          <cell r="G1860"/>
          <cell r="H1860"/>
          <cell r="I1860"/>
          <cell r="J1860"/>
          <cell r="K1860"/>
          <cell r="L1860"/>
        </row>
        <row r="1861">
          <cell r="C1861"/>
          <cell r="D1861"/>
          <cell r="E1861"/>
          <cell r="F1861"/>
          <cell r="G1861"/>
          <cell r="H1861"/>
          <cell r="I1861"/>
          <cell r="J1861"/>
          <cell r="K1861"/>
          <cell r="L1861"/>
        </row>
        <row r="1862">
          <cell r="C1862"/>
          <cell r="D1862"/>
          <cell r="E1862"/>
          <cell r="F1862"/>
          <cell r="G1862"/>
          <cell r="H1862"/>
          <cell r="I1862"/>
          <cell r="J1862"/>
          <cell r="K1862"/>
          <cell r="L1862"/>
        </row>
        <row r="1863">
          <cell r="C1863"/>
          <cell r="D1863"/>
          <cell r="E1863"/>
          <cell r="F1863"/>
          <cell r="G1863"/>
          <cell r="H1863"/>
          <cell r="I1863"/>
          <cell r="J1863"/>
          <cell r="K1863"/>
          <cell r="L1863"/>
        </row>
        <row r="1864">
          <cell r="C1864"/>
          <cell r="D1864"/>
          <cell r="E1864"/>
          <cell r="F1864"/>
          <cell r="G1864"/>
          <cell r="H1864"/>
          <cell r="I1864"/>
          <cell r="J1864"/>
          <cell r="K1864"/>
          <cell r="L1864"/>
        </row>
        <row r="1865">
          <cell r="C1865"/>
          <cell r="D1865"/>
          <cell r="E1865"/>
          <cell r="F1865"/>
          <cell r="G1865"/>
          <cell r="H1865"/>
          <cell r="I1865"/>
          <cell r="J1865"/>
          <cell r="K1865"/>
          <cell r="L1865"/>
        </row>
        <row r="1866">
          <cell r="C1866"/>
          <cell r="D1866"/>
          <cell r="E1866"/>
          <cell r="F1866"/>
          <cell r="G1866"/>
          <cell r="H1866"/>
          <cell r="I1866"/>
          <cell r="J1866"/>
          <cell r="K1866"/>
          <cell r="L1866"/>
        </row>
        <row r="1867">
          <cell r="C1867"/>
          <cell r="D1867"/>
          <cell r="E1867"/>
          <cell r="F1867"/>
          <cell r="G1867"/>
          <cell r="H1867"/>
          <cell r="I1867"/>
          <cell r="J1867"/>
          <cell r="K1867"/>
          <cell r="L1867"/>
        </row>
        <row r="1868">
          <cell r="C1868"/>
          <cell r="D1868"/>
          <cell r="E1868"/>
          <cell r="F1868"/>
          <cell r="G1868"/>
          <cell r="H1868"/>
          <cell r="I1868"/>
          <cell r="J1868"/>
          <cell r="K1868"/>
          <cell r="L1868"/>
        </row>
        <row r="1869">
          <cell r="C1869"/>
          <cell r="D1869"/>
          <cell r="E1869"/>
          <cell r="F1869"/>
          <cell r="G1869"/>
          <cell r="H1869"/>
          <cell r="I1869"/>
          <cell r="J1869"/>
          <cell r="K1869"/>
          <cell r="L1869"/>
        </row>
        <row r="1870">
          <cell r="C1870"/>
          <cell r="D1870"/>
          <cell r="E1870"/>
          <cell r="F1870"/>
          <cell r="G1870"/>
          <cell r="H1870"/>
          <cell r="I1870"/>
          <cell r="J1870"/>
          <cell r="K1870"/>
          <cell r="L1870"/>
        </row>
        <row r="1871">
          <cell r="C1871"/>
          <cell r="D1871"/>
          <cell r="E1871"/>
          <cell r="F1871"/>
          <cell r="G1871"/>
          <cell r="H1871"/>
          <cell r="I1871"/>
          <cell r="J1871"/>
          <cell r="K1871"/>
          <cell r="L1871"/>
        </row>
        <row r="1872">
          <cell r="C1872"/>
          <cell r="D1872"/>
          <cell r="E1872"/>
          <cell r="F1872"/>
          <cell r="G1872"/>
          <cell r="H1872"/>
          <cell r="I1872"/>
          <cell r="J1872"/>
          <cell r="K1872"/>
          <cell r="L1872"/>
        </row>
        <row r="1873">
          <cell r="C1873"/>
          <cell r="D1873"/>
          <cell r="E1873"/>
          <cell r="F1873"/>
          <cell r="G1873"/>
          <cell r="H1873"/>
          <cell r="I1873"/>
          <cell r="J1873"/>
          <cell r="K1873"/>
          <cell r="L1873"/>
        </row>
        <row r="1874">
          <cell r="C1874"/>
          <cell r="D1874"/>
          <cell r="E1874"/>
          <cell r="F1874"/>
          <cell r="G1874"/>
          <cell r="H1874"/>
          <cell r="I1874"/>
          <cell r="J1874"/>
          <cell r="K1874"/>
          <cell r="L1874"/>
        </row>
        <row r="1875">
          <cell r="C1875"/>
          <cell r="D1875"/>
          <cell r="E1875"/>
          <cell r="F1875"/>
          <cell r="G1875"/>
          <cell r="H1875"/>
          <cell r="I1875"/>
          <cell r="J1875"/>
          <cell r="K1875"/>
          <cell r="L1875"/>
        </row>
        <row r="1876">
          <cell r="C1876"/>
          <cell r="D1876"/>
          <cell r="E1876"/>
          <cell r="F1876"/>
          <cell r="G1876"/>
          <cell r="H1876"/>
          <cell r="I1876"/>
          <cell r="J1876"/>
          <cell r="K1876"/>
          <cell r="L1876"/>
        </row>
        <row r="1877">
          <cell r="C1877"/>
          <cell r="D1877"/>
          <cell r="E1877"/>
          <cell r="F1877"/>
          <cell r="G1877"/>
          <cell r="H1877"/>
          <cell r="I1877"/>
          <cell r="J1877"/>
          <cell r="K1877"/>
          <cell r="L1877"/>
        </row>
        <row r="1878">
          <cell r="C1878"/>
          <cell r="D1878"/>
          <cell r="E1878"/>
          <cell r="F1878"/>
          <cell r="G1878"/>
          <cell r="H1878"/>
          <cell r="I1878"/>
          <cell r="J1878"/>
          <cell r="K1878"/>
          <cell r="L1878"/>
        </row>
        <row r="1879">
          <cell r="C1879"/>
          <cell r="D1879"/>
          <cell r="E1879"/>
          <cell r="F1879"/>
          <cell r="G1879"/>
          <cell r="H1879"/>
          <cell r="I1879"/>
          <cell r="J1879"/>
          <cell r="K1879"/>
          <cell r="L1879"/>
        </row>
        <row r="1880">
          <cell r="C1880"/>
          <cell r="D1880"/>
          <cell r="E1880"/>
          <cell r="F1880"/>
          <cell r="G1880"/>
          <cell r="H1880"/>
          <cell r="I1880"/>
          <cell r="J1880"/>
          <cell r="K1880"/>
          <cell r="L1880"/>
        </row>
        <row r="1881">
          <cell r="C1881"/>
          <cell r="D1881"/>
          <cell r="E1881"/>
          <cell r="F1881"/>
          <cell r="G1881"/>
          <cell r="H1881"/>
          <cell r="I1881"/>
          <cell r="J1881"/>
          <cell r="K1881"/>
          <cell r="L1881"/>
        </row>
        <row r="1882">
          <cell r="C1882"/>
          <cell r="D1882"/>
          <cell r="E1882"/>
          <cell r="F1882"/>
          <cell r="G1882"/>
          <cell r="H1882"/>
          <cell r="I1882"/>
          <cell r="J1882"/>
          <cell r="K1882"/>
          <cell r="L1882"/>
        </row>
        <row r="1883">
          <cell r="C1883"/>
          <cell r="D1883"/>
          <cell r="E1883"/>
          <cell r="F1883"/>
          <cell r="G1883"/>
          <cell r="H1883"/>
          <cell r="I1883"/>
          <cell r="J1883"/>
          <cell r="K1883"/>
          <cell r="L1883"/>
        </row>
        <row r="1884">
          <cell r="C1884"/>
          <cell r="D1884"/>
          <cell r="E1884"/>
          <cell r="F1884"/>
          <cell r="G1884"/>
          <cell r="H1884"/>
          <cell r="I1884"/>
          <cell r="J1884"/>
          <cell r="K1884"/>
          <cell r="L1884"/>
        </row>
        <row r="1885">
          <cell r="C1885"/>
          <cell r="D1885"/>
          <cell r="E1885"/>
          <cell r="F1885"/>
          <cell r="G1885"/>
          <cell r="H1885"/>
          <cell r="I1885"/>
          <cell r="J1885"/>
          <cell r="K1885"/>
          <cell r="L1885"/>
        </row>
        <row r="1886">
          <cell r="C1886"/>
          <cell r="D1886"/>
          <cell r="E1886"/>
          <cell r="F1886"/>
          <cell r="G1886"/>
          <cell r="H1886"/>
          <cell r="I1886"/>
          <cell r="J1886"/>
          <cell r="K1886"/>
          <cell r="L1886"/>
        </row>
        <row r="1887">
          <cell r="C1887"/>
          <cell r="D1887"/>
          <cell r="E1887"/>
          <cell r="F1887"/>
          <cell r="G1887"/>
          <cell r="H1887"/>
          <cell r="I1887"/>
          <cell r="J1887"/>
          <cell r="K1887"/>
          <cell r="L1887"/>
        </row>
        <row r="1888">
          <cell r="C1888"/>
          <cell r="D1888"/>
          <cell r="E1888"/>
          <cell r="F1888"/>
          <cell r="G1888"/>
          <cell r="H1888"/>
          <cell r="I1888"/>
          <cell r="J1888"/>
          <cell r="K1888"/>
          <cell r="L1888"/>
        </row>
        <row r="1889">
          <cell r="C1889"/>
          <cell r="D1889"/>
          <cell r="E1889"/>
          <cell r="F1889"/>
          <cell r="G1889"/>
          <cell r="H1889"/>
          <cell r="I1889"/>
          <cell r="J1889"/>
          <cell r="K1889"/>
          <cell r="L1889"/>
        </row>
        <row r="1890">
          <cell r="C1890"/>
          <cell r="D1890"/>
          <cell r="E1890"/>
          <cell r="F1890"/>
          <cell r="G1890"/>
          <cell r="H1890"/>
          <cell r="I1890"/>
          <cell r="J1890"/>
          <cell r="K1890"/>
          <cell r="L1890"/>
        </row>
        <row r="1891">
          <cell r="C1891"/>
          <cell r="D1891"/>
          <cell r="E1891"/>
          <cell r="F1891"/>
          <cell r="G1891"/>
          <cell r="H1891"/>
          <cell r="I1891"/>
          <cell r="J1891"/>
          <cell r="K1891"/>
          <cell r="L1891"/>
        </row>
        <row r="1892">
          <cell r="C1892"/>
          <cell r="D1892"/>
          <cell r="E1892"/>
          <cell r="F1892"/>
          <cell r="G1892"/>
          <cell r="H1892"/>
          <cell r="I1892"/>
          <cell r="J1892"/>
          <cell r="K1892"/>
          <cell r="L1892"/>
        </row>
        <row r="1893">
          <cell r="C1893"/>
          <cell r="D1893"/>
          <cell r="E1893"/>
          <cell r="F1893"/>
          <cell r="G1893"/>
          <cell r="H1893"/>
          <cell r="I1893"/>
          <cell r="J1893"/>
          <cell r="K1893"/>
          <cell r="L1893"/>
        </row>
        <row r="1894">
          <cell r="C1894"/>
          <cell r="D1894"/>
          <cell r="E1894"/>
          <cell r="F1894"/>
          <cell r="G1894"/>
          <cell r="H1894"/>
          <cell r="I1894"/>
          <cell r="J1894"/>
          <cell r="K1894"/>
          <cell r="L1894"/>
        </row>
        <row r="1895">
          <cell r="C1895"/>
          <cell r="D1895"/>
          <cell r="E1895"/>
          <cell r="F1895"/>
          <cell r="G1895"/>
          <cell r="H1895"/>
          <cell r="I1895"/>
          <cell r="J1895"/>
          <cell r="K1895"/>
          <cell r="L1895"/>
        </row>
        <row r="1896">
          <cell r="C1896"/>
          <cell r="D1896"/>
          <cell r="E1896"/>
          <cell r="F1896"/>
          <cell r="G1896"/>
          <cell r="H1896"/>
          <cell r="I1896"/>
          <cell r="J1896"/>
          <cell r="K1896"/>
          <cell r="L1896"/>
        </row>
        <row r="1897">
          <cell r="C1897"/>
          <cell r="D1897"/>
          <cell r="E1897"/>
          <cell r="F1897"/>
          <cell r="G1897"/>
          <cell r="H1897"/>
          <cell r="I1897"/>
          <cell r="J1897"/>
          <cell r="K1897"/>
          <cell r="L1897"/>
        </row>
        <row r="1898">
          <cell r="C1898"/>
          <cell r="D1898"/>
          <cell r="E1898"/>
          <cell r="F1898"/>
          <cell r="G1898"/>
          <cell r="H1898"/>
          <cell r="I1898"/>
          <cell r="J1898"/>
          <cell r="K1898"/>
          <cell r="L1898"/>
        </row>
        <row r="1899">
          <cell r="C1899"/>
          <cell r="D1899"/>
          <cell r="E1899"/>
          <cell r="F1899"/>
          <cell r="G1899"/>
          <cell r="H1899"/>
          <cell r="I1899"/>
          <cell r="J1899"/>
          <cell r="K1899"/>
          <cell r="L1899"/>
        </row>
        <row r="1900">
          <cell r="C1900"/>
          <cell r="D1900"/>
          <cell r="E1900"/>
          <cell r="F1900"/>
          <cell r="G1900"/>
          <cell r="H1900"/>
          <cell r="I1900"/>
          <cell r="J1900"/>
          <cell r="K1900"/>
          <cell r="L1900"/>
        </row>
        <row r="1901">
          <cell r="C1901"/>
          <cell r="D1901"/>
          <cell r="E1901"/>
          <cell r="F1901"/>
          <cell r="G1901"/>
          <cell r="H1901"/>
          <cell r="I1901"/>
          <cell r="J1901"/>
          <cell r="K1901"/>
          <cell r="L1901"/>
        </row>
        <row r="1902">
          <cell r="C1902"/>
          <cell r="D1902"/>
          <cell r="E1902"/>
          <cell r="F1902"/>
          <cell r="G1902"/>
          <cell r="H1902"/>
          <cell r="I1902"/>
          <cell r="J1902"/>
          <cell r="K1902"/>
          <cell r="L1902"/>
        </row>
        <row r="1903">
          <cell r="C1903"/>
          <cell r="D1903"/>
          <cell r="E1903"/>
          <cell r="F1903"/>
          <cell r="G1903"/>
          <cell r="H1903"/>
          <cell r="I1903"/>
          <cell r="J1903"/>
          <cell r="K1903"/>
          <cell r="L1903"/>
        </row>
        <row r="1904">
          <cell r="C1904"/>
          <cell r="D1904"/>
          <cell r="E1904"/>
          <cell r="F1904"/>
          <cell r="G1904"/>
          <cell r="H1904"/>
          <cell r="I1904"/>
          <cell r="J1904"/>
          <cell r="K1904"/>
          <cell r="L1904"/>
        </row>
        <row r="1905">
          <cell r="C1905"/>
          <cell r="D1905"/>
          <cell r="E1905"/>
          <cell r="F1905"/>
          <cell r="G1905"/>
          <cell r="H1905"/>
          <cell r="I1905"/>
          <cell r="J1905"/>
          <cell r="K1905"/>
          <cell r="L1905"/>
        </row>
        <row r="1906">
          <cell r="C1906"/>
          <cell r="D1906"/>
          <cell r="E1906"/>
          <cell r="F1906"/>
          <cell r="G1906"/>
          <cell r="H1906"/>
          <cell r="I1906"/>
          <cell r="J1906"/>
          <cell r="K1906"/>
          <cell r="L1906"/>
        </row>
        <row r="1907">
          <cell r="C1907"/>
          <cell r="D1907"/>
          <cell r="E1907"/>
          <cell r="F1907"/>
          <cell r="G1907"/>
          <cell r="H1907"/>
          <cell r="I1907"/>
          <cell r="J1907"/>
          <cell r="K1907"/>
          <cell r="L1907"/>
        </row>
        <row r="1908">
          <cell r="C1908"/>
          <cell r="D1908"/>
          <cell r="E1908"/>
          <cell r="F1908"/>
          <cell r="G1908"/>
          <cell r="H1908"/>
          <cell r="I1908"/>
          <cell r="J1908"/>
          <cell r="K1908"/>
          <cell r="L1908"/>
        </row>
        <row r="1909">
          <cell r="C1909"/>
          <cell r="D1909"/>
          <cell r="E1909"/>
          <cell r="F1909"/>
          <cell r="G1909"/>
          <cell r="H1909"/>
          <cell r="I1909"/>
          <cell r="J1909"/>
          <cell r="K1909"/>
          <cell r="L1909"/>
        </row>
        <row r="1910">
          <cell r="C1910"/>
          <cell r="D1910"/>
          <cell r="E1910"/>
          <cell r="F1910"/>
          <cell r="G1910"/>
          <cell r="H1910"/>
          <cell r="I1910"/>
          <cell r="J1910"/>
          <cell r="K1910"/>
          <cell r="L1910"/>
        </row>
        <row r="1911">
          <cell r="C1911"/>
          <cell r="D1911"/>
          <cell r="E1911"/>
          <cell r="F1911"/>
          <cell r="G1911"/>
          <cell r="H1911"/>
          <cell r="I1911"/>
          <cell r="J1911"/>
          <cell r="K1911"/>
          <cell r="L1911"/>
        </row>
        <row r="1912">
          <cell r="C1912"/>
          <cell r="D1912"/>
          <cell r="E1912"/>
          <cell r="F1912"/>
          <cell r="G1912"/>
          <cell r="H1912"/>
          <cell r="I1912"/>
          <cell r="J1912"/>
          <cell r="K1912"/>
          <cell r="L1912"/>
        </row>
        <row r="1913">
          <cell r="C1913"/>
          <cell r="D1913"/>
          <cell r="E1913"/>
          <cell r="F1913"/>
          <cell r="G1913"/>
          <cell r="H1913"/>
          <cell r="I1913"/>
          <cell r="J1913"/>
          <cell r="K1913"/>
          <cell r="L1913"/>
        </row>
        <row r="1914">
          <cell r="C1914"/>
          <cell r="D1914"/>
          <cell r="E1914"/>
          <cell r="F1914"/>
          <cell r="G1914"/>
          <cell r="H1914"/>
          <cell r="I1914"/>
          <cell r="J1914"/>
          <cell r="K1914"/>
          <cell r="L1914"/>
        </row>
        <row r="1915">
          <cell r="C1915"/>
          <cell r="D1915"/>
          <cell r="E1915"/>
          <cell r="F1915"/>
          <cell r="G1915"/>
          <cell r="H1915"/>
          <cell r="I1915"/>
          <cell r="J1915"/>
          <cell r="K1915"/>
          <cell r="L1915"/>
        </row>
        <row r="1916">
          <cell r="C1916"/>
          <cell r="D1916"/>
          <cell r="E1916"/>
          <cell r="F1916"/>
          <cell r="G1916"/>
          <cell r="H1916"/>
          <cell r="I1916"/>
          <cell r="J1916"/>
          <cell r="K1916"/>
          <cell r="L1916"/>
        </row>
        <row r="1917">
          <cell r="C1917"/>
          <cell r="D1917"/>
          <cell r="E1917"/>
          <cell r="F1917"/>
          <cell r="G1917"/>
          <cell r="H1917"/>
          <cell r="I1917"/>
          <cell r="J1917"/>
          <cell r="K1917"/>
          <cell r="L1917"/>
        </row>
        <row r="1918">
          <cell r="C1918"/>
          <cell r="D1918"/>
          <cell r="E1918"/>
          <cell r="F1918"/>
          <cell r="G1918"/>
          <cell r="H1918"/>
          <cell r="I1918"/>
          <cell r="J1918"/>
          <cell r="K1918"/>
          <cell r="L1918"/>
        </row>
        <row r="1919">
          <cell r="C1919"/>
          <cell r="D1919"/>
          <cell r="E1919"/>
          <cell r="F1919"/>
          <cell r="G1919"/>
          <cell r="H1919"/>
          <cell r="I1919"/>
          <cell r="J1919"/>
          <cell r="K1919"/>
          <cell r="L1919"/>
        </row>
        <row r="1920">
          <cell r="C1920"/>
          <cell r="D1920"/>
          <cell r="E1920"/>
          <cell r="F1920"/>
          <cell r="G1920"/>
          <cell r="H1920"/>
          <cell r="I1920"/>
          <cell r="J1920"/>
          <cell r="K1920"/>
          <cell r="L1920"/>
        </row>
        <row r="1921">
          <cell r="C1921"/>
          <cell r="D1921"/>
          <cell r="E1921"/>
          <cell r="F1921"/>
          <cell r="G1921"/>
          <cell r="H1921"/>
          <cell r="I1921"/>
          <cell r="J1921"/>
          <cell r="K1921"/>
          <cell r="L1921"/>
        </row>
        <row r="1922">
          <cell r="C1922"/>
          <cell r="D1922"/>
          <cell r="E1922"/>
          <cell r="F1922"/>
          <cell r="G1922"/>
          <cell r="H1922"/>
          <cell r="I1922"/>
          <cell r="J1922"/>
          <cell r="K1922"/>
          <cell r="L1922"/>
        </row>
        <row r="1923">
          <cell r="C1923"/>
          <cell r="D1923"/>
          <cell r="E1923"/>
          <cell r="F1923"/>
          <cell r="G1923"/>
          <cell r="H1923"/>
          <cell r="I1923"/>
          <cell r="J1923"/>
          <cell r="K1923"/>
          <cell r="L1923"/>
        </row>
        <row r="1924">
          <cell r="C1924"/>
          <cell r="D1924"/>
          <cell r="E1924"/>
          <cell r="F1924"/>
          <cell r="G1924"/>
          <cell r="H1924"/>
          <cell r="I1924"/>
          <cell r="J1924"/>
          <cell r="K1924"/>
          <cell r="L1924"/>
        </row>
        <row r="1925">
          <cell r="C1925"/>
          <cell r="D1925"/>
          <cell r="E1925"/>
          <cell r="F1925"/>
          <cell r="G1925"/>
          <cell r="H1925"/>
          <cell r="I1925"/>
          <cell r="J1925"/>
          <cell r="K1925"/>
          <cell r="L1925"/>
        </row>
        <row r="1926">
          <cell r="C1926"/>
          <cell r="D1926"/>
          <cell r="E1926"/>
          <cell r="F1926"/>
          <cell r="G1926"/>
          <cell r="H1926"/>
          <cell r="I1926"/>
          <cell r="J1926"/>
          <cell r="K1926"/>
          <cell r="L1926"/>
        </row>
        <row r="1927">
          <cell r="C1927"/>
          <cell r="D1927"/>
          <cell r="E1927"/>
          <cell r="F1927"/>
          <cell r="G1927"/>
          <cell r="H1927"/>
          <cell r="I1927"/>
          <cell r="J1927"/>
          <cell r="K1927"/>
          <cell r="L1927"/>
        </row>
        <row r="1928">
          <cell r="C1928"/>
          <cell r="D1928"/>
          <cell r="E1928"/>
          <cell r="F1928"/>
          <cell r="G1928"/>
          <cell r="H1928"/>
          <cell r="I1928"/>
          <cell r="J1928"/>
          <cell r="K1928"/>
          <cell r="L1928"/>
        </row>
        <row r="1929">
          <cell r="C1929"/>
          <cell r="D1929"/>
          <cell r="E1929"/>
          <cell r="F1929"/>
          <cell r="G1929"/>
          <cell r="H1929"/>
          <cell r="I1929"/>
          <cell r="J1929"/>
          <cell r="K1929"/>
          <cell r="L1929"/>
        </row>
        <row r="1930">
          <cell r="C1930"/>
          <cell r="D1930"/>
          <cell r="E1930"/>
          <cell r="F1930"/>
          <cell r="G1930"/>
          <cell r="H1930"/>
          <cell r="I1930"/>
          <cell r="J1930"/>
          <cell r="K1930"/>
          <cell r="L1930"/>
        </row>
        <row r="1931">
          <cell r="C1931"/>
          <cell r="D1931"/>
          <cell r="E1931"/>
          <cell r="F1931"/>
          <cell r="G1931"/>
          <cell r="H1931"/>
          <cell r="I1931"/>
          <cell r="J1931"/>
          <cell r="K1931"/>
          <cell r="L1931"/>
        </row>
        <row r="1932">
          <cell r="C1932"/>
          <cell r="D1932"/>
          <cell r="E1932"/>
          <cell r="F1932"/>
          <cell r="G1932"/>
          <cell r="H1932"/>
          <cell r="I1932"/>
          <cell r="J1932"/>
          <cell r="K1932"/>
          <cell r="L1932"/>
        </row>
        <row r="1933">
          <cell r="C1933"/>
          <cell r="D1933"/>
          <cell r="E1933"/>
          <cell r="F1933"/>
          <cell r="G1933"/>
          <cell r="H1933"/>
          <cell r="I1933"/>
          <cell r="J1933"/>
          <cell r="K1933"/>
          <cell r="L1933"/>
        </row>
        <row r="1934">
          <cell r="C1934"/>
          <cell r="D1934"/>
          <cell r="E1934"/>
          <cell r="F1934"/>
          <cell r="G1934"/>
          <cell r="H1934"/>
          <cell r="I1934"/>
          <cell r="J1934"/>
          <cell r="K1934"/>
          <cell r="L1934"/>
        </row>
        <row r="1935">
          <cell r="C1935"/>
          <cell r="D1935"/>
          <cell r="E1935"/>
          <cell r="F1935"/>
          <cell r="G1935"/>
          <cell r="H1935"/>
          <cell r="I1935"/>
          <cell r="J1935"/>
          <cell r="K1935"/>
          <cell r="L1935"/>
        </row>
        <row r="1936">
          <cell r="C1936"/>
          <cell r="D1936"/>
          <cell r="E1936"/>
          <cell r="F1936"/>
          <cell r="G1936"/>
          <cell r="H1936"/>
          <cell r="I1936"/>
          <cell r="J1936"/>
          <cell r="K1936"/>
          <cell r="L1936"/>
        </row>
        <row r="1937">
          <cell r="C1937"/>
          <cell r="D1937"/>
          <cell r="E1937"/>
          <cell r="F1937"/>
          <cell r="G1937"/>
          <cell r="H1937"/>
          <cell r="I1937"/>
          <cell r="J1937"/>
          <cell r="K1937"/>
          <cell r="L1937"/>
        </row>
        <row r="1938">
          <cell r="C1938"/>
          <cell r="D1938"/>
          <cell r="E1938"/>
          <cell r="F1938"/>
          <cell r="G1938"/>
          <cell r="H1938"/>
          <cell r="I1938"/>
          <cell r="J1938"/>
          <cell r="K1938"/>
          <cell r="L1938"/>
        </row>
        <row r="1939">
          <cell r="C1939"/>
          <cell r="D1939"/>
          <cell r="E1939"/>
          <cell r="F1939"/>
          <cell r="G1939"/>
          <cell r="H1939"/>
          <cell r="I1939"/>
          <cell r="J1939"/>
          <cell r="K1939"/>
          <cell r="L1939"/>
        </row>
        <row r="1940">
          <cell r="C1940"/>
          <cell r="D1940"/>
          <cell r="E1940"/>
          <cell r="F1940"/>
          <cell r="G1940"/>
          <cell r="H1940"/>
          <cell r="I1940"/>
          <cell r="J1940"/>
          <cell r="K1940"/>
          <cell r="L1940"/>
        </row>
        <row r="1941">
          <cell r="C1941"/>
          <cell r="D1941"/>
          <cell r="E1941"/>
          <cell r="F1941"/>
          <cell r="G1941"/>
          <cell r="H1941"/>
          <cell r="I1941"/>
          <cell r="J1941"/>
          <cell r="K1941"/>
          <cell r="L1941"/>
        </row>
        <row r="1942">
          <cell r="C1942"/>
          <cell r="D1942"/>
          <cell r="E1942"/>
          <cell r="F1942"/>
          <cell r="G1942"/>
          <cell r="H1942"/>
          <cell r="I1942"/>
          <cell r="J1942"/>
          <cell r="K1942"/>
          <cell r="L1942"/>
        </row>
        <row r="1943">
          <cell r="C1943"/>
          <cell r="D1943"/>
          <cell r="E1943"/>
          <cell r="F1943"/>
          <cell r="G1943"/>
          <cell r="H1943"/>
          <cell r="I1943"/>
          <cell r="J1943"/>
          <cell r="K1943"/>
          <cell r="L1943"/>
        </row>
        <row r="1944">
          <cell r="C1944"/>
          <cell r="D1944"/>
          <cell r="E1944"/>
          <cell r="F1944"/>
          <cell r="G1944"/>
          <cell r="H1944"/>
          <cell r="I1944"/>
          <cell r="J1944"/>
          <cell r="K1944"/>
          <cell r="L1944"/>
        </row>
        <row r="1945">
          <cell r="C1945"/>
          <cell r="D1945"/>
          <cell r="E1945"/>
          <cell r="F1945"/>
          <cell r="G1945"/>
          <cell r="H1945"/>
          <cell r="I1945"/>
          <cell r="J1945"/>
          <cell r="K1945"/>
          <cell r="L1945"/>
        </row>
        <row r="1946">
          <cell r="C1946"/>
          <cell r="D1946"/>
          <cell r="E1946"/>
          <cell r="F1946"/>
          <cell r="G1946"/>
          <cell r="H1946"/>
          <cell r="I1946"/>
          <cell r="J1946"/>
          <cell r="K1946"/>
          <cell r="L1946"/>
        </row>
        <row r="1947">
          <cell r="C1947"/>
          <cell r="D1947"/>
          <cell r="E1947"/>
          <cell r="F1947"/>
          <cell r="G1947"/>
          <cell r="H1947"/>
          <cell r="I1947"/>
          <cell r="J1947"/>
          <cell r="K1947"/>
          <cell r="L1947"/>
        </row>
        <row r="1948">
          <cell r="C1948"/>
          <cell r="D1948"/>
          <cell r="E1948"/>
          <cell r="F1948"/>
          <cell r="G1948"/>
          <cell r="H1948"/>
          <cell r="I1948"/>
          <cell r="J1948"/>
          <cell r="K1948"/>
          <cell r="L1948"/>
        </row>
        <row r="1949">
          <cell r="C1949"/>
          <cell r="D1949"/>
          <cell r="E1949"/>
          <cell r="F1949"/>
          <cell r="G1949"/>
          <cell r="H1949"/>
          <cell r="I1949"/>
          <cell r="J1949"/>
          <cell r="K1949"/>
          <cell r="L1949"/>
        </row>
        <row r="1950">
          <cell r="C1950"/>
          <cell r="D1950"/>
          <cell r="E1950"/>
          <cell r="F1950"/>
          <cell r="G1950"/>
          <cell r="H1950"/>
          <cell r="I1950"/>
          <cell r="J1950"/>
          <cell r="K1950"/>
          <cell r="L1950"/>
        </row>
        <row r="1951">
          <cell r="C1951"/>
          <cell r="D1951"/>
          <cell r="E1951"/>
          <cell r="F1951"/>
          <cell r="G1951"/>
          <cell r="H1951"/>
          <cell r="I1951"/>
          <cell r="J1951"/>
          <cell r="K1951"/>
          <cell r="L1951"/>
        </row>
        <row r="1952">
          <cell r="C1952"/>
          <cell r="D1952"/>
          <cell r="E1952"/>
          <cell r="F1952"/>
          <cell r="G1952"/>
          <cell r="H1952"/>
          <cell r="I1952"/>
          <cell r="J1952"/>
          <cell r="K1952"/>
          <cell r="L1952"/>
        </row>
        <row r="1953">
          <cell r="C1953"/>
          <cell r="D1953"/>
          <cell r="E1953"/>
          <cell r="F1953"/>
          <cell r="G1953"/>
          <cell r="H1953"/>
          <cell r="I1953"/>
          <cell r="J1953"/>
          <cell r="K1953"/>
          <cell r="L1953"/>
        </row>
        <row r="1954">
          <cell r="C1954"/>
          <cell r="D1954"/>
          <cell r="E1954"/>
          <cell r="F1954"/>
          <cell r="G1954"/>
          <cell r="H1954"/>
          <cell r="I1954"/>
          <cell r="J1954"/>
          <cell r="K1954"/>
          <cell r="L1954"/>
        </row>
        <row r="1955">
          <cell r="C1955"/>
          <cell r="D1955"/>
          <cell r="E1955"/>
          <cell r="F1955"/>
          <cell r="G1955"/>
          <cell r="H1955"/>
          <cell r="I1955"/>
          <cell r="J1955"/>
          <cell r="K1955"/>
          <cell r="L1955"/>
        </row>
        <row r="1956">
          <cell r="C1956"/>
          <cell r="D1956"/>
          <cell r="E1956"/>
          <cell r="F1956"/>
          <cell r="G1956"/>
          <cell r="H1956"/>
          <cell r="I1956"/>
          <cell r="J1956"/>
          <cell r="K1956"/>
          <cell r="L1956"/>
        </row>
        <row r="1957">
          <cell r="C1957"/>
          <cell r="D1957"/>
          <cell r="E1957"/>
          <cell r="F1957"/>
          <cell r="G1957"/>
          <cell r="H1957"/>
          <cell r="I1957"/>
          <cell r="J1957"/>
          <cell r="K1957"/>
          <cell r="L1957"/>
        </row>
        <row r="1958">
          <cell r="C1958"/>
          <cell r="D1958"/>
          <cell r="E1958"/>
          <cell r="F1958"/>
          <cell r="G1958"/>
          <cell r="H1958"/>
          <cell r="I1958"/>
          <cell r="J1958"/>
          <cell r="K1958"/>
          <cell r="L1958"/>
        </row>
        <row r="1959">
          <cell r="C1959"/>
          <cell r="D1959"/>
          <cell r="E1959"/>
          <cell r="F1959"/>
          <cell r="G1959"/>
          <cell r="H1959"/>
          <cell r="I1959"/>
          <cell r="J1959"/>
          <cell r="K1959"/>
          <cell r="L1959"/>
        </row>
        <row r="1960">
          <cell r="C1960"/>
          <cell r="D1960"/>
          <cell r="E1960"/>
          <cell r="F1960"/>
          <cell r="G1960"/>
          <cell r="H1960"/>
          <cell r="I1960"/>
          <cell r="J1960"/>
          <cell r="K1960"/>
          <cell r="L1960"/>
        </row>
        <row r="1961">
          <cell r="C1961"/>
          <cell r="D1961"/>
          <cell r="E1961"/>
          <cell r="F1961"/>
          <cell r="G1961"/>
          <cell r="H1961"/>
          <cell r="I1961"/>
          <cell r="J1961"/>
          <cell r="K1961"/>
          <cell r="L1961"/>
        </row>
        <row r="1962">
          <cell r="C1962"/>
          <cell r="D1962"/>
          <cell r="E1962"/>
          <cell r="F1962"/>
          <cell r="G1962"/>
          <cell r="H1962"/>
          <cell r="I1962"/>
          <cell r="J1962"/>
          <cell r="K1962"/>
          <cell r="L1962"/>
        </row>
        <row r="1963">
          <cell r="C1963"/>
          <cell r="D1963"/>
          <cell r="E1963"/>
          <cell r="F1963"/>
          <cell r="G1963"/>
          <cell r="H1963"/>
          <cell r="I1963"/>
          <cell r="J1963"/>
          <cell r="K1963"/>
          <cell r="L1963"/>
        </row>
        <row r="1964">
          <cell r="C1964"/>
          <cell r="D1964"/>
          <cell r="E1964"/>
          <cell r="F1964"/>
          <cell r="G1964"/>
          <cell r="H1964"/>
          <cell r="I1964"/>
          <cell r="J1964"/>
          <cell r="K1964"/>
          <cell r="L1964"/>
        </row>
        <row r="1965">
          <cell r="C1965"/>
          <cell r="D1965"/>
          <cell r="E1965"/>
          <cell r="F1965"/>
          <cell r="G1965"/>
          <cell r="H1965"/>
          <cell r="I1965"/>
          <cell r="J1965"/>
          <cell r="K1965"/>
          <cell r="L1965"/>
        </row>
        <row r="1966">
          <cell r="C1966"/>
          <cell r="D1966"/>
          <cell r="E1966"/>
          <cell r="F1966"/>
          <cell r="G1966"/>
          <cell r="H1966"/>
          <cell r="I1966"/>
          <cell r="J1966"/>
          <cell r="K1966"/>
          <cell r="L1966"/>
        </row>
        <row r="1967">
          <cell r="C1967"/>
          <cell r="D1967"/>
          <cell r="E1967"/>
          <cell r="F1967"/>
          <cell r="G1967"/>
          <cell r="H1967"/>
          <cell r="I1967"/>
          <cell r="J1967"/>
          <cell r="K1967"/>
          <cell r="L1967"/>
        </row>
        <row r="1968">
          <cell r="C1968"/>
          <cell r="D1968"/>
          <cell r="E1968"/>
          <cell r="F1968"/>
          <cell r="G1968"/>
          <cell r="H1968"/>
          <cell r="I1968"/>
          <cell r="J1968"/>
          <cell r="K1968"/>
          <cell r="L1968"/>
        </row>
        <row r="1969">
          <cell r="C1969"/>
          <cell r="D1969"/>
          <cell r="E1969"/>
          <cell r="F1969"/>
          <cell r="G1969"/>
          <cell r="H1969"/>
          <cell r="I1969"/>
          <cell r="J1969"/>
          <cell r="K1969"/>
          <cell r="L1969"/>
        </row>
        <row r="1970">
          <cell r="C1970"/>
          <cell r="D1970"/>
          <cell r="E1970"/>
          <cell r="F1970"/>
          <cell r="G1970"/>
          <cell r="H1970"/>
          <cell r="I1970"/>
          <cell r="J1970"/>
          <cell r="K1970"/>
          <cell r="L1970"/>
        </row>
        <row r="1971">
          <cell r="C1971"/>
          <cell r="D1971"/>
          <cell r="E1971"/>
          <cell r="F1971"/>
          <cell r="G1971"/>
          <cell r="H1971"/>
          <cell r="I1971"/>
          <cell r="J1971"/>
          <cell r="K1971"/>
          <cell r="L1971"/>
        </row>
        <row r="1972">
          <cell r="C1972"/>
          <cell r="D1972"/>
          <cell r="E1972"/>
          <cell r="F1972"/>
          <cell r="G1972"/>
          <cell r="H1972"/>
          <cell r="I1972"/>
          <cell r="J1972"/>
          <cell r="K1972"/>
          <cell r="L1972"/>
        </row>
        <row r="1973">
          <cell r="C1973"/>
          <cell r="D1973"/>
          <cell r="E1973"/>
          <cell r="F1973"/>
          <cell r="G1973"/>
          <cell r="H1973"/>
          <cell r="I1973"/>
          <cell r="J1973"/>
          <cell r="K1973"/>
          <cell r="L1973"/>
        </row>
        <row r="1974">
          <cell r="C1974"/>
          <cell r="D1974"/>
          <cell r="E1974"/>
          <cell r="F1974"/>
          <cell r="G1974"/>
          <cell r="H1974"/>
          <cell r="I1974"/>
          <cell r="J1974"/>
          <cell r="K1974"/>
          <cell r="L1974"/>
        </row>
        <row r="1975">
          <cell r="C1975"/>
          <cell r="D1975"/>
          <cell r="E1975"/>
          <cell r="F1975"/>
          <cell r="G1975"/>
          <cell r="H1975"/>
          <cell r="I1975"/>
          <cell r="J1975"/>
          <cell r="K1975"/>
          <cell r="L1975"/>
        </row>
        <row r="1976">
          <cell r="C1976"/>
          <cell r="D1976"/>
          <cell r="E1976"/>
          <cell r="F1976"/>
          <cell r="G1976"/>
          <cell r="H1976"/>
          <cell r="I1976"/>
          <cell r="J1976"/>
          <cell r="K1976"/>
          <cell r="L1976"/>
        </row>
        <row r="1977">
          <cell r="C1977"/>
          <cell r="D1977"/>
          <cell r="E1977"/>
          <cell r="F1977"/>
          <cell r="G1977"/>
          <cell r="H1977"/>
          <cell r="I1977"/>
          <cell r="J1977"/>
          <cell r="K1977"/>
          <cell r="L1977"/>
        </row>
        <row r="1978">
          <cell r="C1978"/>
          <cell r="D1978"/>
          <cell r="E1978"/>
          <cell r="F1978"/>
          <cell r="G1978"/>
          <cell r="H1978"/>
          <cell r="I1978"/>
          <cell r="J1978"/>
          <cell r="K1978"/>
          <cell r="L1978"/>
        </row>
        <row r="1979">
          <cell r="C1979"/>
          <cell r="D1979"/>
          <cell r="E1979"/>
          <cell r="F1979"/>
          <cell r="G1979"/>
          <cell r="H1979"/>
          <cell r="I1979"/>
          <cell r="J1979"/>
          <cell r="K1979"/>
          <cell r="L1979"/>
        </row>
        <row r="1980">
          <cell r="C1980"/>
          <cell r="D1980"/>
          <cell r="E1980"/>
          <cell r="F1980"/>
          <cell r="G1980"/>
          <cell r="H1980"/>
          <cell r="I1980"/>
          <cell r="J1980"/>
          <cell r="K1980"/>
          <cell r="L1980"/>
        </row>
        <row r="1981">
          <cell r="C1981"/>
          <cell r="D1981"/>
          <cell r="E1981"/>
          <cell r="F1981"/>
          <cell r="G1981"/>
          <cell r="H1981"/>
          <cell r="I1981"/>
          <cell r="J1981"/>
          <cell r="K1981"/>
          <cell r="L1981"/>
        </row>
        <row r="1982">
          <cell r="C1982"/>
          <cell r="D1982"/>
          <cell r="E1982"/>
          <cell r="F1982"/>
          <cell r="G1982"/>
          <cell r="H1982"/>
          <cell r="I1982"/>
          <cell r="J1982"/>
          <cell r="K1982"/>
          <cell r="L1982"/>
        </row>
        <row r="1983">
          <cell r="C1983"/>
          <cell r="D1983"/>
          <cell r="E1983"/>
          <cell r="F1983"/>
          <cell r="G1983"/>
          <cell r="H1983"/>
          <cell r="I1983"/>
          <cell r="J1983"/>
          <cell r="K1983"/>
          <cell r="L1983"/>
        </row>
        <row r="1984">
          <cell r="C1984"/>
          <cell r="D1984"/>
          <cell r="E1984"/>
          <cell r="F1984"/>
          <cell r="G1984"/>
          <cell r="H1984"/>
          <cell r="I1984"/>
          <cell r="J1984"/>
          <cell r="K1984"/>
          <cell r="L1984"/>
        </row>
        <row r="1985">
          <cell r="C1985"/>
          <cell r="D1985"/>
          <cell r="E1985"/>
          <cell r="F1985"/>
          <cell r="G1985"/>
          <cell r="H1985"/>
          <cell r="I1985"/>
          <cell r="J1985"/>
          <cell r="K1985"/>
          <cell r="L1985"/>
        </row>
        <row r="1986">
          <cell r="C1986"/>
          <cell r="D1986"/>
          <cell r="E1986"/>
          <cell r="F1986"/>
          <cell r="G1986"/>
          <cell r="H1986"/>
          <cell r="I1986"/>
          <cell r="J1986"/>
          <cell r="K1986"/>
          <cell r="L1986"/>
        </row>
        <row r="1987">
          <cell r="C1987"/>
          <cell r="D1987"/>
          <cell r="E1987"/>
          <cell r="F1987"/>
          <cell r="G1987"/>
          <cell r="H1987"/>
          <cell r="I1987"/>
          <cell r="J1987"/>
          <cell r="K1987"/>
          <cell r="L1987"/>
        </row>
        <row r="1988">
          <cell r="C1988"/>
          <cell r="D1988"/>
          <cell r="E1988"/>
          <cell r="F1988"/>
          <cell r="G1988"/>
          <cell r="H1988"/>
          <cell r="I1988"/>
          <cell r="J1988"/>
          <cell r="K1988"/>
          <cell r="L1988"/>
        </row>
        <row r="1989">
          <cell r="C1989"/>
          <cell r="D1989"/>
          <cell r="E1989"/>
          <cell r="F1989"/>
          <cell r="G1989"/>
          <cell r="H1989"/>
          <cell r="I1989"/>
          <cell r="J1989"/>
          <cell r="K1989"/>
          <cell r="L1989"/>
        </row>
        <row r="1990">
          <cell r="C1990"/>
          <cell r="D1990"/>
          <cell r="E1990"/>
          <cell r="F1990"/>
          <cell r="G1990"/>
          <cell r="H1990"/>
          <cell r="I1990"/>
          <cell r="J1990"/>
          <cell r="K1990"/>
          <cell r="L1990"/>
        </row>
        <row r="1991">
          <cell r="C1991"/>
          <cell r="D1991"/>
          <cell r="E1991"/>
          <cell r="F1991"/>
          <cell r="G1991"/>
          <cell r="H1991"/>
          <cell r="I1991"/>
          <cell r="J1991"/>
          <cell r="K1991"/>
          <cell r="L1991"/>
        </row>
        <row r="1992">
          <cell r="C1992"/>
          <cell r="D1992"/>
          <cell r="E1992"/>
          <cell r="F1992"/>
          <cell r="G1992"/>
          <cell r="H1992"/>
          <cell r="I1992"/>
          <cell r="J1992"/>
          <cell r="K1992"/>
          <cell r="L1992"/>
        </row>
        <row r="1993">
          <cell r="C1993"/>
          <cell r="D1993"/>
          <cell r="E1993"/>
          <cell r="F1993"/>
          <cell r="G1993"/>
          <cell r="H1993"/>
          <cell r="I1993"/>
          <cell r="J1993"/>
          <cell r="K1993"/>
          <cell r="L1993"/>
        </row>
        <row r="1994">
          <cell r="C1994"/>
          <cell r="D1994"/>
          <cell r="E1994"/>
          <cell r="F1994"/>
          <cell r="G1994"/>
          <cell r="H1994"/>
          <cell r="I1994"/>
          <cell r="J1994"/>
          <cell r="K1994"/>
          <cell r="L1994"/>
        </row>
        <row r="1995">
          <cell r="C1995"/>
          <cell r="D1995"/>
          <cell r="E1995"/>
          <cell r="F1995"/>
          <cell r="G1995"/>
          <cell r="H1995"/>
          <cell r="I1995"/>
          <cell r="J1995"/>
          <cell r="K1995"/>
          <cell r="L1995"/>
        </row>
        <row r="1996">
          <cell r="C1996"/>
          <cell r="D1996"/>
          <cell r="E1996"/>
          <cell r="F1996"/>
          <cell r="G1996"/>
          <cell r="H1996"/>
          <cell r="I1996"/>
          <cell r="J1996"/>
          <cell r="K1996"/>
          <cell r="L1996"/>
        </row>
        <row r="1997">
          <cell r="C1997"/>
          <cell r="D1997"/>
          <cell r="E1997"/>
          <cell r="F1997"/>
          <cell r="G1997"/>
          <cell r="H1997"/>
          <cell r="I1997"/>
          <cell r="J1997"/>
          <cell r="K1997"/>
          <cell r="L1997"/>
        </row>
        <row r="1998">
          <cell r="C1998"/>
          <cell r="D1998"/>
          <cell r="E1998"/>
          <cell r="F1998"/>
          <cell r="G1998"/>
          <cell r="H1998"/>
          <cell r="I1998"/>
          <cell r="J1998"/>
          <cell r="K1998"/>
          <cell r="L1998"/>
        </row>
        <row r="1999">
          <cell r="C1999"/>
          <cell r="D1999"/>
          <cell r="E1999"/>
          <cell r="F1999"/>
          <cell r="G1999"/>
          <cell r="H1999"/>
          <cell r="I1999"/>
          <cell r="J1999"/>
          <cell r="K1999"/>
          <cell r="L1999"/>
        </row>
        <row r="2000">
          <cell r="C2000"/>
          <cell r="D2000"/>
          <cell r="E2000"/>
          <cell r="F2000"/>
          <cell r="G2000"/>
          <cell r="H2000"/>
          <cell r="I2000"/>
          <cell r="J2000"/>
          <cell r="K2000"/>
          <cell r="L2000"/>
        </row>
        <row r="2001">
          <cell r="C2001"/>
          <cell r="D2001"/>
          <cell r="E2001"/>
          <cell r="F2001"/>
          <cell r="G2001"/>
          <cell r="H2001"/>
          <cell r="I2001"/>
          <cell r="J2001"/>
          <cell r="K2001"/>
          <cell r="L2001"/>
        </row>
        <row r="2002">
          <cell r="C2002"/>
          <cell r="D2002"/>
          <cell r="E2002"/>
          <cell r="F2002"/>
          <cell r="G2002"/>
          <cell r="H2002"/>
          <cell r="I2002"/>
          <cell r="J2002"/>
          <cell r="K2002"/>
          <cell r="L2002"/>
        </row>
        <row r="2003">
          <cell r="C2003"/>
          <cell r="D2003"/>
          <cell r="E2003"/>
          <cell r="F2003"/>
          <cell r="G2003"/>
          <cell r="H2003"/>
          <cell r="I2003"/>
          <cell r="J2003"/>
          <cell r="K2003"/>
          <cell r="L2003"/>
        </row>
        <row r="2004">
          <cell r="C2004"/>
          <cell r="D2004"/>
          <cell r="E2004"/>
          <cell r="F2004"/>
          <cell r="G2004"/>
          <cell r="H2004"/>
          <cell r="I2004"/>
          <cell r="J2004"/>
          <cell r="K2004"/>
          <cell r="L2004"/>
        </row>
        <row r="2005">
          <cell r="C2005"/>
          <cell r="D2005"/>
          <cell r="E2005"/>
          <cell r="F2005"/>
          <cell r="G2005"/>
          <cell r="H2005"/>
          <cell r="I2005"/>
          <cell r="J2005"/>
          <cell r="K2005"/>
          <cell r="L2005"/>
        </row>
        <row r="2006">
          <cell r="C2006"/>
          <cell r="D2006"/>
          <cell r="E2006"/>
          <cell r="F2006"/>
          <cell r="G2006"/>
          <cell r="H2006"/>
          <cell r="I2006"/>
          <cell r="J2006"/>
          <cell r="K2006"/>
          <cell r="L2006"/>
        </row>
        <row r="2007">
          <cell r="C2007"/>
          <cell r="D2007"/>
          <cell r="E2007"/>
          <cell r="F2007"/>
          <cell r="G2007"/>
          <cell r="H2007"/>
          <cell r="I2007"/>
          <cell r="J2007"/>
          <cell r="K2007"/>
          <cell r="L2007"/>
        </row>
        <row r="2008">
          <cell r="C2008"/>
          <cell r="D2008"/>
          <cell r="E2008"/>
          <cell r="F2008"/>
          <cell r="G2008"/>
          <cell r="H2008"/>
          <cell r="I2008"/>
          <cell r="J2008"/>
          <cell r="K2008"/>
          <cell r="L2008"/>
        </row>
        <row r="2009">
          <cell r="C2009"/>
          <cell r="D2009"/>
          <cell r="E2009"/>
          <cell r="F2009"/>
          <cell r="G2009"/>
          <cell r="H2009"/>
          <cell r="I2009"/>
          <cell r="J2009"/>
          <cell r="K2009"/>
          <cell r="L2009"/>
        </row>
        <row r="2010">
          <cell r="C2010"/>
          <cell r="D2010"/>
          <cell r="E2010"/>
          <cell r="F2010"/>
          <cell r="G2010"/>
          <cell r="H2010"/>
          <cell r="I2010"/>
          <cell r="J2010"/>
          <cell r="K2010"/>
          <cell r="L2010"/>
        </row>
        <row r="2011">
          <cell r="C2011"/>
          <cell r="D2011"/>
          <cell r="E2011"/>
          <cell r="F2011"/>
          <cell r="G2011"/>
          <cell r="H2011"/>
          <cell r="I2011"/>
          <cell r="J2011"/>
          <cell r="K2011"/>
          <cell r="L2011"/>
        </row>
        <row r="2012">
          <cell r="C2012"/>
          <cell r="D2012"/>
          <cell r="E2012"/>
          <cell r="F2012"/>
          <cell r="G2012"/>
          <cell r="H2012"/>
          <cell r="I2012"/>
          <cell r="J2012"/>
          <cell r="K2012"/>
          <cell r="L2012"/>
        </row>
        <row r="2013">
          <cell r="C2013"/>
          <cell r="D2013"/>
          <cell r="E2013"/>
          <cell r="F2013"/>
          <cell r="G2013"/>
          <cell r="H2013"/>
          <cell r="I2013"/>
          <cell r="J2013"/>
          <cell r="K2013"/>
          <cell r="L2013"/>
        </row>
        <row r="2014">
          <cell r="C2014"/>
          <cell r="D2014"/>
          <cell r="E2014"/>
          <cell r="F2014"/>
          <cell r="G2014"/>
          <cell r="H2014"/>
          <cell r="I2014"/>
          <cell r="J2014"/>
          <cell r="K2014"/>
          <cell r="L2014"/>
        </row>
        <row r="2015">
          <cell r="C2015"/>
          <cell r="D2015"/>
          <cell r="E2015"/>
          <cell r="F2015"/>
          <cell r="G2015"/>
          <cell r="H2015"/>
          <cell r="I2015"/>
          <cell r="J2015"/>
          <cell r="K2015"/>
          <cell r="L2015"/>
        </row>
        <row r="2016">
          <cell r="C2016"/>
          <cell r="D2016"/>
          <cell r="E2016"/>
          <cell r="F2016"/>
          <cell r="G2016"/>
          <cell r="H2016"/>
          <cell r="I2016"/>
          <cell r="J2016"/>
          <cell r="K2016"/>
          <cell r="L2016"/>
        </row>
        <row r="2017">
          <cell r="C2017"/>
          <cell r="D2017"/>
          <cell r="E2017"/>
          <cell r="F2017"/>
          <cell r="G2017"/>
          <cell r="H2017"/>
          <cell r="I2017"/>
          <cell r="J2017"/>
          <cell r="K2017"/>
          <cell r="L2017"/>
        </row>
        <row r="2018">
          <cell r="C2018"/>
          <cell r="D2018"/>
          <cell r="E2018"/>
          <cell r="F2018"/>
          <cell r="G2018"/>
          <cell r="H2018"/>
          <cell r="I2018"/>
          <cell r="J2018"/>
          <cell r="K2018"/>
          <cell r="L2018"/>
        </row>
        <row r="2019">
          <cell r="C2019"/>
          <cell r="D2019"/>
          <cell r="E2019"/>
          <cell r="F2019"/>
          <cell r="G2019"/>
          <cell r="H2019"/>
          <cell r="I2019"/>
          <cell r="J2019"/>
          <cell r="K2019"/>
          <cell r="L2019"/>
        </row>
        <row r="2020">
          <cell r="C2020"/>
          <cell r="D2020"/>
          <cell r="E2020"/>
          <cell r="F2020"/>
          <cell r="G2020"/>
          <cell r="H2020"/>
          <cell r="I2020"/>
          <cell r="J2020"/>
          <cell r="K2020"/>
          <cell r="L2020"/>
        </row>
        <row r="2021">
          <cell r="C2021"/>
          <cell r="D2021"/>
          <cell r="E2021"/>
          <cell r="F2021"/>
          <cell r="G2021"/>
          <cell r="H2021"/>
          <cell r="I2021"/>
          <cell r="J2021"/>
          <cell r="K2021"/>
          <cell r="L2021"/>
        </row>
        <row r="2022">
          <cell r="C2022"/>
          <cell r="D2022"/>
          <cell r="E2022"/>
          <cell r="F2022"/>
          <cell r="G2022"/>
          <cell r="H2022"/>
          <cell r="I2022"/>
          <cell r="J2022"/>
          <cell r="K2022"/>
          <cell r="L2022"/>
        </row>
        <row r="2023">
          <cell r="C2023"/>
          <cell r="D2023"/>
          <cell r="E2023"/>
          <cell r="F2023"/>
          <cell r="G2023"/>
          <cell r="H2023"/>
          <cell r="I2023"/>
          <cell r="J2023"/>
          <cell r="K2023"/>
          <cell r="L2023"/>
        </row>
        <row r="2024">
          <cell r="C2024"/>
          <cell r="D2024"/>
          <cell r="E2024"/>
          <cell r="F2024"/>
          <cell r="G2024"/>
          <cell r="H2024"/>
          <cell r="I2024"/>
          <cell r="J2024"/>
          <cell r="K2024"/>
          <cell r="L2024"/>
        </row>
        <row r="2025">
          <cell r="C2025"/>
          <cell r="D2025"/>
          <cell r="E2025"/>
          <cell r="F2025"/>
          <cell r="G2025"/>
          <cell r="H2025"/>
          <cell r="I2025"/>
          <cell r="J2025"/>
          <cell r="K2025"/>
          <cell r="L2025"/>
        </row>
        <row r="2026">
          <cell r="C2026"/>
          <cell r="D2026"/>
          <cell r="E2026"/>
          <cell r="F2026"/>
          <cell r="G2026"/>
          <cell r="H2026"/>
          <cell r="I2026"/>
          <cell r="J2026"/>
          <cell r="K2026"/>
          <cell r="L2026"/>
        </row>
        <row r="2027">
          <cell r="C2027"/>
          <cell r="D2027"/>
          <cell r="E2027"/>
          <cell r="F2027"/>
          <cell r="G2027"/>
          <cell r="H2027"/>
          <cell r="I2027"/>
          <cell r="J2027"/>
          <cell r="K2027"/>
          <cell r="L2027"/>
        </row>
        <row r="2028">
          <cell r="C2028"/>
          <cell r="D2028"/>
          <cell r="E2028"/>
          <cell r="F2028"/>
          <cell r="G2028"/>
          <cell r="H2028"/>
          <cell r="I2028"/>
          <cell r="J2028"/>
          <cell r="K2028"/>
          <cell r="L2028"/>
        </row>
        <row r="2029">
          <cell r="C2029"/>
          <cell r="D2029"/>
          <cell r="E2029"/>
          <cell r="F2029"/>
          <cell r="G2029"/>
          <cell r="H2029"/>
          <cell r="I2029"/>
          <cell r="J2029"/>
          <cell r="K2029"/>
          <cell r="L2029"/>
        </row>
        <row r="2030">
          <cell r="C2030"/>
          <cell r="D2030"/>
          <cell r="E2030"/>
          <cell r="F2030"/>
          <cell r="G2030"/>
          <cell r="H2030"/>
          <cell r="I2030"/>
          <cell r="J2030"/>
          <cell r="K2030"/>
          <cell r="L2030"/>
        </row>
        <row r="2031">
          <cell r="C2031"/>
          <cell r="D2031"/>
          <cell r="E2031"/>
          <cell r="F2031"/>
          <cell r="G2031"/>
          <cell r="H2031"/>
          <cell r="I2031"/>
          <cell r="J2031"/>
          <cell r="K2031"/>
          <cell r="L2031"/>
        </row>
        <row r="2032">
          <cell r="C2032"/>
          <cell r="D2032"/>
          <cell r="E2032"/>
          <cell r="F2032"/>
          <cell r="G2032"/>
          <cell r="H2032"/>
          <cell r="I2032"/>
          <cell r="J2032"/>
          <cell r="K2032"/>
          <cell r="L2032"/>
        </row>
        <row r="2033">
          <cell r="C2033"/>
          <cell r="D2033"/>
          <cell r="E2033"/>
          <cell r="F2033"/>
          <cell r="G2033"/>
          <cell r="H2033"/>
          <cell r="I2033"/>
          <cell r="J2033"/>
          <cell r="K2033"/>
          <cell r="L2033"/>
        </row>
        <row r="2034">
          <cell r="C2034"/>
          <cell r="D2034"/>
          <cell r="E2034"/>
          <cell r="F2034"/>
          <cell r="G2034"/>
          <cell r="H2034"/>
          <cell r="I2034"/>
          <cell r="J2034"/>
          <cell r="K2034"/>
          <cell r="L2034"/>
        </row>
        <row r="2035">
          <cell r="C2035"/>
          <cell r="D2035"/>
          <cell r="E2035"/>
          <cell r="F2035"/>
          <cell r="G2035"/>
          <cell r="H2035"/>
          <cell r="I2035"/>
          <cell r="J2035"/>
          <cell r="K2035"/>
          <cell r="L2035"/>
        </row>
        <row r="2036">
          <cell r="C2036"/>
          <cell r="D2036"/>
          <cell r="E2036"/>
          <cell r="F2036"/>
          <cell r="G2036"/>
          <cell r="H2036"/>
          <cell r="I2036"/>
          <cell r="J2036"/>
          <cell r="K2036"/>
          <cell r="L2036"/>
        </row>
        <row r="2037">
          <cell r="C2037"/>
          <cell r="D2037"/>
          <cell r="E2037"/>
          <cell r="F2037"/>
          <cell r="G2037"/>
          <cell r="H2037"/>
          <cell r="I2037"/>
          <cell r="J2037"/>
          <cell r="K2037"/>
          <cell r="L2037"/>
        </row>
        <row r="2038">
          <cell r="C2038"/>
          <cell r="D2038"/>
          <cell r="E2038"/>
          <cell r="F2038"/>
          <cell r="G2038"/>
          <cell r="H2038"/>
          <cell r="I2038"/>
          <cell r="J2038"/>
          <cell r="K2038"/>
          <cell r="L2038"/>
        </row>
        <row r="2039">
          <cell r="C2039"/>
          <cell r="D2039"/>
          <cell r="E2039"/>
          <cell r="F2039"/>
          <cell r="G2039"/>
          <cell r="H2039"/>
          <cell r="I2039"/>
          <cell r="J2039"/>
          <cell r="K2039"/>
          <cell r="L2039"/>
        </row>
        <row r="2040">
          <cell r="C2040"/>
          <cell r="D2040"/>
          <cell r="E2040"/>
          <cell r="F2040"/>
          <cell r="G2040"/>
          <cell r="H2040"/>
          <cell r="I2040"/>
          <cell r="J2040"/>
          <cell r="K2040"/>
          <cell r="L2040"/>
        </row>
        <row r="2041">
          <cell r="C2041"/>
          <cell r="D2041"/>
          <cell r="E2041"/>
          <cell r="F2041"/>
          <cell r="G2041"/>
          <cell r="H2041"/>
          <cell r="I2041"/>
          <cell r="J2041"/>
          <cell r="K2041"/>
          <cell r="L2041"/>
        </row>
        <row r="2042">
          <cell r="C2042"/>
          <cell r="D2042"/>
          <cell r="E2042"/>
          <cell r="F2042"/>
          <cell r="G2042"/>
          <cell r="H2042"/>
          <cell r="I2042"/>
          <cell r="J2042"/>
          <cell r="K2042"/>
          <cell r="L2042"/>
        </row>
        <row r="2043">
          <cell r="C2043"/>
          <cell r="D2043"/>
          <cell r="E2043"/>
          <cell r="F2043"/>
          <cell r="G2043"/>
          <cell r="H2043"/>
          <cell r="I2043"/>
          <cell r="J2043"/>
          <cell r="K2043"/>
          <cell r="L2043"/>
        </row>
        <row r="2044">
          <cell r="C2044"/>
          <cell r="D2044"/>
          <cell r="E2044"/>
          <cell r="F2044"/>
          <cell r="G2044"/>
          <cell r="H2044"/>
          <cell r="I2044"/>
          <cell r="J2044"/>
          <cell r="K2044"/>
          <cell r="L2044"/>
        </row>
        <row r="2045">
          <cell r="C2045"/>
          <cell r="D2045"/>
          <cell r="E2045"/>
          <cell r="F2045"/>
          <cell r="G2045"/>
          <cell r="H2045"/>
          <cell r="I2045"/>
          <cell r="J2045"/>
          <cell r="K2045"/>
          <cell r="L2045"/>
        </row>
        <row r="2046">
          <cell r="C2046"/>
          <cell r="D2046"/>
          <cell r="E2046"/>
          <cell r="F2046"/>
          <cell r="G2046"/>
          <cell r="H2046"/>
          <cell r="I2046"/>
          <cell r="J2046"/>
          <cell r="K2046"/>
          <cell r="L2046"/>
        </row>
        <row r="2047">
          <cell r="C2047"/>
          <cell r="D2047"/>
          <cell r="E2047"/>
          <cell r="F2047"/>
          <cell r="G2047"/>
          <cell r="H2047"/>
          <cell r="I2047"/>
          <cell r="J2047"/>
          <cell r="K2047"/>
          <cell r="L2047"/>
        </row>
        <row r="2048">
          <cell r="C2048"/>
          <cell r="D2048"/>
          <cell r="E2048"/>
          <cell r="F2048"/>
          <cell r="G2048"/>
          <cell r="H2048"/>
          <cell r="I2048"/>
          <cell r="J2048"/>
          <cell r="K2048"/>
          <cell r="L2048"/>
        </row>
        <row r="2049">
          <cell r="C2049"/>
          <cell r="D2049"/>
          <cell r="E2049"/>
          <cell r="F2049"/>
          <cell r="G2049"/>
          <cell r="H2049"/>
          <cell r="I2049"/>
          <cell r="J2049"/>
          <cell r="K2049"/>
          <cell r="L2049"/>
        </row>
        <row r="2050">
          <cell r="C2050"/>
          <cell r="D2050"/>
          <cell r="E2050"/>
          <cell r="F2050"/>
          <cell r="G2050"/>
          <cell r="H2050"/>
          <cell r="I2050"/>
          <cell r="J2050"/>
          <cell r="K2050"/>
          <cell r="L2050"/>
        </row>
        <row r="2051">
          <cell r="C2051"/>
          <cell r="D2051"/>
          <cell r="E2051"/>
          <cell r="F2051"/>
          <cell r="G2051"/>
          <cell r="H2051"/>
          <cell r="I2051"/>
          <cell r="J2051"/>
          <cell r="K2051"/>
          <cell r="L2051"/>
        </row>
        <row r="2052">
          <cell r="C2052"/>
          <cell r="D2052"/>
          <cell r="E2052"/>
          <cell r="F2052"/>
          <cell r="G2052"/>
          <cell r="H2052"/>
          <cell r="I2052"/>
          <cell r="J2052"/>
          <cell r="K2052"/>
          <cell r="L2052"/>
        </row>
        <row r="2053">
          <cell r="C2053"/>
          <cell r="D2053"/>
          <cell r="E2053"/>
          <cell r="F2053"/>
          <cell r="G2053"/>
          <cell r="H2053"/>
          <cell r="I2053"/>
          <cell r="J2053"/>
          <cell r="K2053"/>
          <cell r="L2053"/>
        </row>
        <row r="2054">
          <cell r="C2054"/>
          <cell r="D2054"/>
          <cell r="E2054"/>
          <cell r="F2054"/>
          <cell r="G2054"/>
          <cell r="H2054"/>
          <cell r="I2054"/>
          <cell r="J2054"/>
          <cell r="K2054"/>
          <cell r="L2054"/>
        </row>
        <row r="2055">
          <cell r="C2055"/>
          <cell r="D2055"/>
          <cell r="E2055"/>
          <cell r="F2055"/>
          <cell r="G2055"/>
          <cell r="H2055"/>
          <cell r="I2055"/>
          <cell r="J2055"/>
          <cell r="K2055"/>
          <cell r="L2055"/>
        </row>
        <row r="2056">
          <cell r="C2056"/>
          <cell r="D2056"/>
          <cell r="E2056"/>
          <cell r="F2056"/>
          <cell r="G2056"/>
          <cell r="H2056"/>
          <cell r="I2056"/>
          <cell r="J2056"/>
          <cell r="K2056"/>
          <cell r="L2056"/>
        </row>
        <row r="2057">
          <cell r="C2057"/>
          <cell r="D2057"/>
          <cell r="E2057"/>
          <cell r="F2057"/>
          <cell r="G2057"/>
          <cell r="H2057"/>
          <cell r="I2057"/>
          <cell r="J2057"/>
          <cell r="K2057"/>
          <cell r="L2057"/>
        </row>
        <row r="2058">
          <cell r="C2058"/>
          <cell r="D2058"/>
          <cell r="E2058"/>
          <cell r="F2058"/>
          <cell r="G2058"/>
          <cell r="H2058"/>
          <cell r="I2058"/>
          <cell r="J2058"/>
          <cell r="K2058"/>
          <cell r="L2058"/>
        </row>
        <row r="2059">
          <cell r="C2059"/>
          <cell r="D2059"/>
          <cell r="E2059"/>
          <cell r="F2059"/>
          <cell r="G2059"/>
          <cell r="H2059"/>
          <cell r="I2059"/>
          <cell r="J2059"/>
          <cell r="K2059"/>
          <cell r="L2059"/>
        </row>
        <row r="2060">
          <cell r="C2060"/>
          <cell r="D2060"/>
          <cell r="E2060"/>
          <cell r="F2060"/>
          <cell r="G2060"/>
          <cell r="H2060"/>
          <cell r="I2060"/>
          <cell r="J2060"/>
          <cell r="K2060"/>
          <cell r="L2060"/>
        </row>
        <row r="2061">
          <cell r="C2061"/>
          <cell r="D2061"/>
          <cell r="E2061"/>
          <cell r="F2061"/>
          <cell r="G2061"/>
          <cell r="H2061"/>
          <cell r="I2061"/>
          <cell r="J2061"/>
          <cell r="K2061"/>
          <cell r="L2061"/>
        </row>
        <row r="2062">
          <cell r="C2062"/>
          <cell r="D2062"/>
          <cell r="E2062"/>
          <cell r="F2062"/>
          <cell r="G2062"/>
          <cell r="H2062"/>
          <cell r="I2062"/>
          <cell r="J2062"/>
          <cell r="K2062"/>
          <cell r="L2062"/>
        </row>
        <row r="2063">
          <cell r="C2063"/>
          <cell r="D2063"/>
          <cell r="E2063"/>
          <cell r="F2063"/>
          <cell r="G2063"/>
          <cell r="H2063"/>
          <cell r="I2063"/>
          <cell r="J2063"/>
          <cell r="K2063"/>
          <cell r="L2063"/>
        </row>
        <row r="2064">
          <cell r="C2064"/>
          <cell r="D2064"/>
          <cell r="E2064"/>
          <cell r="F2064"/>
          <cell r="G2064"/>
          <cell r="H2064"/>
          <cell r="I2064"/>
          <cell r="J2064"/>
          <cell r="K2064"/>
          <cell r="L2064"/>
        </row>
        <row r="2065">
          <cell r="C2065"/>
          <cell r="D2065"/>
          <cell r="E2065"/>
          <cell r="F2065"/>
          <cell r="G2065"/>
          <cell r="H2065"/>
          <cell r="I2065"/>
          <cell r="J2065"/>
          <cell r="K2065"/>
          <cell r="L2065"/>
        </row>
        <row r="2066">
          <cell r="C2066"/>
          <cell r="D2066"/>
          <cell r="E2066"/>
          <cell r="F2066"/>
          <cell r="G2066"/>
          <cell r="H2066"/>
          <cell r="I2066"/>
          <cell r="J2066"/>
          <cell r="K2066"/>
          <cell r="L2066"/>
        </row>
        <row r="2067">
          <cell r="C2067"/>
          <cell r="D2067"/>
          <cell r="E2067"/>
          <cell r="F2067"/>
          <cell r="G2067"/>
          <cell r="H2067"/>
          <cell r="I2067"/>
          <cell r="J2067"/>
          <cell r="K2067"/>
          <cell r="L2067"/>
        </row>
        <row r="2068">
          <cell r="C2068"/>
          <cell r="D2068"/>
          <cell r="E2068"/>
          <cell r="F2068"/>
          <cell r="G2068"/>
          <cell r="H2068"/>
          <cell r="I2068"/>
          <cell r="J2068"/>
          <cell r="K2068"/>
          <cell r="L2068"/>
        </row>
        <row r="2069">
          <cell r="C2069"/>
          <cell r="D2069"/>
          <cell r="E2069"/>
          <cell r="F2069"/>
          <cell r="G2069"/>
          <cell r="H2069"/>
          <cell r="I2069"/>
          <cell r="J2069"/>
          <cell r="K2069"/>
          <cell r="L2069"/>
        </row>
        <row r="2070">
          <cell r="C2070"/>
          <cell r="D2070"/>
          <cell r="E2070"/>
          <cell r="F2070"/>
          <cell r="G2070"/>
          <cell r="H2070"/>
          <cell r="I2070"/>
          <cell r="J2070"/>
          <cell r="K2070"/>
          <cell r="L2070"/>
        </row>
        <row r="2071">
          <cell r="C2071"/>
          <cell r="D2071"/>
          <cell r="E2071"/>
          <cell r="F2071"/>
          <cell r="G2071"/>
          <cell r="H2071"/>
          <cell r="I2071"/>
          <cell r="J2071"/>
          <cell r="K2071"/>
          <cell r="L2071"/>
        </row>
        <row r="2072">
          <cell r="C2072"/>
          <cell r="D2072"/>
          <cell r="E2072"/>
          <cell r="F2072"/>
          <cell r="G2072"/>
          <cell r="H2072"/>
          <cell r="I2072"/>
          <cell r="J2072"/>
          <cell r="K2072"/>
          <cell r="L2072"/>
        </row>
        <row r="2073">
          <cell r="C2073"/>
          <cell r="D2073"/>
          <cell r="E2073"/>
          <cell r="F2073"/>
          <cell r="G2073"/>
          <cell r="H2073"/>
          <cell r="I2073"/>
          <cell r="J2073"/>
          <cell r="K2073"/>
          <cell r="L2073"/>
        </row>
        <row r="2074">
          <cell r="C2074"/>
          <cell r="D2074"/>
          <cell r="E2074"/>
          <cell r="F2074"/>
          <cell r="G2074"/>
          <cell r="H2074"/>
          <cell r="I2074"/>
          <cell r="J2074"/>
          <cell r="K2074"/>
          <cell r="L2074"/>
        </row>
        <row r="2075">
          <cell r="C2075"/>
          <cell r="D2075"/>
          <cell r="E2075"/>
          <cell r="F2075"/>
          <cell r="G2075"/>
          <cell r="H2075"/>
          <cell r="I2075"/>
          <cell r="J2075"/>
          <cell r="K2075"/>
          <cell r="L2075"/>
        </row>
        <row r="2076">
          <cell r="C2076"/>
          <cell r="D2076"/>
          <cell r="E2076"/>
          <cell r="F2076"/>
          <cell r="G2076"/>
          <cell r="H2076"/>
          <cell r="I2076"/>
          <cell r="J2076"/>
          <cell r="K2076"/>
          <cell r="L2076"/>
        </row>
        <row r="2077">
          <cell r="C2077"/>
          <cell r="D2077"/>
          <cell r="E2077"/>
          <cell r="F2077"/>
          <cell r="G2077"/>
          <cell r="H2077"/>
          <cell r="I2077"/>
          <cell r="J2077"/>
          <cell r="K2077"/>
          <cell r="L2077"/>
        </row>
        <row r="2078">
          <cell r="C2078"/>
          <cell r="D2078"/>
          <cell r="E2078"/>
          <cell r="F2078"/>
          <cell r="G2078"/>
          <cell r="H2078"/>
          <cell r="I2078"/>
          <cell r="J2078"/>
          <cell r="K2078"/>
          <cell r="L2078"/>
        </row>
        <row r="2079">
          <cell r="C2079"/>
          <cell r="D2079"/>
          <cell r="E2079"/>
          <cell r="F2079"/>
          <cell r="G2079"/>
          <cell r="H2079"/>
          <cell r="I2079"/>
          <cell r="J2079"/>
          <cell r="K2079"/>
          <cell r="L2079"/>
        </row>
        <row r="2080">
          <cell r="C2080"/>
          <cell r="D2080"/>
          <cell r="E2080"/>
          <cell r="F2080"/>
          <cell r="G2080"/>
          <cell r="H2080"/>
          <cell r="I2080"/>
          <cell r="J2080"/>
          <cell r="K2080"/>
          <cell r="L2080"/>
        </row>
        <row r="2081">
          <cell r="C2081"/>
          <cell r="D2081"/>
          <cell r="E2081"/>
          <cell r="F2081"/>
          <cell r="G2081"/>
          <cell r="H2081"/>
          <cell r="I2081"/>
          <cell r="J2081"/>
          <cell r="K2081"/>
          <cell r="L2081"/>
        </row>
        <row r="2082">
          <cell r="C2082"/>
          <cell r="D2082"/>
          <cell r="E2082"/>
          <cell r="F2082"/>
          <cell r="G2082"/>
          <cell r="H2082"/>
          <cell r="I2082"/>
          <cell r="J2082"/>
          <cell r="K2082"/>
          <cell r="L2082"/>
        </row>
        <row r="2083">
          <cell r="C2083"/>
          <cell r="D2083"/>
          <cell r="E2083"/>
          <cell r="F2083"/>
          <cell r="G2083"/>
          <cell r="H2083"/>
          <cell r="I2083"/>
          <cell r="J2083"/>
          <cell r="K2083"/>
          <cell r="L2083"/>
        </row>
        <row r="2084">
          <cell r="C2084"/>
          <cell r="D2084"/>
          <cell r="E2084"/>
          <cell r="F2084"/>
          <cell r="G2084"/>
          <cell r="H2084"/>
          <cell r="I2084"/>
          <cell r="J2084"/>
          <cell r="K2084"/>
          <cell r="L2084"/>
        </row>
        <row r="2085">
          <cell r="C2085"/>
          <cell r="D2085"/>
          <cell r="E2085"/>
          <cell r="F2085"/>
          <cell r="G2085"/>
          <cell r="H2085"/>
          <cell r="I2085"/>
          <cell r="J2085"/>
          <cell r="K2085"/>
          <cell r="L2085"/>
        </row>
        <row r="2086">
          <cell r="C2086"/>
          <cell r="D2086"/>
          <cell r="E2086"/>
          <cell r="F2086"/>
          <cell r="G2086"/>
          <cell r="H2086"/>
          <cell r="I2086"/>
          <cell r="J2086"/>
          <cell r="K2086"/>
          <cell r="L2086"/>
        </row>
        <row r="2087">
          <cell r="C2087"/>
          <cell r="D2087"/>
          <cell r="E2087"/>
          <cell r="F2087"/>
          <cell r="G2087"/>
          <cell r="H2087"/>
          <cell r="I2087"/>
          <cell r="J2087"/>
          <cell r="K2087"/>
          <cell r="L2087"/>
        </row>
        <row r="2088">
          <cell r="C2088"/>
          <cell r="D2088"/>
          <cell r="E2088"/>
          <cell r="F2088"/>
          <cell r="G2088"/>
          <cell r="H2088"/>
          <cell r="I2088"/>
          <cell r="J2088"/>
          <cell r="K2088"/>
          <cell r="L2088"/>
        </row>
        <row r="2089">
          <cell r="C2089"/>
          <cell r="D2089"/>
          <cell r="E2089"/>
          <cell r="F2089"/>
          <cell r="G2089"/>
          <cell r="H2089"/>
          <cell r="I2089"/>
          <cell r="J2089"/>
          <cell r="K2089"/>
          <cell r="L2089"/>
        </row>
        <row r="2090">
          <cell r="C2090"/>
          <cell r="D2090"/>
          <cell r="E2090"/>
          <cell r="F2090"/>
          <cell r="G2090"/>
          <cell r="H2090"/>
          <cell r="I2090"/>
          <cell r="J2090"/>
          <cell r="K2090"/>
          <cell r="L2090"/>
        </row>
        <row r="2091">
          <cell r="C2091"/>
          <cell r="D2091"/>
          <cell r="E2091"/>
          <cell r="F2091"/>
          <cell r="G2091"/>
          <cell r="H2091"/>
          <cell r="I2091"/>
          <cell r="J2091"/>
          <cell r="K2091"/>
          <cell r="L2091"/>
        </row>
        <row r="2092">
          <cell r="C2092"/>
          <cell r="D2092"/>
          <cell r="E2092"/>
          <cell r="F2092"/>
          <cell r="G2092"/>
          <cell r="H2092"/>
          <cell r="I2092"/>
          <cell r="J2092"/>
          <cell r="K2092"/>
          <cell r="L2092"/>
        </row>
        <row r="2093">
          <cell r="C2093"/>
          <cell r="D2093"/>
          <cell r="E2093"/>
          <cell r="F2093"/>
          <cell r="G2093"/>
          <cell r="H2093"/>
          <cell r="I2093"/>
          <cell r="J2093"/>
          <cell r="K2093"/>
          <cell r="L2093"/>
        </row>
        <row r="2094">
          <cell r="C2094"/>
          <cell r="D2094"/>
          <cell r="E2094"/>
          <cell r="F2094"/>
          <cell r="G2094"/>
          <cell r="H2094"/>
          <cell r="I2094"/>
          <cell r="J2094"/>
          <cell r="K2094"/>
          <cell r="L2094"/>
        </row>
        <row r="2095">
          <cell r="C2095"/>
          <cell r="D2095"/>
          <cell r="E2095"/>
          <cell r="F2095"/>
          <cell r="G2095"/>
          <cell r="H2095"/>
          <cell r="I2095"/>
          <cell r="J2095"/>
          <cell r="K2095"/>
          <cell r="L2095"/>
        </row>
        <row r="2096">
          <cell r="C2096"/>
          <cell r="D2096"/>
          <cell r="E2096"/>
          <cell r="F2096"/>
          <cell r="G2096"/>
          <cell r="H2096"/>
          <cell r="I2096"/>
          <cell r="J2096"/>
          <cell r="K2096"/>
          <cell r="L2096"/>
        </row>
        <row r="2097">
          <cell r="C2097"/>
          <cell r="D2097"/>
          <cell r="E2097"/>
          <cell r="F2097"/>
          <cell r="G2097"/>
          <cell r="H2097"/>
          <cell r="I2097"/>
          <cell r="J2097"/>
          <cell r="K2097"/>
          <cell r="L2097"/>
        </row>
        <row r="2098">
          <cell r="C2098"/>
          <cell r="D2098"/>
          <cell r="E2098"/>
          <cell r="F2098"/>
          <cell r="G2098"/>
          <cell r="H2098"/>
          <cell r="I2098"/>
          <cell r="J2098"/>
          <cell r="K2098"/>
          <cell r="L2098"/>
        </row>
        <row r="2099">
          <cell r="C2099"/>
          <cell r="D2099"/>
          <cell r="E2099"/>
          <cell r="F2099"/>
          <cell r="G2099"/>
          <cell r="H2099"/>
          <cell r="I2099"/>
          <cell r="J2099"/>
          <cell r="K2099"/>
          <cell r="L2099"/>
        </row>
        <row r="2100">
          <cell r="C2100"/>
          <cell r="D2100"/>
          <cell r="E2100"/>
          <cell r="F2100"/>
          <cell r="G2100"/>
          <cell r="H2100"/>
          <cell r="I2100"/>
          <cell r="J2100"/>
          <cell r="K2100"/>
          <cell r="L2100"/>
        </row>
        <row r="2101">
          <cell r="C2101"/>
          <cell r="D2101"/>
          <cell r="E2101"/>
          <cell r="F2101"/>
          <cell r="G2101"/>
          <cell r="H2101"/>
          <cell r="I2101"/>
          <cell r="J2101"/>
          <cell r="K2101"/>
          <cell r="L2101"/>
        </row>
        <row r="2102">
          <cell r="C2102"/>
          <cell r="D2102"/>
          <cell r="E2102"/>
          <cell r="F2102"/>
          <cell r="G2102"/>
          <cell r="H2102"/>
          <cell r="I2102"/>
          <cell r="J2102"/>
          <cell r="K2102"/>
          <cell r="L2102"/>
        </row>
        <row r="2103">
          <cell r="C2103"/>
          <cell r="D2103"/>
          <cell r="E2103"/>
          <cell r="F2103"/>
          <cell r="G2103"/>
          <cell r="H2103"/>
          <cell r="I2103"/>
          <cell r="J2103"/>
          <cell r="K2103"/>
          <cell r="L2103"/>
        </row>
        <row r="2104">
          <cell r="C2104"/>
          <cell r="D2104"/>
          <cell r="E2104"/>
          <cell r="F2104"/>
          <cell r="G2104"/>
          <cell r="H2104"/>
          <cell r="I2104"/>
          <cell r="J2104"/>
          <cell r="K2104"/>
          <cell r="L2104"/>
        </row>
        <row r="2105">
          <cell r="C2105"/>
          <cell r="D2105"/>
          <cell r="E2105"/>
          <cell r="F2105"/>
          <cell r="G2105"/>
          <cell r="H2105"/>
          <cell r="I2105"/>
          <cell r="J2105"/>
          <cell r="K2105"/>
          <cell r="L2105"/>
        </row>
        <row r="2106">
          <cell r="C2106"/>
          <cell r="D2106"/>
          <cell r="E2106"/>
          <cell r="F2106"/>
          <cell r="G2106"/>
          <cell r="H2106"/>
          <cell r="I2106"/>
          <cell r="J2106"/>
          <cell r="K2106"/>
          <cell r="L2106"/>
        </row>
        <row r="2107">
          <cell r="C2107"/>
          <cell r="D2107"/>
          <cell r="E2107"/>
          <cell r="F2107"/>
          <cell r="G2107"/>
          <cell r="H2107"/>
          <cell r="I2107"/>
          <cell r="J2107"/>
          <cell r="K2107"/>
          <cell r="L2107"/>
        </row>
        <row r="2108">
          <cell r="C2108"/>
          <cell r="D2108"/>
          <cell r="E2108"/>
          <cell r="F2108"/>
          <cell r="G2108"/>
          <cell r="H2108"/>
          <cell r="I2108"/>
          <cell r="J2108"/>
          <cell r="K2108"/>
          <cell r="L2108"/>
        </row>
        <row r="2109">
          <cell r="C2109"/>
          <cell r="D2109"/>
          <cell r="E2109"/>
          <cell r="F2109"/>
          <cell r="G2109"/>
          <cell r="H2109"/>
          <cell r="I2109"/>
          <cell r="J2109"/>
          <cell r="K2109"/>
          <cell r="L2109"/>
        </row>
        <row r="2110">
          <cell r="C2110"/>
          <cell r="D2110"/>
          <cell r="E2110"/>
          <cell r="F2110"/>
          <cell r="G2110"/>
          <cell r="H2110"/>
          <cell r="I2110"/>
          <cell r="J2110"/>
          <cell r="K2110"/>
          <cell r="L2110"/>
        </row>
        <row r="2111">
          <cell r="C2111"/>
          <cell r="D2111"/>
          <cell r="E2111"/>
          <cell r="F2111"/>
          <cell r="G2111"/>
          <cell r="H2111"/>
          <cell r="I2111"/>
          <cell r="J2111"/>
          <cell r="K2111"/>
          <cell r="L2111"/>
        </row>
        <row r="2112">
          <cell r="C2112"/>
          <cell r="D2112"/>
          <cell r="E2112"/>
          <cell r="F2112"/>
          <cell r="G2112"/>
          <cell r="H2112"/>
          <cell r="I2112"/>
          <cell r="J2112"/>
          <cell r="K2112"/>
          <cell r="L2112"/>
        </row>
        <row r="2113">
          <cell r="C2113"/>
          <cell r="D2113"/>
          <cell r="E2113"/>
          <cell r="F2113"/>
          <cell r="G2113"/>
          <cell r="H2113"/>
          <cell r="I2113"/>
          <cell r="J2113"/>
          <cell r="K2113"/>
          <cell r="L2113"/>
        </row>
        <row r="2114">
          <cell r="C2114"/>
          <cell r="D2114"/>
          <cell r="E2114"/>
          <cell r="F2114"/>
          <cell r="G2114"/>
          <cell r="H2114"/>
          <cell r="I2114"/>
          <cell r="J2114"/>
          <cell r="K2114"/>
          <cell r="L2114"/>
        </row>
        <row r="2115">
          <cell r="C2115"/>
          <cell r="D2115"/>
          <cell r="E2115"/>
          <cell r="F2115"/>
          <cell r="G2115"/>
          <cell r="H2115"/>
          <cell r="I2115"/>
          <cell r="J2115"/>
          <cell r="K2115"/>
          <cell r="L2115"/>
        </row>
        <row r="2116">
          <cell r="C2116"/>
          <cell r="D2116"/>
          <cell r="E2116"/>
          <cell r="F2116"/>
          <cell r="G2116"/>
          <cell r="H2116"/>
          <cell r="I2116"/>
          <cell r="J2116"/>
          <cell r="K2116"/>
          <cell r="L2116"/>
        </row>
        <row r="2117">
          <cell r="C2117"/>
          <cell r="D2117"/>
          <cell r="E2117"/>
          <cell r="F2117"/>
          <cell r="G2117"/>
          <cell r="H2117"/>
          <cell r="I2117"/>
          <cell r="J2117"/>
          <cell r="K2117"/>
          <cell r="L2117"/>
        </row>
        <row r="2118">
          <cell r="C2118"/>
          <cell r="D2118"/>
          <cell r="E2118"/>
          <cell r="F2118"/>
          <cell r="G2118"/>
          <cell r="H2118"/>
          <cell r="I2118"/>
          <cell r="J2118"/>
          <cell r="K2118"/>
          <cell r="L2118"/>
        </row>
        <row r="2119">
          <cell r="C2119"/>
          <cell r="D2119"/>
          <cell r="E2119"/>
          <cell r="F2119"/>
          <cell r="G2119"/>
          <cell r="H2119"/>
          <cell r="I2119"/>
          <cell r="J2119"/>
          <cell r="K2119"/>
          <cell r="L2119"/>
        </row>
        <row r="2120">
          <cell r="C2120"/>
          <cell r="D2120"/>
          <cell r="E2120"/>
          <cell r="F2120"/>
          <cell r="G2120"/>
          <cell r="H2120"/>
          <cell r="I2120"/>
          <cell r="J2120"/>
          <cell r="K2120"/>
          <cell r="L2120"/>
        </row>
        <row r="2121">
          <cell r="C2121"/>
          <cell r="D2121"/>
          <cell r="E2121"/>
          <cell r="F2121"/>
          <cell r="G2121"/>
          <cell r="H2121"/>
          <cell r="I2121"/>
          <cell r="J2121"/>
          <cell r="K2121"/>
          <cell r="L2121"/>
        </row>
        <row r="2122">
          <cell r="C2122"/>
          <cell r="D2122"/>
          <cell r="E2122"/>
          <cell r="F2122"/>
          <cell r="G2122"/>
          <cell r="H2122"/>
          <cell r="I2122"/>
          <cell r="J2122"/>
          <cell r="K2122"/>
          <cell r="L2122"/>
        </row>
        <row r="2123">
          <cell r="C2123"/>
          <cell r="D2123"/>
          <cell r="E2123"/>
          <cell r="F2123"/>
          <cell r="G2123"/>
          <cell r="H2123"/>
          <cell r="I2123"/>
          <cell r="J2123"/>
          <cell r="K2123"/>
          <cell r="L2123"/>
        </row>
        <row r="2124">
          <cell r="C2124"/>
          <cell r="D2124"/>
          <cell r="E2124"/>
          <cell r="F2124"/>
          <cell r="G2124"/>
          <cell r="H2124"/>
          <cell r="I2124"/>
          <cell r="J2124"/>
          <cell r="K2124"/>
          <cell r="L2124"/>
        </row>
        <row r="2125">
          <cell r="C2125"/>
          <cell r="D2125"/>
          <cell r="E2125"/>
          <cell r="F2125"/>
          <cell r="G2125"/>
          <cell r="H2125"/>
          <cell r="I2125"/>
          <cell r="J2125"/>
          <cell r="K2125"/>
          <cell r="L2125"/>
        </row>
        <row r="2126">
          <cell r="C2126"/>
          <cell r="D2126"/>
          <cell r="E2126"/>
          <cell r="F2126"/>
          <cell r="G2126"/>
          <cell r="H2126"/>
          <cell r="I2126"/>
          <cell r="J2126"/>
          <cell r="K2126"/>
          <cell r="L2126"/>
        </row>
        <row r="2127">
          <cell r="C2127"/>
          <cell r="D2127"/>
          <cell r="E2127"/>
          <cell r="F2127"/>
          <cell r="G2127"/>
          <cell r="H2127"/>
          <cell r="I2127"/>
          <cell r="J2127"/>
          <cell r="K2127"/>
          <cell r="L2127"/>
        </row>
        <row r="2128">
          <cell r="C2128"/>
          <cell r="D2128"/>
          <cell r="E2128"/>
          <cell r="F2128"/>
          <cell r="G2128"/>
          <cell r="H2128"/>
          <cell r="I2128"/>
          <cell r="J2128"/>
          <cell r="K2128"/>
          <cell r="L2128"/>
        </row>
        <row r="2129">
          <cell r="C2129"/>
          <cell r="D2129"/>
          <cell r="E2129"/>
          <cell r="F2129"/>
          <cell r="G2129"/>
          <cell r="H2129"/>
          <cell r="I2129"/>
          <cell r="J2129"/>
          <cell r="K2129"/>
          <cell r="L2129"/>
        </row>
        <row r="2130">
          <cell r="C2130"/>
          <cell r="D2130"/>
          <cell r="E2130"/>
          <cell r="F2130"/>
          <cell r="G2130"/>
          <cell r="H2130"/>
          <cell r="I2130"/>
          <cell r="J2130"/>
          <cell r="K2130"/>
          <cell r="L2130"/>
        </row>
        <row r="2131">
          <cell r="C2131"/>
          <cell r="D2131"/>
          <cell r="E2131"/>
          <cell r="F2131"/>
          <cell r="G2131"/>
          <cell r="H2131"/>
          <cell r="I2131"/>
          <cell r="J2131"/>
          <cell r="K2131"/>
          <cell r="L2131"/>
        </row>
        <row r="2132">
          <cell r="C2132"/>
          <cell r="D2132"/>
          <cell r="E2132"/>
          <cell r="F2132"/>
          <cell r="G2132"/>
          <cell r="H2132"/>
          <cell r="I2132"/>
          <cell r="J2132"/>
          <cell r="K2132"/>
          <cell r="L2132"/>
        </row>
        <row r="2133">
          <cell r="C2133"/>
          <cell r="D2133"/>
          <cell r="E2133"/>
          <cell r="F2133"/>
          <cell r="G2133"/>
          <cell r="H2133"/>
          <cell r="I2133"/>
          <cell r="J2133"/>
          <cell r="K2133"/>
          <cell r="L2133"/>
        </row>
        <row r="2134">
          <cell r="C2134"/>
          <cell r="D2134"/>
          <cell r="E2134"/>
          <cell r="F2134"/>
          <cell r="G2134"/>
          <cell r="H2134"/>
          <cell r="I2134"/>
          <cell r="J2134"/>
          <cell r="K2134"/>
          <cell r="L2134"/>
        </row>
        <row r="2135">
          <cell r="C2135"/>
          <cell r="D2135"/>
          <cell r="E2135"/>
          <cell r="F2135"/>
          <cell r="G2135"/>
          <cell r="H2135"/>
          <cell r="I2135"/>
          <cell r="J2135"/>
          <cell r="K2135"/>
          <cell r="L2135"/>
        </row>
        <row r="2136">
          <cell r="C2136"/>
          <cell r="D2136"/>
          <cell r="E2136"/>
          <cell r="F2136"/>
          <cell r="G2136"/>
          <cell r="H2136"/>
          <cell r="I2136"/>
          <cell r="J2136"/>
          <cell r="K2136"/>
          <cell r="L2136"/>
        </row>
        <row r="2137">
          <cell r="C2137"/>
          <cell r="D2137"/>
          <cell r="E2137"/>
          <cell r="F2137"/>
          <cell r="G2137"/>
          <cell r="H2137"/>
          <cell r="I2137"/>
          <cell r="J2137"/>
          <cell r="K2137"/>
          <cell r="L2137"/>
        </row>
        <row r="2138">
          <cell r="C2138"/>
          <cell r="D2138"/>
          <cell r="E2138"/>
          <cell r="F2138"/>
          <cell r="G2138"/>
          <cell r="H2138"/>
          <cell r="I2138"/>
          <cell r="J2138"/>
          <cell r="K2138"/>
          <cell r="L2138"/>
        </row>
        <row r="2139">
          <cell r="C2139"/>
          <cell r="D2139"/>
          <cell r="E2139"/>
          <cell r="F2139"/>
          <cell r="G2139"/>
          <cell r="H2139"/>
          <cell r="I2139"/>
          <cell r="J2139"/>
          <cell r="K2139"/>
          <cell r="L2139"/>
        </row>
        <row r="2140">
          <cell r="C2140"/>
          <cell r="D2140"/>
          <cell r="E2140"/>
          <cell r="F2140"/>
          <cell r="G2140"/>
          <cell r="H2140"/>
          <cell r="I2140"/>
          <cell r="J2140"/>
          <cell r="K2140"/>
          <cell r="L2140"/>
        </row>
        <row r="2141">
          <cell r="C2141"/>
          <cell r="D2141"/>
          <cell r="E2141"/>
          <cell r="F2141"/>
          <cell r="G2141"/>
          <cell r="H2141"/>
          <cell r="I2141"/>
          <cell r="J2141"/>
          <cell r="K2141"/>
          <cell r="L2141"/>
        </row>
        <row r="2142">
          <cell r="C2142"/>
          <cell r="D2142"/>
          <cell r="E2142"/>
          <cell r="F2142"/>
          <cell r="G2142"/>
          <cell r="H2142"/>
          <cell r="I2142"/>
          <cell r="J2142"/>
          <cell r="K2142"/>
          <cell r="L2142"/>
        </row>
        <row r="2143">
          <cell r="C2143"/>
          <cell r="D2143"/>
          <cell r="E2143"/>
          <cell r="F2143"/>
          <cell r="G2143"/>
          <cell r="H2143"/>
          <cell r="I2143"/>
          <cell r="J2143"/>
          <cell r="K2143"/>
          <cell r="L2143"/>
        </row>
        <row r="2144">
          <cell r="C2144"/>
          <cell r="D2144"/>
          <cell r="E2144"/>
          <cell r="F2144"/>
          <cell r="G2144"/>
          <cell r="H2144"/>
          <cell r="I2144"/>
          <cell r="J2144"/>
          <cell r="K2144"/>
          <cell r="L2144"/>
        </row>
        <row r="2145">
          <cell r="C2145"/>
          <cell r="D2145"/>
          <cell r="E2145"/>
          <cell r="F2145"/>
          <cell r="G2145"/>
          <cell r="H2145"/>
          <cell r="I2145"/>
          <cell r="J2145"/>
          <cell r="K2145"/>
          <cell r="L2145"/>
        </row>
        <row r="2146">
          <cell r="C2146"/>
          <cell r="D2146"/>
          <cell r="E2146"/>
          <cell r="F2146"/>
          <cell r="G2146"/>
          <cell r="H2146"/>
          <cell r="I2146"/>
          <cell r="J2146"/>
          <cell r="K2146"/>
          <cell r="L2146"/>
        </row>
        <row r="2147">
          <cell r="C2147"/>
          <cell r="D2147"/>
          <cell r="E2147"/>
          <cell r="F2147"/>
          <cell r="G2147"/>
          <cell r="H2147"/>
          <cell r="I2147"/>
          <cell r="J2147"/>
          <cell r="K2147"/>
          <cell r="L2147"/>
        </row>
        <row r="2148">
          <cell r="C2148"/>
          <cell r="D2148"/>
          <cell r="E2148"/>
          <cell r="F2148"/>
          <cell r="G2148"/>
          <cell r="H2148"/>
          <cell r="I2148"/>
          <cell r="J2148"/>
          <cell r="K2148"/>
          <cell r="L2148"/>
        </row>
        <row r="2149">
          <cell r="C2149"/>
          <cell r="D2149"/>
          <cell r="E2149"/>
          <cell r="F2149"/>
          <cell r="G2149"/>
          <cell r="H2149"/>
          <cell r="I2149"/>
          <cell r="J2149"/>
          <cell r="K2149"/>
          <cell r="L2149"/>
        </row>
        <row r="2150">
          <cell r="C2150"/>
          <cell r="D2150"/>
          <cell r="E2150"/>
          <cell r="F2150"/>
          <cell r="G2150"/>
          <cell r="H2150"/>
          <cell r="I2150"/>
          <cell r="J2150"/>
          <cell r="K2150"/>
          <cell r="L2150"/>
        </row>
        <row r="2151">
          <cell r="C2151"/>
          <cell r="D2151"/>
          <cell r="E2151"/>
          <cell r="F2151"/>
          <cell r="G2151"/>
          <cell r="H2151"/>
          <cell r="I2151"/>
          <cell r="J2151"/>
          <cell r="K2151"/>
          <cell r="L2151"/>
        </row>
        <row r="2152">
          <cell r="C2152"/>
          <cell r="D2152"/>
          <cell r="E2152"/>
          <cell r="F2152"/>
          <cell r="G2152"/>
          <cell r="H2152"/>
          <cell r="I2152"/>
          <cell r="J2152"/>
          <cell r="K2152"/>
          <cell r="L2152"/>
        </row>
        <row r="2153">
          <cell r="C2153"/>
          <cell r="D2153"/>
          <cell r="E2153"/>
          <cell r="F2153"/>
          <cell r="G2153"/>
          <cell r="H2153"/>
          <cell r="I2153"/>
          <cell r="J2153"/>
          <cell r="K2153"/>
          <cell r="L2153"/>
        </row>
        <row r="2154">
          <cell r="C2154"/>
          <cell r="D2154"/>
          <cell r="E2154"/>
          <cell r="F2154"/>
          <cell r="G2154"/>
          <cell r="H2154"/>
          <cell r="I2154"/>
          <cell r="J2154"/>
          <cell r="K2154"/>
          <cell r="L2154"/>
        </row>
        <row r="2155">
          <cell r="C2155"/>
          <cell r="D2155"/>
          <cell r="E2155"/>
          <cell r="F2155"/>
          <cell r="G2155"/>
          <cell r="H2155"/>
          <cell r="I2155"/>
          <cell r="J2155"/>
          <cell r="K2155"/>
          <cell r="L2155"/>
        </row>
        <row r="2156">
          <cell r="C2156"/>
          <cell r="D2156"/>
          <cell r="E2156"/>
          <cell r="F2156"/>
          <cell r="G2156"/>
          <cell r="H2156"/>
          <cell r="I2156"/>
          <cell r="J2156"/>
          <cell r="K2156"/>
          <cell r="L2156"/>
        </row>
        <row r="2157">
          <cell r="C2157"/>
          <cell r="D2157"/>
          <cell r="E2157"/>
          <cell r="F2157"/>
          <cell r="G2157"/>
          <cell r="H2157"/>
          <cell r="I2157"/>
          <cell r="J2157"/>
          <cell r="K2157"/>
          <cell r="L2157"/>
        </row>
        <row r="2158">
          <cell r="C2158"/>
          <cell r="D2158"/>
          <cell r="E2158"/>
          <cell r="F2158"/>
          <cell r="G2158"/>
          <cell r="H2158"/>
          <cell r="I2158"/>
          <cell r="J2158"/>
          <cell r="K2158"/>
          <cell r="L2158"/>
        </row>
        <row r="2159">
          <cell r="C2159"/>
          <cell r="D2159"/>
          <cell r="E2159"/>
          <cell r="F2159"/>
          <cell r="G2159"/>
          <cell r="H2159"/>
          <cell r="I2159"/>
          <cell r="J2159"/>
          <cell r="K2159"/>
          <cell r="L2159"/>
        </row>
        <row r="2160">
          <cell r="C2160"/>
          <cell r="D2160"/>
          <cell r="E2160"/>
          <cell r="F2160"/>
          <cell r="G2160"/>
          <cell r="H2160"/>
          <cell r="I2160"/>
          <cell r="J2160"/>
          <cell r="K2160"/>
          <cell r="L2160"/>
        </row>
        <row r="2161">
          <cell r="C2161"/>
          <cell r="D2161"/>
          <cell r="E2161"/>
          <cell r="F2161"/>
          <cell r="G2161"/>
          <cell r="H2161"/>
          <cell r="I2161"/>
          <cell r="J2161"/>
          <cell r="K2161"/>
          <cell r="L2161"/>
        </row>
        <row r="2162">
          <cell r="C2162"/>
          <cell r="D2162"/>
          <cell r="E2162"/>
          <cell r="F2162"/>
          <cell r="G2162"/>
          <cell r="H2162"/>
          <cell r="I2162"/>
          <cell r="J2162"/>
          <cell r="K2162"/>
          <cell r="L2162"/>
        </row>
        <row r="2163">
          <cell r="C2163"/>
          <cell r="D2163"/>
          <cell r="E2163"/>
          <cell r="F2163"/>
          <cell r="G2163"/>
          <cell r="H2163"/>
          <cell r="I2163"/>
          <cell r="J2163"/>
          <cell r="K2163"/>
          <cell r="L2163"/>
        </row>
        <row r="2164">
          <cell r="C2164"/>
          <cell r="D2164"/>
          <cell r="E2164"/>
          <cell r="F2164"/>
          <cell r="G2164"/>
          <cell r="H2164"/>
          <cell r="I2164"/>
          <cell r="J2164"/>
          <cell r="K2164"/>
          <cell r="L2164"/>
        </row>
        <row r="2165">
          <cell r="C2165"/>
          <cell r="D2165"/>
          <cell r="E2165"/>
          <cell r="F2165"/>
          <cell r="G2165"/>
          <cell r="H2165"/>
          <cell r="I2165"/>
          <cell r="J2165"/>
          <cell r="K2165"/>
          <cell r="L2165"/>
        </row>
        <row r="2166">
          <cell r="C2166"/>
          <cell r="D2166"/>
          <cell r="E2166"/>
          <cell r="F2166"/>
          <cell r="G2166"/>
          <cell r="H2166"/>
          <cell r="I2166"/>
          <cell r="J2166"/>
          <cell r="K2166"/>
          <cell r="L2166"/>
        </row>
        <row r="2167">
          <cell r="C2167"/>
          <cell r="D2167"/>
          <cell r="E2167"/>
          <cell r="F2167"/>
          <cell r="G2167"/>
          <cell r="H2167"/>
          <cell r="I2167"/>
          <cell r="J2167"/>
          <cell r="K2167"/>
          <cell r="L2167"/>
        </row>
        <row r="2168">
          <cell r="C2168"/>
          <cell r="D2168"/>
          <cell r="E2168"/>
          <cell r="F2168"/>
          <cell r="G2168"/>
          <cell r="H2168"/>
          <cell r="I2168"/>
          <cell r="J2168"/>
          <cell r="K2168"/>
          <cell r="L2168"/>
        </row>
        <row r="2169">
          <cell r="C2169"/>
          <cell r="D2169"/>
          <cell r="E2169"/>
          <cell r="F2169"/>
          <cell r="G2169"/>
          <cell r="H2169"/>
          <cell r="I2169"/>
          <cell r="J2169"/>
          <cell r="K2169"/>
          <cell r="L2169"/>
        </row>
        <row r="2170">
          <cell r="C2170"/>
          <cell r="D2170"/>
          <cell r="E2170"/>
          <cell r="F2170"/>
          <cell r="G2170"/>
          <cell r="H2170"/>
          <cell r="I2170"/>
          <cell r="J2170"/>
          <cell r="K2170"/>
          <cell r="L2170"/>
        </row>
        <row r="2171">
          <cell r="C2171"/>
          <cell r="D2171"/>
          <cell r="E2171"/>
          <cell r="F2171"/>
          <cell r="G2171"/>
          <cell r="H2171"/>
          <cell r="I2171"/>
          <cell r="J2171"/>
          <cell r="K2171"/>
          <cell r="L2171"/>
        </row>
        <row r="2172">
          <cell r="C2172"/>
          <cell r="D2172"/>
          <cell r="E2172"/>
          <cell r="F2172"/>
          <cell r="G2172"/>
          <cell r="H2172"/>
          <cell r="I2172"/>
          <cell r="J2172"/>
          <cell r="K2172"/>
          <cell r="L2172"/>
        </row>
        <row r="2173">
          <cell r="C2173"/>
          <cell r="D2173"/>
          <cell r="E2173"/>
          <cell r="F2173"/>
          <cell r="G2173"/>
          <cell r="H2173"/>
          <cell r="I2173"/>
          <cell r="J2173"/>
          <cell r="K2173"/>
          <cell r="L2173"/>
        </row>
        <row r="2174">
          <cell r="C2174"/>
          <cell r="D2174"/>
          <cell r="E2174"/>
          <cell r="F2174"/>
          <cell r="G2174"/>
          <cell r="H2174"/>
          <cell r="I2174"/>
          <cell r="J2174"/>
          <cell r="K2174"/>
          <cell r="L2174"/>
        </row>
        <row r="2175">
          <cell r="C2175"/>
          <cell r="D2175"/>
          <cell r="E2175"/>
          <cell r="F2175"/>
          <cell r="G2175"/>
          <cell r="H2175"/>
          <cell r="I2175"/>
          <cell r="J2175"/>
          <cell r="K2175"/>
          <cell r="L2175"/>
        </row>
        <row r="2176">
          <cell r="C2176"/>
          <cell r="D2176"/>
          <cell r="E2176"/>
          <cell r="F2176"/>
          <cell r="G2176"/>
          <cell r="H2176"/>
          <cell r="I2176"/>
          <cell r="J2176"/>
          <cell r="K2176"/>
          <cell r="L2176"/>
        </row>
        <row r="2177">
          <cell r="C2177"/>
          <cell r="D2177"/>
          <cell r="E2177"/>
          <cell r="F2177"/>
          <cell r="G2177"/>
          <cell r="H2177"/>
          <cell r="I2177"/>
          <cell r="J2177"/>
          <cell r="K2177"/>
          <cell r="L2177"/>
        </row>
        <row r="2178">
          <cell r="C2178"/>
          <cell r="D2178"/>
          <cell r="E2178"/>
          <cell r="F2178"/>
          <cell r="G2178"/>
          <cell r="H2178"/>
          <cell r="I2178"/>
          <cell r="J2178"/>
          <cell r="K2178"/>
          <cell r="L2178"/>
        </row>
        <row r="2179">
          <cell r="C2179"/>
          <cell r="D2179"/>
          <cell r="E2179"/>
          <cell r="F2179"/>
          <cell r="G2179"/>
          <cell r="H2179"/>
          <cell r="I2179"/>
          <cell r="J2179"/>
          <cell r="K2179"/>
          <cell r="L2179"/>
        </row>
        <row r="2180">
          <cell r="C2180"/>
          <cell r="D2180"/>
          <cell r="E2180"/>
          <cell r="F2180"/>
          <cell r="G2180"/>
          <cell r="H2180"/>
          <cell r="I2180"/>
          <cell r="J2180"/>
          <cell r="K2180"/>
          <cell r="L2180"/>
        </row>
        <row r="2181">
          <cell r="C2181"/>
          <cell r="D2181"/>
          <cell r="E2181"/>
          <cell r="F2181"/>
          <cell r="G2181"/>
          <cell r="H2181"/>
          <cell r="I2181"/>
          <cell r="J2181"/>
          <cell r="K2181"/>
          <cell r="L2181"/>
        </row>
        <row r="2182">
          <cell r="C2182"/>
          <cell r="D2182"/>
          <cell r="E2182"/>
          <cell r="F2182"/>
          <cell r="G2182"/>
          <cell r="H2182"/>
          <cell r="I2182"/>
          <cell r="J2182"/>
          <cell r="K2182"/>
          <cell r="L2182"/>
        </row>
        <row r="2183">
          <cell r="C2183"/>
          <cell r="D2183"/>
          <cell r="E2183"/>
          <cell r="F2183"/>
          <cell r="G2183"/>
          <cell r="H2183"/>
          <cell r="I2183"/>
          <cell r="J2183"/>
          <cell r="K2183"/>
          <cell r="L2183"/>
        </row>
        <row r="2184">
          <cell r="C2184"/>
          <cell r="D2184"/>
          <cell r="E2184"/>
          <cell r="F2184"/>
          <cell r="G2184"/>
          <cell r="H2184"/>
          <cell r="I2184"/>
          <cell r="J2184"/>
          <cell r="K2184"/>
          <cell r="L2184"/>
        </row>
        <row r="2185">
          <cell r="C2185"/>
          <cell r="D2185"/>
          <cell r="E2185"/>
          <cell r="F2185"/>
          <cell r="G2185"/>
          <cell r="H2185"/>
          <cell r="I2185"/>
          <cell r="J2185"/>
          <cell r="K2185"/>
          <cell r="L2185"/>
        </row>
        <row r="2186">
          <cell r="C2186"/>
          <cell r="D2186"/>
          <cell r="E2186"/>
          <cell r="F2186"/>
          <cell r="G2186"/>
          <cell r="H2186"/>
          <cell r="I2186"/>
          <cell r="J2186"/>
          <cell r="K2186"/>
          <cell r="L2186"/>
        </row>
        <row r="2187">
          <cell r="C2187"/>
          <cell r="D2187"/>
          <cell r="E2187"/>
          <cell r="F2187"/>
          <cell r="G2187"/>
          <cell r="H2187"/>
          <cell r="I2187"/>
          <cell r="J2187"/>
          <cell r="K2187"/>
          <cell r="L2187"/>
        </row>
        <row r="2188">
          <cell r="C2188"/>
          <cell r="D2188"/>
          <cell r="E2188"/>
          <cell r="F2188"/>
          <cell r="G2188"/>
          <cell r="H2188"/>
          <cell r="I2188"/>
          <cell r="J2188"/>
          <cell r="K2188"/>
          <cell r="L2188"/>
        </row>
        <row r="2189">
          <cell r="C2189"/>
          <cell r="D2189"/>
          <cell r="E2189"/>
          <cell r="F2189"/>
          <cell r="G2189"/>
          <cell r="H2189"/>
          <cell r="I2189"/>
          <cell r="J2189"/>
          <cell r="K2189"/>
          <cell r="L2189"/>
        </row>
        <row r="2190">
          <cell r="C2190"/>
          <cell r="D2190"/>
          <cell r="E2190"/>
          <cell r="F2190"/>
          <cell r="G2190"/>
          <cell r="H2190"/>
          <cell r="I2190"/>
          <cell r="J2190"/>
          <cell r="K2190"/>
          <cell r="L2190"/>
        </row>
        <row r="2191">
          <cell r="C2191"/>
          <cell r="D2191"/>
          <cell r="E2191"/>
          <cell r="F2191"/>
          <cell r="G2191"/>
          <cell r="H2191"/>
          <cell r="I2191"/>
          <cell r="J2191"/>
          <cell r="K2191"/>
          <cell r="L2191"/>
        </row>
        <row r="2192">
          <cell r="C2192"/>
          <cell r="D2192"/>
          <cell r="E2192"/>
          <cell r="F2192"/>
          <cell r="G2192"/>
          <cell r="H2192"/>
          <cell r="I2192"/>
          <cell r="J2192"/>
          <cell r="K2192"/>
          <cell r="L2192"/>
        </row>
        <row r="2193">
          <cell r="C2193"/>
          <cell r="D2193"/>
          <cell r="E2193"/>
          <cell r="F2193"/>
          <cell r="G2193"/>
          <cell r="H2193"/>
          <cell r="I2193"/>
          <cell r="J2193"/>
          <cell r="K2193"/>
          <cell r="L2193"/>
        </row>
        <row r="2194">
          <cell r="C2194"/>
          <cell r="D2194"/>
          <cell r="E2194"/>
          <cell r="F2194"/>
          <cell r="G2194"/>
          <cell r="H2194"/>
          <cell r="I2194"/>
          <cell r="J2194"/>
          <cell r="K2194"/>
          <cell r="L2194"/>
        </row>
        <row r="2195">
          <cell r="C2195"/>
          <cell r="D2195"/>
          <cell r="E2195"/>
          <cell r="F2195"/>
          <cell r="G2195"/>
          <cell r="H2195"/>
          <cell r="I2195"/>
          <cell r="J2195"/>
          <cell r="K2195"/>
          <cell r="L2195"/>
        </row>
        <row r="2196">
          <cell r="C2196"/>
          <cell r="D2196"/>
          <cell r="E2196"/>
          <cell r="F2196"/>
          <cell r="G2196"/>
          <cell r="H2196"/>
          <cell r="I2196"/>
          <cell r="J2196"/>
          <cell r="K2196"/>
          <cell r="L2196"/>
        </row>
        <row r="2197">
          <cell r="C2197"/>
          <cell r="D2197"/>
          <cell r="E2197"/>
          <cell r="F2197"/>
          <cell r="G2197"/>
          <cell r="H2197"/>
          <cell r="I2197"/>
          <cell r="J2197"/>
          <cell r="K2197"/>
          <cell r="L2197"/>
        </row>
        <row r="2198">
          <cell r="C2198"/>
          <cell r="D2198"/>
          <cell r="E2198"/>
          <cell r="F2198"/>
          <cell r="G2198"/>
          <cell r="H2198"/>
          <cell r="I2198"/>
          <cell r="J2198"/>
          <cell r="K2198"/>
          <cell r="L2198"/>
        </row>
        <row r="2199">
          <cell r="C2199"/>
          <cell r="D2199"/>
          <cell r="E2199"/>
          <cell r="F2199"/>
          <cell r="G2199"/>
          <cell r="H2199"/>
          <cell r="I2199"/>
          <cell r="J2199"/>
          <cell r="K2199"/>
          <cell r="L2199"/>
        </row>
        <row r="2200">
          <cell r="C2200"/>
          <cell r="D2200"/>
          <cell r="E2200"/>
          <cell r="F2200"/>
          <cell r="G2200"/>
          <cell r="H2200"/>
          <cell r="I2200"/>
          <cell r="J2200"/>
          <cell r="K2200"/>
          <cell r="L2200"/>
        </row>
        <row r="2201">
          <cell r="C2201"/>
          <cell r="D2201"/>
          <cell r="E2201"/>
          <cell r="F2201"/>
          <cell r="G2201"/>
          <cell r="H2201"/>
          <cell r="I2201"/>
          <cell r="J2201"/>
          <cell r="K2201"/>
          <cell r="L2201"/>
        </row>
        <row r="2202">
          <cell r="C2202"/>
          <cell r="D2202"/>
          <cell r="E2202"/>
          <cell r="F2202"/>
          <cell r="G2202"/>
          <cell r="H2202"/>
          <cell r="I2202"/>
          <cell r="J2202"/>
          <cell r="K2202"/>
          <cell r="L2202"/>
        </row>
        <row r="2203">
          <cell r="C2203"/>
          <cell r="D2203"/>
          <cell r="E2203"/>
          <cell r="F2203"/>
          <cell r="G2203"/>
          <cell r="H2203"/>
          <cell r="I2203"/>
          <cell r="J2203"/>
          <cell r="K2203"/>
          <cell r="L2203"/>
        </row>
        <row r="2204">
          <cell r="C2204"/>
          <cell r="D2204"/>
          <cell r="E2204"/>
          <cell r="F2204"/>
          <cell r="G2204"/>
          <cell r="H2204"/>
          <cell r="I2204"/>
          <cell r="J2204"/>
          <cell r="K2204"/>
          <cell r="L2204"/>
        </row>
        <row r="2205">
          <cell r="C2205"/>
          <cell r="D2205"/>
          <cell r="E2205"/>
          <cell r="F2205"/>
          <cell r="G2205"/>
          <cell r="H2205"/>
          <cell r="I2205"/>
          <cell r="J2205"/>
          <cell r="K2205"/>
          <cell r="L2205"/>
        </row>
        <row r="2206">
          <cell r="C2206"/>
          <cell r="D2206"/>
          <cell r="E2206"/>
          <cell r="F2206"/>
          <cell r="G2206"/>
          <cell r="H2206"/>
          <cell r="I2206"/>
          <cell r="J2206"/>
          <cell r="K2206"/>
          <cell r="L2206"/>
        </row>
        <row r="2207">
          <cell r="C2207"/>
          <cell r="D2207"/>
          <cell r="E2207"/>
          <cell r="F2207"/>
          <cell r="G2207"/>
          <cell r="H2207"/>
          <cell r="I2207"/>
          <cell r="J2207"/>
          <cell r="K2207"/>
          <cell r="L2207"/>
        </row>
        <row r="2208">
          <cell r="C2208"/>
          <cell r="D2208"/>
          <cell r="E2208"/>
          <cell r="F2208"/>
          <cell r="G2208"/>
          <cell r="H2208"/>
          <cell r="I2208"/>
          <cell r="J2208"/>
          <cell r="K2208"/>
          <cell r="L2208"/>
        </row>
        <row r="2209">
          <cell r="C2209"/>
          <cell r="D2209"/>
          <cell r="E2209"/>
          <cell r="F2209"/>
          <cell r="G2209"/>
          <cell r="H2209"/>
          <cell r="I2209"/>
          <cell r="J2209"/>
          <cell r="K2209"/>
          <cell r="L2209"/>
        </row>
        <row r="2210">
          <cell r="C2210"/>
          <cell r="D2210"/>
          <cell r="E2210"/>
          <cell r="F2210"/>
          <cell r="G2210"/>
          <cell r="H2210"/>
          <cell r="I2210"/>
          <cell r="J2210"/>
          <cell r="K2210"/>
          <cell r="L2210"/>
        </row>
        <row r="2211">
          <cell r="C2211"/>
          <cell r="D2211"/>
          <cell r="E2211"/>
          <cell r="F2211"/>
          <cell r="G2211"/>
          <cell r="H2211"/>
          <cell r="I2211"/>
          <cell r="J2211"/>
          <cell r="K2211"/>
          <cell r="L2211"/>
        </row>
        <row r="2212">
          <cell r="C2212"/>
          <cell r="D2212"/>
          <cell r="E2212"/>
          <cell r="F2212"/>
          <cell r="G2212"/>
          <cell r="H2212"/>
          <cell r="I2212"/>
          <cell r="J2212"/>
          <cell r="K2212"/>
          <cell r="L2212"/>
        </row>
        <row r="2213">
          <cell r="C2213"/>
          <cell r="D2213"/>
          <cell r="E2213"/>
          <cell r="F2213"/>
          <cell r="G2213"/>
          <cell r="H2213"/>
          <cell r="I2213"/>
          <cell r="J2213"/>
          <cell r="K2213"/>
          <cell r="L2213"/>
        </row>
        <row r="2214">
          <cell r="C2214"/>
          <cell r="D2214"/>
          <cell r="E2214"/>
          <cell r="F2214"/>
          <cell r="G2214"/>
          <cell r="H2214"/>
          <cell r="I2214"/>
          <cell r="J2214"/>
          <cell r="K2214"/>
          <cell r="L2214"/>
        </row>
        <row r="2215">
          <cell r="C2215"/>
          <cell r="D2215"/>
          <cell r="E2215"/>
          <cell r="F2215"/>
          <cell r="G2215"/>
          <cell r="H2215"/>
          <cell r="I2215"/>
          <cell r="J2215"/>
          <cell r="K2215"/>
          <cell r="L2215"/>
        </row>
        <row r="2216">
          <cell r="C2216"/>
          <cell r="D2216"/>
          <cell r="E2216"/>
          <cell r="F2216"/>
          <cell r="G2216"/>
          <cell r="H2216"/>
          <cell r="I2216"/>
          <cell r="J2216"/>
          <cell r="K2216"/>
          <cell r="L2216"/>
        </row>
        <row r="2217">
          <cell r="C2217"/>
          <cell r="D2217"/>
          <cell r="E2217"/>
          <cell r="F2217"/>
          <cell r="G2217"/>
          <cell r="H2217"/>
          <cell r="I2217"/>
          <cell r="J2217"/>
          <cell r="K2217"/>
          <cell r="L2217"/>
        </row>
        <row r="2218">
          <cell r="C2218"/>
          <cell r="D2218"/>
          <cell r="E2218"/>
          <cell r="F2218"/>
          <cell r="G2218"/>
          <cell r="H2218"/>
          <cell r="I2218"/>
          <cell r="J2218"/>
          <cell r="K2218"/>
          <cell r="L2218"/>
        </row>
        <row r="2219">
          <cell r="C2219"/>
          <cell r="D2219"/>
          <cell r="E2219"/>
          <cell r="F2219"/>
          <cell r="G2219"/>
          <cell r="H2219"/>
          <cell r="I2219"/>
          <cell r="J2219"/>
          <cell r="K2219"/>
          <cell r="L2219"/>
        </row>
        <row r="2220">
          <cell r="C2220"/>
          <cell r="D2220"/>
          <cell r="E2220"/>
          <cell r="F2220"/>
          <cell r="G2220"/>
          <cell r="H2220"/>
          <cell r="I2220"/>
          <cell r="J2220"/>
          <cell r="K2220"/>
          <cell r="L2220"/>
        </row>
        <row r="2221">
          <cell r="C2221"/>
          <cell r="D2221"/>
          <cell r="E2221"/>
          <cell r="F2221"/>
          <cell r="G2221"/>
          <cell r="H2221"/>
          <cell r="I2221"/>
          <cell r="J2221"/>
          <cell r="K2221"/>
          <cell r="L2221"/>
        </row>
        <row r="2222">
          <cell r="C2222"/>
          <cell r="D2222"/>
          <cell r="E2222"/>
          <cell r="F2222"/>
          <cell r="G2222"/>
          <cell r="H2222"/>
          <cell r="I2222"/>
          <cell r="J2222"/>
          <cell r="K2222"/>
          <cell r="L2222"/>
        </row>
        <row r="2223">
          <cell r="C2223"/>
          <cell r="D2223"/>
          <cell r="E2223"/>
          <cell r="F2223"/>
          <cell r="G2223"/>
          <cell r="H2223"/>
          <cell r="I2223"/>
          <cell r="J2223"/>
          <cell r="K2223"/>
          <cell r="L2223"/>
        </row>
        <row r="2224">
          <cell r="C2224"/>
          <cell r="D2224"/>
          <cell r="E2224"/>
          <cell r="F2224"/>
          <cell r="G2224"/>
          <cell r="H2224"/>
          <cell r="I2224"/>
          <cell r="J2224"/>
          <cell r="K2224"/>
          <cell r="L2224"/>
        </row>
        <row r="2225">
          <cell r="C2225"/>
          <cell r="D2225"/>
          <cell r="E2225"/>
          <cell r="F2225"/>
          <cell r="G2225"/>
          <cell r="H2225"/>
          <cell r="I2225"/>
          <cell r="J2225"/>
          <cell r="K2225"/>
          <cell r="L2225"/>
        </row>
        <row r="2226">
          <cell r="C2226"/>
          <cell r="D2226"/>
          <cell r="E2226"/>
          <cell r="F2226"/>
          <cell r="G2226"/>
          <cell r="H2226"/>
          <cell r="I2226"/>
          <cell r="J2226"/>
          <cell r="K2226"/>
          <cell r="L2226"/>
        </row>
        <row r="2227">
          <cell r="C2227"/>
          <cell r="D2227"/>
          <cell r="E2227"/>
          <cell r="F2227"/>
          <cell r="G2227"/>
          <cell r="H2227"/>
          <cell r="I2227"/>
          <cell r="J2227"/>
          <cell r="K2227"/>
          <cell r="L2227"/>
        </row>
        <row r="2228">
          <cell r="C2228"/>
          <cell r="D2228"/>
          <cell r="E2228"/>
          <cell r="F2228"/>
          <cell r="G2228"/>
          <cell r="H2228"/>
          <cell r="I2228"/>
          <cell r="J2228"/>
          <cell r="K2228"/>
          <cell r="L2228"/>
        </row>
        <row r="2229">
          <cell r="C2229"/>
          <cell r="D2229"/>
          <cell r="E2229"/>
          <cell r="F2229"/>
          <cell r="G2229"/>
          <cell r="H2229"/>
          <cell r="I2229"/>
          <cell r="J2229"/>
          <cell r="K2229"/>
          <cell r="L2229"/>
        </row>
        <row r="2230">
          <cell r="C2230"/>
          <cell r="D2230"/>
          <cell r="E2230"/>
          <cell r="F2230"/>
          <cell r="G2230"/>
          <cell r="H2230"/>
          <cell r="I2230"/>
          <cell r="J2230"/>
          <cell r="K2230"/>
          <cell r="L2230"/>
        </row>
        <row r="2231">
          <cell r="C2231"/>
          <cell r="D2231"/>
          <cell r="E2231"/>
          <cell r="F2231"/>
          <cell r="G2231"/>
          <cell r="H2231"/>
          <cell r="I2231"/>
          <cell r="J2231"/>
          <cell r="K2231"/>
          <cell r="L2231"/>
        </row>
        <row r="2232">
          <cell r="C2232"/>
          <cell r="D2232"/>
          <cell r="E2232"/>
          <cell r="F2232"/>
          <cell r="G2232"/>
          <cell r="H2232"/>
          <cell r="I2232"/>
          <cell r="J2232"/>
          <cell r="K2232"/>
          <cell r="L2232"/>
        </row>
        <row r="2233">
          <cell r="C2233"/>
          <cell r="D2233"/>
          <cell r="E2233"/>
          <cell r="F2233"/>
          <cell r="G2233"/>
          <cell r="H2233"/>
          <cell r="I2233"/>
          <cell r="J2233"/>
          <cell r="K2233"/>
          <cell r="L2233"/>
        </row>
        <row r="2234">
          <cell r="C2234"/>
          <cell r="D2234"/>
          <cell r="E2234"/>
          <cell r="F2234"/>
          <cell r="G2234"/>
          <cell r="H2234"/>
          <cell r="I2234"/>
          <cell r="J2234"/>
          <cell r="K2234"/>
          <cell r="L2234"/>
        </row>
        <row r="2235">
          <cell r="C2235"/>
          <cell r="D2235"/>
          <cell r="E2235"/>
          <cell r="F2235"/>
          <cell r="G2235"/>
          <cell r="H2235"/>
          <cell r="I2235"/>
          <cell r="J2235"/>
          <cell r="K2235"/>
          <cell r="L2235"/>
        </row>
        <row r="2236">
          <cell r="C2236"/>
          <cell r="D2236"/>
          <cell r="E2236"/>
          <cell r="F2236"/>
          <cell r="G2236"/>
          <cell r="H2236"/>
          <cell r="I2236"/>
          <cell r="J2236"/>
          <cell r="K2236"/>
          <cell r="L2236"/>
        </row>
        <row r="2237">
          <cell r="C2237"/>
          <cell r="D2237"/>
          <cell r="E2237"/>
          <cell r="F2237"/>
          <cell r="G2237"/>
          <cell r="H2237"/>
          <cell r="I2237"/>
          <cell r="J2237"/>
          <cell r="K2237"/>
          <cell r="L2237"/>
        </row>
        <row r="2238">
          <cell r="C2238"/>
          <cell r="D2238"/>
          <cell r="E2238"/>
          <cell r="F2238"/>
          <cell r="G2238"/>
          <cell r="H2238"/>
          <cell r="I2238"/>
          <cell r="J2238"/>
          <cell r="K2238"/>
          <cell r="L2238"/>
        </row>
        <row r="2239">
          <cell r="C2239"/>
          <cell r="D2239"/>
          <cell r="E2239"/>
          <cell r="F2239"/>
          <cell r="G2239"/>
          <cell r="H2239"/>
          <cell r="I2239"/>
          <cell r="J2239"/>
          <cell r="K2239"/>
          <cell r="L2239"/>
        </row>
        <row r="2240">
          <cell r="C2240"/>
          <cell r="D2240"/>
          <cell r="E2240"/>
          <cell r="F2240"/>
          <cell r="G2240"/>
          <cell r="H2240"/>
          <cell r="I2240"/>
          <cell r="J2240"/>
          <cell r="K2240"/>
          <cell r="L2240"/>
        </row>
        <row r="2241">
          <cell r="C2241"/>
          <cell r="D2241"/>
          <cell r="E2241"/>
          <cell r="F2241"/>
          <cell r="G2241"/>
          <cell r="H2241"/>
          <cell r="I2241"/>
          <cell r="J2241"/>
          <cell r="K2241"/>
          <cell r="L2241"/>
        </row>
        <row r="2242">
          <cell r="C2242"/>
          <cell r="D2242"/>
          <cell r="E2242"/>
          <cell r="F2242"/>
          <cell r="G2242"/>
          <cell r="H2242"/>
          <cell r="I2242"/>
          <cell r="J2242"/>
          <cell r="K2242"/>
          <cell r="L2242"/>
        </row>
        <row r="2243">
          <cell r="C2243"/>
          <cell r="D2243"/>
          <cell r="E2243"/>
          <cell r="F2243"/>
          <cell r="G2243"/>
          <cell r="H2243"/>
          <cell r="I2243"/>
          <cell r="J2243"/>
          <cell r="K2243"/>
          <cell r="L2243"/>
        </row>
        <row r="2244">
          <cell r="C2244"/>
          <cell r="D2244"/>
          <cell r="E2244"/>
          <cell r="F2244"/>
          <cell r="G2244"/>
          <cell r="H2244"/>
          <cell r="I2244"/>
          <cell r="J2244"/>
          <cell r="K2244"/>
          <cell r="L2244"/>
        </row>
        <row r="2245">
          <cell r="C2245"/>
          <cell r="D2245"/>
          <cell r="E2245"/>
          <cell r="F2245"/>
          <cell r="G2245"/>
          <cell r="H2245"/>
          <cell r="I2245"/>
          <cell r="J2245"/>
          <cell r="K2245"/>
          <cell r="L2245"/>
        </row>
        <row r="2246">
          <cell r="C2246"/>
          <cell r="D2246"/>
          <cell r="E2246"/>
          <cell r="F2246"/>
          <cell r="G2246"/>
          <cell r="H2246"/>
          <cell r="I2246"/>
          <cell r="J2246"/>
          <cell r="K2246"/>
          <cell r="L2246"/>
        </row>
        <row r="2247">
          <cell r="C2247"/>
          <cell r="D2247"/>
          <cell r="E2247"/>
          <cell r="F2247"/>
          <cell r="G2247"/>
          <cell r="H2247"/>
          <cell r="I2247"/>
          <cell r="J2247"/>
          <cell r="K2247"/>
          <cell r="L2247"/>
        </row>
        <row r="2248">
          <cell r="C2248"/>
          <cell r="D2248"/>
          <cell r="E2248"/>
          <cell r="F2248"/>
          <cell r="G2248"/>
          <cell r="H2248"/>
          <cell r="I2248"/>
          <cell r="J2248"/>
          <cell r="K2248"/>
          <cell r="L2248"/>
        </row>
        <row r="2249">
          <cell r="C2249"/>
          <cell r="D2249"/>
          <cell r="E2249"/>
          <cell r="F2249"/>
          <cell r="G2249"/>
          <cell r="H2249"/>
          <cell r="I2249"/>
          <cell r="J2249"/>
          <cell r="K2249"/>
          <cell r="L2249"/>
        </row>
        <row r="2250">
          <cell r="C2250"/>
          <cell r="D2250"/>
          <cell r="E2250"/>
          <cell r="F2250"/>
          <cell r="G2250"/>
          <cell r="H2250"/>
          <cell r="I2250"/>
          <cell r="J2250"/>
          <cell r="K2250"/>
          <cell r="L2250"/>
        </row>
        <row r="2251">
          <cell r="C2251"/>
          <cell r="D2251"/>
          <cell r="E2251"/>
          <cell r="F2251"/>
          <cell r="G2251"/>
          <cell r="H2251"/>
          <cell r="I2251"/>
          <cell r="J2251"/>
          <cell r="K2251"/>
          <cell r="L2251"/>
        </row>
        <row r="2252">
          <cell r="C2252"/>
          <cell r="D2252"/>
          <cell r="E2252"/>
          <cell r="F2252"/>
          <cell r="G2252"/>
          <cell r="H2252"/>
          <cell r="I2252"/>
          <cell r="J2252"/>
          <cell r="K2252"/>
          <cell r="L2252"/>
        </row>
        <row r="2253">
          <cell r="C2253"/>
          <cell r="D2253"/>
          <cell r="E2253"/>
          <cell r="F2253"/>
          <cell r="G2253"/>
          <cell r="H2253"/>
          <cell r="I2253"/>
          <cell r="J2253"/>
          <cell r="K2253"/>
          <cell r="L2253"/>
        </row>
        <row r="2254">
          <cell r="C2254"/>
          <cell r="D2254"/>
          <cell r="E2254"/>
          <cell r="F2254"/>
          <cell r="G2254"/>
          <cell r="H2254"/>
          <cell r="I2254"/>
          <cell r="J2254"/>
          <cell r="K2254"/>
          <cell r="L2254"/>
        </row>
        <row r="2255">
          <cell r="C2255"/>
          <cell r="D2255"/>
          <cell r="E2255"/>
          <cell r="F2255"/>
          <cell r="G2255"/>
          <cell r="H2255"/>
          <cell r="I2255"/>
          <cell r="J2255"/>
          <cell r="K2255"/>
          <cell r="L2255"/>
        </row>
        <row r="2256">
          <cell r="C2256"/>
          <cell r="D2256"/>
          <cell r="E2256"/>
          <cell r="F2256"/>
          <cell r="G2256"/>
          <cell r="H2256"/>
          <cell r="I2256"/>
          <cell r="J2256"/>
          <cell r="K2256"/>
          <cell r="L2256"/>
        </row>
        <row r="2257">
          <cell r="C2257"/>
          <cell r="D2257"/>
          <cell r="E2257"/>
          <cell r="F2257"/>
          <cell r="G2257"/>
          <cell r="H2257"/>
          <cell r="I2257"/>
          <cell r="J2257"/>
          <cell r="K2257"/>
          <cell r="L2257"/>
        </row>
        <row r="2258">
          <cell r="C2258"/>
          <cell r="D2258"/>
          <cell r="E2258"/>
          <cell r="F2258"/>
          <cell r="G2258"/>
          <cell r="H2258"/>
          <cell r="I2258"/>
          <cell r="J2258"/>
          <cell r="K2258"/>
          <cell r="L2258"/>
        </row>
        <row r="2259">
          <cell r="C2259"/>
          <cell r="D2259"/>
          <cell r="E2259"/>
          <cell r="F2259"/>
          <cell r="G2259"/>
          <cell r="H2259"/>
          <cell r="I2259"/>
          <cell r="J2259"/>
          <cell r="K2259"/>
          <cell r="L2259"/>
        </row>
        <row r="2260">
          <cell r="C2260"/>
          <cell r="D2260"/>
          <cell r="E2260"/>
          <cell r="F2260"/>
          <cell r="G2260"/>
          <cell r="H2260"/>
          <cell r="I2260"/>
          <cell r="J2260"/>
          <cell r="K2260"/>
          <cell r="L2260"/>
        </row>
        <row r="2261">
          <cell r="C2261"/>
          <cell r="D2261"/>
          <cell r="E2261"/>
          <cell r="F2261"/>
          <cell r="G2261"/>
          <cell r="H2261"/>
          <cell r="I2261"/>
          <cell r="J2261"/>
          <cell r="K2261"/>
          <cell r="L2261"/>
        </row>
        <row r="2262">
          <cell r="C2262"/>
          <cell r="D2262"/>
          <cell r="E2262"/>
          <cell r="F2262"/>
          <cell r="G2262"/>
          <cell r="H2262"/>
          <cell r="I2262"/>
          <cell r="J2262"/>
          <cell r="K2262"/>
          <cell r="L2262"/>
        </row>
        <row r="2263">
          <cell r="C2263"/>
          <cell r="D2263"/>
          <cell r="E2263"/>
          <cell r="F2263"/>
          <cell r="G2263"/>
          <cell r="H2263"/>
          <cell r="I2263"/>
          <cell r="J2263"/>
          <cell r="K2263"/>
          <cell r="L2263"/>
        </row>
        <row r="2264">
          <cell r="C2264"/>
          <cell r="D2264"/>
          <cell r="E2264"/>
          <cell r="F2264"/>
          <cell r="G2264"/>
          <cell r="H2264"/>
          <cell r="I2264"/>
          <cell r="J2264"/>
          <cell r="K2264"/>
          <cell r="L2264"/>
        </row>
        <row r="2265">
          <cell r="C2265"/>
          <cell r="D2265"/>
          <cell r="E2265"/>
          <cell r="F2265"/>
          <cell r="G2265"/>
          <cell r="H2265"/>
          <cell r="I2265"/>
          <cell r="J2265"/>
          <cell r="K2265"/>
          <cell r="L2265"/>
        </row>
        <row r="2266">
          <cell r="C2266"/>
          <cell r="D2266"/>
          <cell r="E2266"/>
          <cell r="F2266"/>
          <cell r="G2266"/>
          <cell r="H2266"/>
          <cell r="I2266"/>
          <cell r="J2266"/>
          <cell r="K2266"/>
          <cell r="L2266"/>
        </row>
        <row r="2267">
          <cell r="C2267"/>
          <cell r="D2267"/>
          <cell r="E2267"/>
          <cell r="F2267"/>
          <cell r="G2267"/>
          <cell r="H2267"/>
          <cell r="I2267"/>
          <cell r="J2267"/>
          <cell r="K2267"/>
          <cell r="L2267"/>
        </row>
        <row r="2268">
          <cell r="C2268"/>
          <cell r="D2268"/>
          <cell r="E2268"/>
          <cell r="F2268"/>
          <cell r="G2268"/>
          <cell r="H2268"/>
          <cell r="I2268"/>
          <cell r="J2268"/>
          <cell r="K2268"/>
          <cell r="L2268"/>
        </row>
        <row r="2269">
          <cell r="C2269"/>
          <cell r="D2269"/>
          <cell r="E2269"/>
          <cell r="F2269"/>
          <cell r="G2269"/>
          <cell r="H2269"/>
          <cell r="I2269"/>
          <cell r="J2269"/>
          <cell r="K2269"/>
          <cell r="L2269"/>
        </row>
        <row r="2270">
          <cell r="C2270"/>
          <cell r="D2270"/>
          <cell r="E2270"/>
          <cell r="F2270"/>
          <cell r="G2270"/>
          <cell r="H2270"/>
          <cell r="I2270"/>
          <cell r="J2270"/>
          <cell r="K2270"/>
          <cell r="L2270"/>
        </row>
        <row r="2271">
          <cell r="C2271"/>
          <cell r="D2271"/>
          <cell r="E2271"/>
          <cell r="F2271"/>
          <cell r="G2271"/>
          <cell r="H2271"/>
          <cell r="I2271"/>
          <cell r="J2271"/>
          <cell r="K2271"/>
          <cell r="L2271"/>
        </row>
        <row r="2272">
          <cell r="C2272"/>
          <cell r="D2272"/>
          <cell r="E2272"/>
          <cell r="F2272"/>
          <cell r="G2272"/>
          <cell r="H2272"/>
          <cell r="I2272"/>
          <cell r="J2272"/>
          <cell r="K2272"/>
          <cell r="L2272"/>
        </row>
        <row r="2273">
          <cell r="C2273"/>
          <cell r="D2273"/>
          <cell r="E2273"/>
          <cell r="F2273"/>
          <cell r="G2273"/>
          <cell r="H2273"/>
          <cell r="I2273"/>
          <cell r="J2273"/>
          <cell r="K2273"/>
          <cell r="L2273"/>
        </row>
        <row r="2274">
          <cell r="C2274"/>
          <cell r="D2274"/>
          <cell r="E2274"/>
          <cell r="F2274"/>
          <cell r="G2274"/>
          <cell r="H2274"/>
          <cell r="I2274"/>
          <cell r="J2274"/>
          <cell r="K2274"/>
          <cell r="L2274"/>
        </row>
        <row r="2275">
          <cell r="C2275"/>
          <cell r="D2275"/>
          <cell r="E2275"/>
          <cell r="F2275"/>
          <cell r="G2275"/>
          <cell r="H2275"/>
          <cell r="I2275"/>
          <cell r="J2275"/>
          <cell r="K2275"/>
          <cell r="L2275"/>
        </row>
        <row r="2276">
          <cell r="C2276"/>
          <cell r="D2276"/>
          <cell r="E2276"/>
          <cell r="F2276"/>
          <cell r="G2276"/>
          <cell r="H2276"/>
          <cell r="I2276"/>
          <cell r="J2276"/>
          <cell r="K2276"/>
          <cell r="L2276"/>
        </row>
        <row r="2277">
          <cell r="C2277"/>
          <cell r="D2277"/>
          <cell r="E2277"/>
          <cell r="F2277"/>
          <cell r="G2277"/>
          <cell r="H2277"/>
          <cell r="I2277"/>
          <cell r="J2277"/>
          <cell r="K2277"/>
          <cell r="L2277"/>
        </row>
        <row r="2278">
          <cell r="C2278"/>
          <cell r="D2278"/>
          <cell r="E2278"/>
          <cell r="F2278"/>
          <cell r="G2278"/>
          <cell r="H2278"/>
          <cell r="I2278"/>
          <cell r="J2278"/>
          <cell r="K2278"/>
          <cell r="L2278"/>
        </row>
        <row r="2279">
          <cell r="C2279"/>
          <cell r="D2279"/>
          <cell r="E2279"/>
          <cell r="F2279"/>
          <cell r="G2279"/>
          <cell r="H2279"/>
          <cell r="I2279"/>
          <cell r="J2279"/>
          <cell r="K2279"/>
          <cell r="L2279"/>
        </row>
        <row r="2280">
          <cell r="C2280"/>
          <cell r="D2280"/>
          <cell r="E2280"/>
          <cell r="F2280"/>
          <cell r="G2280"/>
          <cell r="H2280"/>
          <cell r="I2280"/>
          <cell r="J2280"/>
          <cell r="K2280"/>
          <cell r="L2280"/>
        </row>
        <row r="2281">
          <cell r="C2281"/>
          <cell r="D2281"/>
          <cell r="E2281"/>
          <cell r="F2281"/>
          <cell r="G2281"/>
          <cell r="H2281"/>
          <cell r="I2281"/>
          <cell r="J2281"/>
          <cell r="K2281"/>
          <cell r="L2281"/>
        </row>
        <row r="2282">
          <cell r="C2282"/>
          <cell r="D2282"/>
          <cell r="E2282"/>
          <cell r="F2282"/>
          <cell r="G2282"/>
          <cell r="H2282"/>
          <cell r="I2282"/>
          <cell r="J2282"/>
          <cell r="K2282"/>
          <cell r="L2282"/>
        </row>
        <row r="2283">
          <cell r="C2283"/>
          <cell r="D2283"/>
          <cell r="E2283"/>
          <cell r="F2283"/>
          <cell r="G2283"/>
          <cell r="H2283"/>
          <cell r="I2283"/>
          <cell r="J2283"/>
          <cell r="K2283"/>
          <cell r="L2283"/>
        </row>
        <row r="2284">
          <cell r="C2284"/>
          <cell r="D2284"/>
          <cell r="E2284"/>
          <cell r="F2284"/>
          <cell r="G2284"/>
          <cell r="H2284"/>
          <cell r="I2284"/>
          <cell r="J2284"/>
          <cell r="K2284"/>
          <cell r="L2284"/>
        </row>
        <row r="2285">
          <cell r="C2285"/>
          <cell r="D2285"/>
          <cell r="E2285"/>
          <cell r="F2285"/>
          <cell r="G2285"/>
          <cell r="H2285"/>
          <cell r="I2285"/>
          <cell r="J2285"/>
          <cell r="K2285"/>
          <cell r="L2285"/>
        </row>
        <row r="2286">
          <cell r="C2286"/>
          <cell r="D2286"/>
          <cell r="E2286"/>
          <cell r="F2286"/>
          <cell r="G2286"/>
          <cell r="H2286"/>
          <cell r="I2286"/>
          <cell r="J2286"/>
          <cell r="K2286"/>
          <cell r="L2286"/>
        </row>
        <row r="2287">
          <cell r="C2287"/>
          <cell r="D2287"/>
          <cell r="E2287"/>
          <cell r="F2287"/>
          <cell r="G2287"/>
          <cell r="H2287"/>
          <cell r="I2287"/>
          <cell r="J2287"/>
          <cell r="K2287"/>
          <cell r="L2287"/>
        </row>
        <row r="2288">
          <cell r="C2288"/>
          <cell r="D2288"/>
          <cell r="E2288"/>
          <cell r="F2288"/>
          <cell r="G2288"/>
          <cell r="H2288"/>
          <cell r="I2288"/>
          <cell r="J2288"/>
          <cell r="K2288"/>
          <cell r="L2288"/>
        </row>
        <row r="2289">
          <cell r="C2289"/>
          <cell r="D2289"/>
          <cell r="E2289"/>
          <cell r="F2289"/>
          <cell r="G2289"/>
          <cell r="H2289"/>
          <cell r="I2289"/>
          <cell r="J2289"/>
          <cell r="K2289"/>
          <cell r="L2289"/>
        </row>
        <row r="2290">
          <cell r="C2290"/>
          <cell r="D2290"/>
          <cell r="E2290"/>
          <cell r="F2290"/>
          <cell r="G2290"/>
          <cell r="H2290"/>
          <cell r="I2290"/>
          <cell r="J2290"/>
          <cell r="K2290"/>
          <cell r="L2290"/>
        </row>
        <row r="2291">
          <cell r="C2291"/>
          <cell r="D2291"/>
          <cell r="E2291"/>
          <cell r="F2291"/>
          <cell r="G2291"/>
          <cell r="H2291"/>
          <cell r="I2291"/>
          <cell r="J2291"/>
          <cell r="K2291"/>
          <cell r="L2291"/>
        </row>
        <row r="2292">
          <cell r="C2292"/>
          <cell r="D2292"/>
          <cell r="E2292"/>
          <cell r="F2292"/>
          <cell r="G2292"/>
          <cell r="H2292"/>
          <cell r="I2292"/>
          <cell r="J2292"/>
          <cell r="K2292"/>
          <cell r="L2292"/>
        </row>
        <row r="2293">
          <cell r="C2293"/>
          <cell r="D2293"/>
          <cell r="E2293"/>
          <cell r="F2293"/>
          <cell r="G2293"/>
          <cell r="H2293"/>
          <cell r="I2293"/>
          <cell r="J2293"/>
          <cell r="K2293"/>
          <cell r="L2293"/>
        </row>
        <row r="2294">
          <cell r="C2294"/>
          <cell r="D2294"/>
          <cell r="E2294"/>
          <cell r="F2294"/>
          <cell r="G2294"/>
          <cell r="H2294"/>
          <cell r="I2294"/>
          <cell r="J2294"/>
          <cell r="K2294"/>
          <cell r="L2294"/>
        </row>
        <row r="2295">
          <cell r="C2295"/>
          <cell r="D2295"/>
          <cell r="E2295"/>
          <cell r="F2295"/>
          <cell r="G2295"/>
          <cell r="H2295"/>
          <cell r="I2295"/>
          <cell r="J2295"/>
          <cell r="K2295"/>
          <cell r="L2295"/>
        </row>
        <row r="2296">
          <cell r="C2296"/>
          <cell r="D2296"/>
          <cell r="E2296"/>
          <cell r="F2296"/>
          <cell r="G2296"/>
          <cell r="H2296"/>
          <cell r="I2296"/>
          <cell r="J2296"/>
          <cell r="K2296"/>
          <cell r="L2296"/>
        </row>
        <row r="2297">
          <cell r="C2297"/>
          <cell r="D2297"/>
          <cell r="E2297"/>
          <cell r="F2297"/>
          <cell r="G2297"/>
          <cell r="H2297"/>
          <cell r="I2297"/>
          <cell r="J2297"/>
          <cell r="K2297"/>
          <cell r="L2297"/>
        </row>
        <row r="2298">
          <cell r="C2298"/>
          <cell r="D2298"/>
          <cell r="E2298"/>
          <cell r="F2298"/>
          <cell r="G2298"/>
          <cell r="H2298"/>
          <cell r="I2298"/>
          <cell r="J2298"/>
          <cell r="K2298"/>
          <cell r="L2298"/>
        </row>
        <row r="2299">
          <cell r="C2299"/>
          <cell r="D2299"/>
          <cell r="E2299"/>
          <cell r="F2299"/>
          <cell r="G2299"/>
          <cell r="H2299"/>
          <cell r="I2299"/>
          <cell r="J2299"/>
          <cell r="K2299"/>
          <cell r="L2299"/>
        </row>
        <row r="2300">
          <cell r="C2300"/>
          <cell r="D2300"/>
          <cell r="E2300"/>
          <cell r="F2300"/>
          <cell r="G2300"/>
          <cell r="H2300"/>
          <cell r="I2300"/>
          <cell r="J2300"/>
          <cell r="K2300"/>
          <cell r="L2300"/>
        </row>
        <row r="2301">
          <cell r="C2301"/>
          <cell r="D2301"/>
          <cell r="E2301"/>
          <cell r="F2301"/>
          <cell r="G2301"/>
          <cell r="H2301"/>
          <cell r="I2301"/>
          <cell r="J2301"/>
          <cell r="K2301"/>
          <cell r="L2301"/>
        </row>
        <row r="2302">
          <cell r="C2302"/>
          <cell r="D2302"/>
          <cell r="E2302"/>
          <cell r="F2302"/>
          <cell r="G2302"/>
          <cell r="H2302"/>
          <cell r="I2302"/>
          <cell r="J2302"/>
          <cell r="K2302"/>
          <cell r="L2302"/>
        </row>
        <row r="2303">
          <cell r="C2303"/>
          <cell r="D2303"/>
          <cell r="E2303"/>
          <cell r="F2303"/>
          <cell r="G2303"/>
          <cell r="H2303"/>
          <cell r="I2303"/>
          <cell r="J2303"/>
          <cell r="K2303"/>
          <cell r="L2303"/>
        </row>
        <row r="2304">
          <cell r="C2304"/>
          <cell r="D2304"/>
          <cell r="E2304"/>
          <cell r="F2304"/>
          <cell r="G2304"/>
          <cell r="H2304"/>
          <cell r="I2304"/>
          <cell r="J2304"/>
          <cell r="K2304"/>
          <cell r="L2304"/>
        </row>
        <row r="2305">
          <cell r="C2305"/>
          <cell r="D2305"/>
          <cell r="E2305"/>
          <cell r="F2305"/>
          <cell r="G2305"/>
          <cell r="H2305"/>
          <cell r="I2305"/>
          <cell r="J2305"/>
          <cell r="K2305"/>
          <cell r="L2305"/>
        </row>
        <row r="2306">
          <cell r="C2306"/>
          <cell r="D2306"/>
          <cell r="E2306"/>
          <cell r="F2306"/>
          <cell r="G2306"/>
          <cell r="H2306"/>
          <cell r="I2306"/>
          <cell r="J2306"/>
          <cell r="K2306"/>
          <cell r="L2306"/>
        </row>
        <row r="2307">
          <cell r="C2307"/>
          <cell r="D2307"/>
          <cell r="E2307"/>
          <cell r="F2307"/>
          <cell r="G2307"/>
          <cell r="H2307"/>
          <cell r="I2307"/>
          <cell r="J2307"/>
          <cell r="K2307"/>
          <cell r="L2307"/>
        </row>
        <row r="2308">
          <cell r="C2308"/>
          <cell r="D2308"/>
          <cell r="E2308"/>
          <cell r="F2308"/>
          <cell r="G2308"/>
          <cell r="H2308"/>
          <cell r="I2308"/>
          <cell r="J2308"/>
          <cell r="K2308"/>
          <cell r="L2308"/>
        </row>
        <row r="2309">
          <cell r="C2309"/>
          <cell r="D2309"/>
          <cell r="E2309"/>
          <cell r="F2309"/>
          <cell r="G2309"/>
          <cell r="H2309"/>
          <cell r="I2309"/>
          <cell r="J2309"/>
          <cell r="K2309"/>
          <cell r="L2309"/>
        </row>
        <row r="2310">
          <cell r="C2310"/>
          <cell r="D2310"/>
          <cell r="E2310"/>
          <cell r="F2310"/>
          <cell r="G2310"/>
          <cell r="H2310"/>
          <cell r="I2310"/>
          <cell r="J2310"/>
          <cell r="K2310"/>
          <cell r="L2310"/>
        </row>
        <row r="2311">
          <cell r="C2311"/>
          <cell r="D2311"/>
          <cell r="E2311"/>
          <cell r="F2311"/>
          <cell r="G2311"/>
          <cell r="H2311"/>
          <cell r="I2311"/>
          <cell r="J2311"/>
          <cell r="K2311"/>
          <cell r="L2311"/>
        </row>
        <row r="2312">
          <cell r="C2312"/>
          <cell r="D2312"/>
          <cell r="E2312"/>
          <cell r="F2312"/>
          <cell r="G2312"/>
          <cell r="H2312"/>
          <cell r="I2312"/>
          <cell r="J2312"/>
          <cell r="K2312"/>
          <cell r="L2312"/>
        </row>
        <row r="2313">
          <cell r="C2313"/>
          <cell r="D2313"/>
          <cell r="E2313"/>
          <cell r="F2313"/>
          <cell r="G2313"/>
          <cell r="H2313"/>
          <cell r="I2313"/>
          <cell r="J2313"/>
          <cell r="K2313"/>
          <cell r="L2313"/>
        </row>
        <row r="2314">
          <cell r="C2314"/>
          <cell r="D2314"/>
          <cell r="E2314"/>
          <cell r="F2314"/>
          <cell r="G2314"/>
          <cell r="H2314"/>
          <cell r="I2314"/>
          <cell r="J2314"/>
          <cell r="K2314"/>
          <cell r="L2314"/>
        </row>
        <row r="2315">
          <cell r="C2315"/>
          <cell r="D2315"/>
          <cell r="E2315"/>
          <cell r="F2315"/>
          <cell r="G2315"/>
          <cell r="H2315"/>
          <cell r="I2315"/>
          <cell r="J2315"/>
          <cell r="K2315"/>
          <cell r="L2315"/>
        </row>
        <row r="2316">
          <cell r="C2316"/>
          <cell r="D2316"/>
          <cell r="E2316"/>
          <cell r="F2316"/>
          <cell r="G2316"/>
          <cell r="H2316"/>
          <cell r="I2316"/>
          <cell r="J2316"/>
          <cell r="K2316"/>
          <cell r="L2316"/>
        </row>
        <row r="2317">
          <cell r="C2317"/>
          <cell r="D2317"/>
          <cell r="E2317"/>
          <cell r="F2317"/>
          <cell r="G2317"/>
          <cell r="H2317"/>
          <cell r="I2317"/>
          <cell r="J2317"/>
          <cell r="K2317"/>
          <cell r="L2317"/>
        </row>
        <row r="2318">
          <cell r="C2318"/>
          <cell r="D2318"/>
          <cell r="E2318"/>
          <cell r="F2318"/>
          <cell r="G2318"/>
          <cell r="H2318"/>
          <cell r="I2318"/>
          <cell r="J2318"/>
          <cell r="K2318"/>
          <cell r="L2318"/>
        </row>
        <row r="2319">
          <cell r="C2319"/>
          <cell r="D2319"/>
          <cell r="E2319"/>
          <cell r="F2319"/>
          <cell r="G2319"/>
          <cell r="H2319"/>
          <cell r="I2319"/>
          <cell r="J2319"/>
          <cell r="K2319"/>
          <cell r="L2319"/>
        </row>
        <row r="2320">
          <cell r="C2320"/>
          <cell r="D2320"/>
          <cell r="E2320"/>
          <cell r="F2320"/>
          <cell r="G2320"/>
          <cell r="H2320"/>
          <cell r="I2320"/>
          <cell r="J2320"/>
          <cell r="K2320"/>
          <cell r="L2320"/>
        </row>
        <row r="2321">
          <cell r="C2321"/>
          <cell r="D2321"/>
          <cell r="E2321"/>
          <cell r="F2321"/>
          <cell r="G2321"/>
          <cell r="H2321"/>
          <cell r="I2321"/>
          <cell r="J2321"/>
          <cell r="K2321"/>
          <cell r="L2321"/>
        </row>
        <row r="2322">
          <cell r="C2322"/>
          <cell r="D2322"/>
          <cell r="E2322"/>
          <cell r="F2322"/>
          <cell r="G2322"/>
          <cell r="H2322"/>
          <cell r="I2322"/>
          <cell r="J2322"/>
          <cell r="K2322"/>
          <cell r="L2322"/>
        </row>
        <row r="2323">
          <cell r="C2323"/>
          <cell r="D2323"/>
          <cell r="E2323"/>
          <cell r="F2323"/>
          <cell r="G2323"/>
          <cell r="H2323"/>
          <cell r="I2323"/>
          <cell r="J2323"/>
          <cell r="K2323"/>
          <cell r="L2323"/>
        </row>
        <row r="2324">
          <cell r="C2324"/>
          <cell r="D2324"/>
          <cell r="E2324"/>
          <cell r="F2324"/>
          <cell r="G2324"/>
          <cell r="H2324"/>
          <cell r="I2324"/>
          <cell r="J2324"/>
          <cell r="K2324"/>
          <cell r="L2324"/>
        </row>
        <row r="2325">
          <cell r="C2325"/>
          <cell r="D2325"/>
          <cell r="E2325"/>
          <cell r="F2325"/>
          <cell r="G2325"/>
          <cell r="H2325"/>
          <cell r="I2325"/>
          <cell r="J2325"/>
          <cell r="K2325"/>
          <cell r="L2325"/>
        </row>
        <row r="2326">
          <cell r="C2326"/>
          <cell r="D2326"/>
          <cell r="E2326"/>
          <cell r="F2326"/>
          <cell r="G2326"/>
          <cell r="H2326"/>
          <cell r="I2326"/>
          <cell r="J2326"/>
          <cell r="K2326"/>
          <cell r="L2326"/>
        </row>
        <row r="2327">
          <cell r="C2327"/>
          <cell r="D2327"/>
          <cell r="E2327"/>
          <cell r="F2327"/>
          <cell r="G2327"/>
          <cell r="H2327"/>
          <cell r="I2327"/>
          <cell r="J2327"/>
          <cell r="K2327"/>
          <cell r="L2327"/>
        </row>
        <row r="2328">
          <cell r="C2328"/>
          <cell r="D2328"/>
          <cell r="E2328"/>
          <cell r="F2328"/>
          <cell r="G2328"/>
          <cell r="H2328"/>
          <cell r="I2328"/>
          <cell r="J2328"/>
          <cell r="K2328"/>
          <cell r="L2328"/>
        </row>
        <row r="2329">
          <cell r="C2329"/>
          <cell r="D2329"/>
          <cell r="E2329"/>
          <cell r="F2329"/>
          <cell r="G2329"/>
          <cell r="H2329"/>
          <cell r="I2329"/>
          <cell r="J2329"/>
          <cell r="K2329"/>
          <cell r="L2329"/>
        </row>
        <row r="2330">
          <cell r="C2330"/>
          <cell r="D2330"/>
          <cell r="E2330"/>
          <cell r="F2330"/>
          <cell r="G2330"/>
          <cell r="H2330"/>
          <cell r="I2330"/>
          <cell r="J2330"/>
          <cell r="K2330"/>
          <cell r="L2330"/>
        </row>
        <row r="2331">
          <cell r="C2331"/>
          <cell r="D2331"/>
          <cell r="E2331"/>
          <cell r="F2331"/>
          <cell r="G2331"/>
          <cell r="H2331"/>
          <cell r="I2331"/>
          <cell r="J2331"/>
          <cell r="K2331"/>
          <cell r="L2331"/>
        </row>
        <row r="2332">
          <cell r="C2332"/>
          <cell r="D2332"/>
          <cell r="E2332"/>
          <cell r="F2332"/>
          <cell r="G2332"/>
          <cell r="H2332"/>
          <cell r="I2332"/>
          <cell r="J2332"/>
          <cell r="K2332"/>
          <cell r="L2332"/>
        </row>
        <row r="2333">
          <cell r="C2333"/>
          <cell r="D2333"/>
          <cell r="E2333"/>
          <cell r="F2333"/>
          <cell r="G2333"/>
          <cell r="H2333"/>
          <cell r="I2333"/>
          <cell r="J2333"/>
          <cell r="K2333"/>
          <cell r="L2333"/>
        </row>
        <row r="2334">
          <cell r="C2334"/>
          <cell r="D2334"/>
          <cell r="E2334"/>
          <cell r="F2334"/>
          <cell r="G2334"/>
          <cell r="H2334"/>
          <cell r="I2334"/>
          <cell r="J2334"/>
          <cell r="K2334"/>
          <cell r="L2334"/>
        </row>
        <row r="2335">
          <cell r="C2335"/>
          <cell r="D2335"/>
          <cell r="E2335"/>
          <cell r="F2335"/>
          <cell r="G2335"/>
          <cell r="H2335"/>
          <cell r="I2335"/>
          <cell r="J2335"/>
          <cell r="K2335"/>
          <cell r="L2335"/>
        </row>
        <row r="2336">
          <cell r="C2336"/>
          <cell r="D2336"/>
          <cell r="E2336"/>
          <cell r="F2336"/>
          <cell r="G2336"/>
          <cell r="H2336"/>
          <cell r="I2336"/>
          <cell r="J2336"/>
          <cell r="K2336"/>
          <cell r="L2336"/>
        </row>
        <row r="2337">
          <cell r="C2337"/>
          <cell r="D2337"/>
          <cell r="E2337"/>
          <cell r="F2337"/>
          <cell r="G2337"/>
          <cell r="H2337"/>
          <cell r="I2337"/>
          <cell r="J2337"/>
          <cell r="K2337"/>
          <cell r="L2337"/>
        </row>
        <row r="2338">
          <cell r="C2338"/>
          <cell r="D2338"/>
          <cell r="E2338"/>
          <cell r="F2338"/>
          <cell r="G2338"/>
          <cell r="H2338"/>
          <cell r="I2338"/>
          <cell r="J2338"/>
          <cell r="K2338"/>
          <cell r="L2338"/>
        </row>
        <row r="2339">
          <cell r="C2339"/>
          <cell r="D2339"/>
          <cell r="E2339"/>
          <cell r="F2339"/>
          <cell r="G2339"/>
          <cell r="H2339"/>
          <cell r="I2339"/>
          <cell r="J2339"/>
          <cell r="K2339"/>
          <cell r="L2339"/>
        </row>
        <row r="2340">
          <cell r="C2340"/>
          <cell r="D2340"/>
          <cell r="E2340"/>
          <cell r="F2340"/>
          <cell r="G2340"/>
          <cell r="H2340"/>
          <cell r="I2340"/>
          <cell r="J2340"/>
          <cell r="K2340"/>
          <cell r="L2340"/>
        </row>
        <row r="2341">
          <cell r="C2341"/>
          <cell r="D2341"/>
          <cell r="E2341"/>
          <cell r="F2341"/>
          <cell r="G2341"/>
          <cell r="H2341"/>
          <cell r="I2341"/>
          <cell r="J2341"/>
          <cell r="K2341"/>
          <cell r="L2341"/>
        </row>
        <row r="2342">
          <cell r="C2342"/>
          <cell r="D2342"/>
          <cell r="E2342"/>
          <cell r="F2342"/>
          <cell r="G2342"/>
          <cell r="H2342"/>
          <cell r="I2342"/>
          <cell r="J2342"/>
          <cell r="K2342"/>
          <cell r="L2342"/>
        </row>
        <row r="2343">
          <cell r="C2343"/>
          <cell r="D2343"/>
          <cell r="E2343"/>
          <cell r="F2343"/>
          <cell r="G2343"/>
          <cell r="H2343"/>
          <cell r="I2343"/>
          <cell r="J2343"/>
          <cell r="K2343"/>
          <cell r="L2343"/>
        </row>
        <row r="2344">
          <cell r="C2344"/>
          <cell r="D2344"/>
          <cell r="E2344"/>
          <cell r="F2344"/>
          <cell r="G2344"/>
          <cell r="H2344"/>
          <cell r="I2344"/>
          <cell r="J2344"/>
          <cell r="K2344"/>
          <cell r="L2344"/>
        </row>
        <row r="2345">
          <cell r="C2345"/>
          <cell r="D2345"/>
          <cell r="E2345"/>
          <cell r="F2345"/>
          <cell r="G2345"/>
          <cell r="H2345"/>
          <cell r="I2345"/>
          <cell r="J2345"/>
          <cell r="K2345"/>
          <cell r="L2345"/>
        </row>
        <row r="2346">
          <cell r="C2346"/>
          <cell r="D2346"/>
          <cell r="E2346"/>
          <cell r="F2346"/>
          <cell r="G2346"/>
          <cell r="H2346"/>
          <cell r="I2346"/>
          <cell r="J2346"/>
          <cell r="K2346"/>
          <cell r="L2346"/>
        </row>
        <row r="2347">
          <cell r="C2347"/>
          <cell r="D2347"/>
          <cell r="E2347"/>
          <cell r="F2347"/>
          <cell r="G2347"/>
          <cell r="H2347"/>
          <cell r="I2347"/>
          <cell r="J2347"/>
          <cell r="K2347"/>
          <cell r="L2347"/>
        </row>
        <row r="2348">
          <cell r="C2348"/>
          <cell r="D2348"/>
          <cell r="E2348"/>
          <cell r="F2348"/>
          <cell r="G2348"/>
          <cell r="H2348"/>
          <cell r="I2348"/>
          <cell r="J2348"/>
          <cell r="K2348"/>
          <cell r="L2348"/>
        </row>
        <row r="2349">
          <cell r="C2349"/>
          <cell r="D2349"/>
          <cell r="E2349"/>
          <cell r="F2349"/>
          <cell r="G2349"/>
          <cell r="H2349"/>
          <cell r="I2349"/>
          <cell r="J2349"/>
          <cell r="K2349"/>
          <cell r="L2349"/>
        </row>
        <row r="2350">
          <cell r="C2350"/>
          <cell r="D2350"/>
          <cell r="E2350"/>
          <cell r="F2350"/>
          <cell r="G2350"/>
          <cell r="H2350"/>
          <cell r="I2350"/>
          <cell r="J2350"/>
          <cell r="K2350"/>
          <cell r="L2350"/>
        </row>
        <row r="2351">
          <cell r="C2351"/>
          <cell r="D2351"/>
          <cell r="E2351"/>
          <cell r="F2351"/>
          <cell r="G2351"/>
          <cell r="H2351"/>
          <cell r="I2351"/>
          <cell r="J2351"/>
          <cell r="K2351"/>
          <cell r="L2351"/>
        </row>
        <row r="2352">
          <cell r="C2352"/>
          <cell r="D2352"/>
          <cell r="E2352"/>
          <cell r="F2352"/>
          <cell r="G2352"/>
          <cell r="H2352"/>
          <cell r="I2352"/>
          <cell r="J2352"/>
          <cell r="K2352"/>
          <cell r="L2352"/>
        </row>
        <row r="2353">
          <cell r="C2353"/>
          <cell r="D2353"/>
          <cell r="E2353"/>
          <cell r="F2353"/>
          <cell r="G2353"/>
          <cell r="H2353"/>
          <cell r="I2353"/>
          <cell r="J2353"/>
          <cell r="K2353"/>
          <cell r="L2353"/>
        </row>
        <row r="2354">
          <cell r="C2354"/>
          <cell r="D2354"/>
          <cell r="E2354"/>
          <cell r="F2354"/>
          <cell r="G2354"/>
          <cell r="H2354"/>
          <cell r="I2354"/>
          <cell r="J2354"/>
          <cell r="K2354"/>
          <cell r="L2354"/>
        </row>
        <row r="2355">
          <cell r="C2355"/>
          <cell r="D2355"/>
          <cell r="E2355"/>
          <cell r="F2355"/>
          <cell r="G2355"/>
          <cell r="H2355"/>
          <cell r="I2355"/>
          <cell r="J2355"/>
          <cell r="K2355"/>
          <cell r="L2355"/>
        </row>
        <row r="2356">
          <cell r="C2356"/>
          <cell r="D2356"/>
          <cell r="E2356"/>
          <cell r="F2356"/>
          <cell r="G2356"/>
          <cell r="H2356"/>
          <cell r="I2356"/>
          <cell r="J2356"/>
          <cell r="K2356"/>
          <cell r="L2356"/>
        </row>
        <row r="2357">
          <cell r="C2357"/>
          <cell r="D2357"/>
          <cell r="E2357"/>
          <cell r="F2357"/>
          <cell r="G2357"/>
          <cell r="H2357"/>
          <cell r="I2357"/>
          <cell r="J2357"/>
          <cell r="K2357"/>
          <cell r="L2357"/>
        </row>
        <row r="2358">
          <cell r="C2358"/>
          <cell r="D2358"/>
          <cell r="E2358"/>
          <cell r="F2358"/>
          <cell r="G2358"/>
          <cell r="H2358"/>
          <cell r="I2358"/>
          <cell r="J2358"/>
          <cell r="K2358"/>
          <cell r="L2358"/>
        </row>
        <row r="2359">
          <cell r="C2359"/>
          <cell r="D2359"/>
          <cell r="E2359"/>
          <cell r="F2359"/>
          <cell r="G2359"/>
          <cell r="H2359"/>
          <cell r="I2359"/>
          <cell r="J2359"/>
          <cell r="K2359"/>
          <cell r="L2359"/>
        </row>
        <row r="2360">
          <cell r="C2360"/>
          <cell r="D2360"/>
          <cell r="E2360"/>
          <cell r="F2360"/>
          <cell r="G2360"/>
          <cell r="H2360"/>
          <cell r="I2360"/>
          <cell r="J2360"/>
          <cell r="K2360"/>
          <cell r="L2360"/>
        </row>
        <row r="2361">
          <cell r="C2361"/>
          <cell r="D2361"/>
          <cell r="E2361"/>
          <cell r="F2361"/>
          <cell r="G2361"/>
          <cell r="H2361"/>
          <cell r="I2361"/>
          <cell r="J2361"/>
          <cell r="K2361"/>
          <cell r="L2361"/>
        </row>
        <row r="2362">
          <cell r="C2362"/>
          <cell r="D2362"/>
          <cell r="E2362"/>
          <cell r="F2362"/>
          <cell r="G2362"/>
          <cell r="H2362"/>
          <cell r="I2362"/>
          <cell r="J2362"/>
          <cell r="K2362"/>
          <cell r="L2362"/>
        </row>
        <row r="2363">
          <cell r="C2363"/>
          <cell r="D2363"/>
          <cell r="E2363"/>
          <cell r="F2363"/>
          <cell r="G2363"/>
          <cell r="H2363"/>
          <cell r="I2363"/>
          <cell r="J2363"/>
          <cell r="K2363"/>
          <cell r="L2363"/>
        </row>
        <row r="2364">
          <cell r="C2364"/>
          <cell r="D2364"/>
          <cell r="E2364"/>
          <cell r="F2364"/>
          <cell r="G2364"/>
          <cell r="H2364"/>
          <cell r="I2364"/>
          <cell r="J2364"/>
          <cell r="K2364"/>
          <cell r="L2364"/>
        </row>
        <row r="2365">
          <cell r="C2365"/>
          <cell r="D2365"/>
          <cell r="E2365"/>
          <cell r="F2365"/>
          <cell r="G2365"/>
          <cell r="H2365"/>
          <cell r="I2365"/>
          <cell r="J2365"/>
          <cell r="K2365"/>
          <cell r="L2365"/>
        </row>
        <row r="2366">
          <cell r="C2366"/>
          <cell r="D2366"/>
          <cell r="E2366"/>
          <cell r="F2366"/>
          <cell r="G2366"/>
          <cell r="H2366"/>
          <cell r="I2366"/>
          <cell r="J2366"/>
          <cell r="K2366"/>
          <cell r="L2366"/>
        </row>
        <row r="2367">
          <cell r="C2367"/>
          <cell r="D2367"/>
          <cell r="E2367"/>
          <cell r="F2367"/>
          <cell r="G2367"/>
          <cell r="H2367"/>
          <cell r="I2367"/>
          <cell r="J2367"/>
          <cell r="K2367"/>
          <cell r="L2367"/>
        </row>
        <row r="2368">
          <cell r="C2368"/>
          <cell r="D2368"/>
          <cell r="E2368"/>
          <cell r="F2368"/>
          <cell r="G2368"/>
          <cell r="H2368"/>
          <cell r="I2368"/>
          <cell r="J2368"/>
          <cell r="K2368"/>
          <cell r="L2368"/>
        </row>
        <row r="2369">
          <cell r="C2369"/>
          <cell r="D2369"/>
          <cell r="E2369"/>
          <cell r="F2369"/>
          <cell r="G2369"/>
          <cell r="H2369"/>
          <cell r="I2369"/>
          <cell r="J2369"/>
          <cell r="K2369"/>
          <cell r="L2369"/>
        </row>
        <row r="2370">
          <cell r="C2370"/>
          <cell r="D2370"/>
          <cell r="E2370"/>
          <cell r="F2370"/>
          <cell r="G2370"/>
          <cell r="H2370"/>
          <cell r="I2370"/>
          <cell r="J2370"/>
          <cell r="K2370"/>
          <cell r="L2370"/>
        </row>
        <row r="2371">
          <cell r="C2371"/>
          <cell r="D2371"/>
          <cell r="E2371"/>
          <cell r="F2371"/>
          <cell r="G2371"/>
          <cell r="H2371"/>
          <cell r="I2371"/>
          <cell r="J2371"/>
          <cell r="K2371"/>
          <cell r="L2371"/>
        </row>
        <row r="2372">
          <cell r="C2372"/>
          <cell r="D2372"/>
          <cell r="E2372"/>
          <cell r="F2372"/>
          <cell r="G2372"/>
          <cell r="H2372"/>
          <cell r="I2372"/>
          <cell r="J2372"/>
          <cell r="K2372"/>
          <cell r="L2372"/>
        </row>
        <row r="2373">
          <cell r="C2373"/>
          <cell r="D2373"/>
          <cell r="E2373"/>
          <cell r="F2373"/>
          <cell r="G2373"/>
          <cell r="H2373"/>
          <cell r="I2373"/>
          <cell r="J2373"/>
          <cell r="K2373"/>
          <cell r="L2373"/>
        </row>
        <row r="2374">
          <cell r="C2374"/>
          <cell r="D2374"/>
          <cell r="E2374"/>
          <cell r="F2374"/>
          <cell r="G2374"/>
          <cell r="H2374"/>
          <cell r="I2374"/>
          <cell r="J2374"/>
          <cell r="K2374"/>
          <cell r="L2374"/>
        </row>
        <row r="2375">
          <cell r="C2375"/>
          <cell r="D2375"/>
          <cell r="E2375"/>
          <cell r="F2375"/>
          <cell r="G2375"/>
          <cell r="H2375"/>
          <cell r="I2375"/>
          <cell r="J2375"/>
          <cell r="K2375"/>
          <cell r="L2375"/>
        </row>
        <row r="2376">
          <cell r="C2376"/>
          <cell r="D2376"/>
          <cell r="E2376"/>
          <cell r="F2376"/>
          <cell r="G2376"/>
          <cell r="H2376"/>
          <cell r="I2376"/>
          <cell r="J2376"/>
          <cell r="K2376"/>
          <cell r="L2376"/>
        </row>
        <row r="2377">
          <cell r="C2377"/>
          <cell r="D2377"/>
          <cell r="E2377"/>
          <cell r="F2377"/>
          <cell r="G2377"/>
          <cell r="H2377"/>
          <cell r="I2377"/>
          <cell r="J2377"/>
          <cell r="K2377"/>
          <cell r="L2377"/>
        </row>
        <row r="2378">
          <cell r="C2378"/>
          <cell r="D2378"/>
          <cell r="E2378"/>
          <cell r="F2378"/>
          <cell r="G2378"/>
          <cell r="H2378"/>
          <cell r="I2378"/>
          <cell r="J2378"/>
          <cell r="K2378"/>
          <cell r="L2378"/>
        </row>
        <row r="2379">
          <cell r="C2379"/>
          <cell r="D2379"/>
          <cell r="E2379"/>
          <cell r="F2379"/>
          <cell r="G2379"/>
          <cell r="H2379"/>
          <cell r="I2379"/>
          <cell r="J2379"/>
          <cell r="K2379"/>
          <cell r="L2379"/>
        </row>
        <row r="2380">
          <cell r="C2380"/>
          <cell r="D2380"/>
          <cell r="E2380"/>
          <cell r="F2380"/>
          <cell r="G2380"/>
          <cell r="H2380"/>
          <cell r="I2380"/>
          <cell r="J2380"/>
          <cell r="K2380"/>
          <cell r="L2380"/>
        </row>
        <row r="2381">
          <cell r="C2381"/>
          <cell r="D2381"/>
          <cell r="E2381"/>
          <cell r="F2381"/>
          <cell r="G2381"/>
          <cell r="H2381"/>
          <cell r="I2381"/>
          <cell r="J2381"/>
          <cell r="K2381"/>
          <cell r="L2381"/>
        </row>
        <row r="2382">
          <cell r="C2382"/>
          <cell r="D2382"/>
          <cell r="E2382"/>
          <cell r="F2382"/>
          <cell r="G2382"/>
          <cell r="H2382"/>
          <cell r="I2382"/>
          <cell r="J2382"/>
          <cell r="K2382"/>
          <cell r="L2382"/>
        </row>
        <row r="2383">
          <cell r="C2383"/>
          <cell r="D2383"/>
          <cell r="E2383"/>
          <cell r="F2383"/>
          <cell r="G2383"/>
          <cell r="H2383"/>
          <cell r="I2383"/>
          <cell r="J2383"/>
          <cell r="K2383"/>
          <cell r="L2383"/>
        </row>
        <row r="2384">
          <cell r="C2384"/>
          <cell r="D2384"/>
          <cell r="E2384"/>
          <cell r="F2384"/>
          <cell r="G2384"/>
          <cell r="H2384"/>
          <cell r="I2384"/>
          <cell r="J2384"/>
          <cell r="K2384"/>
          <cell r="L2384"/>
        </row>
        <row r="2385">
          <cell r="C2385"/>
          <cell r="D2385"/>
          <cell r="E2385"/>
          <cell r="F2385"/>
          <cell r="G2385"/>
          <cell r="H2385"/>
          <cell r="I2385"/>
          <cell r="J2385"/>
          <cell r="K2385"/>
          <cell r="L2385"/>
        </row>
        <row r="2386">
          <cell r="C2386"/>
          <cell r="D2386"/>
          <cell r="E2386"/>
          <cell r="F2386"/>
          <cell r="G2386"/>
          <cell r="H2386"/>
          <cell r="I2386"/>
          <cell r="J2386"/>
          <cell r="K2386"/>
          <cell r="L2386"/>
        </row>
        <row r="2387">
          <cell r="C2387"/>
          <cell r="D2387"/>
          <cell r="E2387"/>
          <cell r="F2387"/>
          <cell r="G2387"/>
          <cell r="H2387"/>
          <cell r="I2387"/>
          <cell r="J2387"/>
          <cell r="K2387"/>
          <cell r="L2387"/>
        </row>
        <row r="2388">
          <cell r="C2388"/>
          <cell r="D2388"/>
          <cell r="E2388"/>
          <cell r="F2388"/>
          <cell r="G2388"/>
          <cell r="H2388"/>
          <cell r="I2388"/>
          <cell r="J2388"/>
          <cell r="K2388"/>
          <cell r="L2388"/>
        </row>
        <row r="2389">
          <cell r="C2389"/>
          <cell r="D2389"/>
          <cell r="E2389"/>
          <cell r="F2389"/>
          <cell r="G2389"/>
          <cell r="H2389"/>
          <cell r="I2389"/>
          <cell r="J2389"/>
          <cell r="K2389"/>
          <cell r="L2389"/>
        </row>
        <row r="2390">
          <cell r="C2390"/>
          <cell r="D2390"/>
          <cell r="E2390"/>
          <cell r="F2390"/>
          <cell r="G2390"/>
          <cell r="H2390"/>
          <cell r="I2390"/>
          <cell r="J2390"/>
          <cell r="K2390"/>
          <cell r="L2390"/>
        </row>
        <row r="2391">
          <cell r="C2391"/>
          <cell r="D2391"/>
          <cell r="E2391"/>
          <cell r="F2391"/>
          <cell r="G2391"/>
          <cell r="H2391"/>
          <cell r="I2391"/>
          <cell r="J2391"/>
          <cell r="K2391"/>
          <cell r="L2391"/>
        </row>
        <row r="2392">
          <cell r="C2392"/>
          <cell r="D2392"/>
          <cell r="E2392"/>
          <cell r="F2392"/>
          <cell r="G2392"/>
          <cell r="H2392"/>
          <cell r="I2392"/>
          <cell r="J2392"/>
          <cell r="K2392"/>
          <cell r="L2392"/>
        </row>
        <row r="2393">
          <cell r="C2393"/>
          <cell r="D2393"/>
          <cell r="E2393"/>
          <cell r="F2393"/>
          <cell r="G2393"/>
          <cell r="H2393"/>
          <cell r="I2393"/>
          <cell r="J2393"/>
          <cell r="K2393"/>
          <cell r="L2393"/>
        </row>
        <row r="2394">
          <cell r="C2394"/>
          <cell r="D2394"/>
          <cell r="E2394"/>
          <cell r="F2394"/>
          <cell r="G2394"/>
          <cell r="H2394"/>
          <cell r="I2394"/>
          <cell r="J2394"/>
          <cell r="K2394"/>
          <cell r="L2394"/>
        </row>
        <row r="2395">
          <cell r="C2395"/>
          <cell r="D2395"/>
          <cell r="E2395"/>
          <cell r="F2395"/>
          <cell r="G2395"/>
          <cell r="H2395"/>
          <cell r="I2395"/>
          <cell r="J2395"/>
          <cell r="K2395"/>
          <cell r="L2395"/>
        </row>
        <row r="2396">
          <cell r="C2396"/>
          <cell r="D2396"/>
          <cell r="E2396"/>
          <cell r="F2396"/>
          <cell r="G2396"/>
          <cell r="H2396"/>
          <cell r="I2396"/>
          <cell r="J2396"/>
          <cell r="K2396"/>
          <cell r="L2396"/>
        </row>
        <row r="2397">
          <cell r="C2397"/>
          <cell r="D2397"/>
          <cell r="E2397"/>
          <cell r="F2397"/>
          <cell r="G2397"/>
          <cell r="H2397"/>
          <cell r="I2397"/>
          <cell r="J2397"/>
          <cell r="K2397"/>
          <cell r="L2397"/>
        </row>
        <row r="2398">
          <cell r="C2398"/>
          <cell r="D2398"/>
          <cell r="E2398"/>
          <cell r="F2398"/>
          <cell r="G2398"/>
          <cell r="H2398"/>
          <cell r="I2398"/>
          <cell r="J2398"/>
          <cell r="K2398"/>
          <cell r="L2398"/>
        </row>
        <row r="2399">
          <cell r="C2399"/>
          <cell r="D2399"/>
          <cell r="E2399"/>
          <cell r="F2399"/>
          <cell r="G2399"/>
          <cell r="H2399"/>
          <cell r="I2399"/>
          <cell r="J2399"/>
          <cell r="K2399"/>
          <cell r="L2399"/>
        </row>
        <row r="2400">
          <cell r="C2400"/>
          <cell r="D2400"/>
          <cell r="E2400"/>
          <cell r="F2400"/>
          <cell r="G2400"/>
          <cell r="H2400"/>
          <cell r="I2400"/>
          <cell r="J2400"/>
          <cell r="K2400"/>
          <cell r="L2400"/>
        </row>
        <row r="2401">
          <cell r="C2401"/>
          <cell r="D2401"/>
          <cell r="E2401"/>
          <cell r="F2401"/>
          <cell r="G2401"/>
          <cell r="H2401"/>
          <cell r="I2401"/>
          <cell r="J2401"/>
          <cell r="K2401"/>
          <cell r="L2401"/>
        </row>
        <row r="2402">
          <cell r="C2402"/>
          <cell r="D2402"/>
          <cell r="E2402"/>
          <cell r="F2402"/>
          <cell r="G2402"/>
          <cell r="H2402"/>
          <cell r="I2402"/>
          <cell r="J2402"/>
          <cell r="K2402"/>
          <cell r="L2402"/>
        </row>
        <row r="2403">
          <cell r="C2403"/>
          <cell r="D2403"/>
          <cell r="E2403"/>
          <cell r="F2403"/>
          <cell r="G2403"/>
          <cell r="H2403"/>
          <cell r="I2403"/>
          <cell r="J2403"/>
          <cell r="K2403"/>
          <cell r="L2403"/>
        </row>
        <row r="2404">
          <cell r="C2404"/>
          <cell r="D2404"/>
          <cell r="E2404"/>
          <cell r="F2404"/>
          <cell r="G2404"/>
          <cell r="H2404"/>
          <cell r="I2404"/>
          <cell r="J2404"/>
          <cell r="K2404"/>
          <cell r="L2404"/>
        </row>
        <row r="2405">
          <cell r="C2405"/>
          <cell r="D2405"/>
          <cell r="E2405"/>
          <cell r="F2405"/>
          <cell r="G2405"/>
          <cell r="H2405"/>
          <cell r="I2405"/>
          <cell r="J2405"/>
          <cell r="K2405"/>
          <cell r="L2405"/>
        </row>
        <row r="2406">
          <cell r="C2406"/>
          <cell r="D2406"/>
          <cell r="E2406"/>
          <cell r="F2406"/>
          <cell r="G2406"/>
          <cell r="H2406"/>
          <cell r="I2406"/>
          <cell r="J2406"/>
          <cell r="K2406"/>
          <cell r="L2406"/>
        </row>
        <row r="2407">
          <cell r="C2407"/>
          <cell r="D2407"/>
          <cell r="E2407"/>
          <cell r="F2407"/>
          <cell r="G2407"/>
          <cell r="H2407"/>
          <cell r="I2407"/>
          <cell r="J2407"/>
          <cell r="K2407"/>
          <cell r="L2407"/>
        </row>
        <row r="2408">
          <cell r="C2408"/>
          <cell r="D2408"/>
          <cell r="E2408"/>
          <cell r="F2408"/>
          <cell r="G2408"/>
          <cell r="H2408"/>
          <cell r="I2408"/>
          <cell r="J2408"/>
          <cell r="K2408"/>
          <cell r="L2408"/>
        </row>
        <row r="2409">
          <cell r="C2409"/>
          <cell r="D2409"/>
          <cell r="E2409"/>
          <cell r="F2409"/>
          <cell r="G2409"/>
          <cell r="H2409"/>
          <cell r="I2409"/>
          <cell r="J2409"/>
          <cell r="K2409"/>
          <cell r="L2409"/>
        </row>
        <row r="2410">
          <cell r="C2410"/>
          <cell r="D2410"/>
          <cell r="E2410"/>
          <cell r="F2410"/>
          <cell r="G2410"/>
          <cell r="H2410"/>
          <cell r="I2410"/>
          <cell r="J2410"/>
          <cell r="K2410"/>
          <cell r="L2410"/>
        </row>
        <row r="2411">
          <cell r="C2411"/>
          <cell r="D2411"/>
          <cell r="E2411"/>
          <cell r="F2411"/>
          <cell r="G2411"/>
          <cell r="H2411"/>
          <cell r="I2411"/>
          <cell r="J2411"/>
          <cell r="K2411"/>
          <cell r="L2411"/>
        </row>
        <row r="2412">
          <cell r="C2412"/>
          <cell r="D2412"/>
          <cell r="E2412"/>
          <cell r="F2412"/>
          <cell r="G2412"/>
          <cell r="H2412"/>
          <cell r="I2412"/>
          <cell r="J2412"/>
          <cell r="K2412"/>
          <cell r="L2412"/>
        </row>
        <row r="2413">
          <cell r="C2413"/>
          <cell r="D2413"/>
          <cell r="E2413"/>
          <cell r="F2413"/>
          <cell r="G2413"/>
          <cell r="H2413"/>
          <cell r="I2413"/>
          <cell r="J2413"/>
          <cell r="K2413"/>
          <cell r="L2413"/>
        </row>
        <row r="2414">
          <cell r="C2414"/>
          <cell r="D2414"/>
          <cell r="E2414"/>
          <cell r="F2414"/>
          <cell r="G2414"/>
          <cell r="H2414"/>
          <cell r="I2414"/>
          <cell r="J2414"/>
          <cell r="K2414"/>
          <cell r="L2414"/>
        </row>
        <row r="2415">
          <cell r="C2415"/>
          <cell r="D2415"/>
          <cell r="E2415"/>
          <cell r="F2415"/>
          <cell r="G2415"/>
          <cell r="H2415"/>
          <cell r="I2415"/>
          <cell r="J2415"/>
          <cell r="K2415"/>
          <cell r="L2415"/>
        </row>
        <row r="2416">
          <cell r="C2416"/>
          <cell r="D2416"/>
          <cell r="E2416"/>
          <cell r="F2416"/>
          <cell r="G2416"/>
          <cell r="H2416"/>
          <cell r="I2416"/>
          <cell r="J2416"/>
          <cell r="K2416"/>
          <cell r="L2416"/>
        </row>
        <row r="2417">
          <cell r="C2417"/>
          <cell r="D2417"/>
          <cell r="E2417"/>
          <cell r="F2417"/>
          <cell r="G2417"/>
          <cell r="H2417"/>
          <cell r="I2417"/>
          <cell r="J2417"/>
          <cell r="K2417"/>
          <cell r="L2417"/>
        </row>
        <row r="2418">
          <cell r="C2418"/>
          <cell r="D2418"/>
          <cell r="E2418"/>
          <cell r="F2418"/>
          <cell r="G2418"/>
          <cell r="H2418"/>
          <cell r="I2418"/>
          <cell r="J2418"/>
          <cell r="K2418"/>
          <cell r="L2418"/>
        </row>
        <row r="2419">
          <cell r="C2419"/>
          <cell r="D2419"/>
          <cell r="E2419"/>
          <cell r="F2419"/>
          <cell r="G2419"/>
          <cell r="H2419"/>
          <cell r="I2419"/>
          <cell r="J2419"/>
          <cell r="K2419"/>
          <cell r="L2419"/>
        </row>
        <row r="2420">
          <cell r="C2420"/>
          <cell r="D2420"/>
          <cell r="E2420"/>
          <cell r="F2420"/>
          <cell r="G2420"/>
          <cell r="H2420"/>
          <cell r="I2420"/>
          <cell r="J2420"/>
          <cell r="K2420"/>
          <cell r="L2420"/>
        </row>
        <row r="2421">
          <cell r="C2421"/>
          <cell r="D2421"/>
          <cell r="E2421"/>
          <cell r="F2421"/>
          <cell r="G2421"/>
          <cell r="H2421"/>
          <cell r="I2421"/>
          <cell r="J2421"/>
          <cell r="K2421"/>
          <cell r="L2421"/>
        </row>
        <row r="2422">
          <cell r="C2422"/>
          <cell r="D2422"/>
          <cell r="E2422"/>
          <cell r="F2422"/>
          <cell r="G2422"/>
          <cell r="H2422"/>
          <cell r="I2422"/>
          <cell r="J2422"/>
          <cell r="K2422"/>
          <cell r="L2422"/>
        </row>
        <row r="2423">
          <cell r="C2423"/>
          <cell r="D2423"/>
          <cell r="E2423"/>
          <cell r="F2423"/>
          <cell r="G2423"/>
          <cell r="H2423"/>
          <cell r="I2423"/>
          <cell r="J2423"/>
          <cell r="K2423"/>
          <cell r="L2423"/>
        </row>
        <row r="2424">
          <cell r="C2424"/>
          <cell r="D2424"/>
          <cell r="E2424"/>
          <cell r="F2424"/>
          <cell r="G2424"/>
          <cell r="H2424"/>
          <cell r="I2424"/>
          <cell r="J2424"/>
          <cell r="K2424"/>
          <cell r="L2424"/>
        </row>
        <row r="2425">
          <cell r="C2425"/>
          <cell r="D2425"/>
          <cell r="E2425"/>
          <cell r="F2425"/>
          <cell r="G2425"/>
          <cell r="H2425"/>
          <cell r="I2425"/>
          <cell r="J2425"/>
          <cell r="K2425"/>
          <cell r="L2425"/>
        </row>
        <row r="2426">
          <cell r="C2426"/>
          <cell r="D2426"/>
          <cell r="E2426"/>
          <cell r="F2426"/>
          <cell r="G2426"/>
          <cell r="H2426"/>
          <cell r="I2426"/>
          <cell r="J2426"/>
          <cell r="K2426"/>
          <cell r="L2426"/>
        </row>
        <row r="2427">
          <cell r="C2427"/>
          <cell r="D2427"/>
          <cell r="E2427"/>
          <cell r="F2427"/>
          <cell r="G2427"/>
          <cell r="H2427"/>
          <cell r="I2427"/>
          <cell r="J2427"/>
          <cell r="K2427"/>
          <cell r="L2427"/>
        </row>
        <row r="2428">
          <cell r="C2428"/>
          <cell r="D2428"/>
          <cell r="E2428"/>
          <cell r="F2428"/>
          <cell r="G2428"/>
          <cell r="H2428"/>
          <cell r="I2428"/>
          <cell r="J2428"/>
          <cell r="K2428"/>
          <cell r="L2428"/>
        </row>
        <row r="2429">
          <cell r="C2429"/>
          <cell r="D2429"/>
          <cell r="E2429"/>
          <cell r="F2429"/>
          <cell r="G2429"/>
          <cell r="H2429"/>
          <cell r="I2429"/>
          <cell r="J2429"/>
          <cell r="K2429"/>
          <cell r="L2429"/>
        </row>
        <row r="2430">
          <cell r="C2430"/>
          <cell r="D2430"/>
          <cell r="E2430"/>
          <cell r="F2430"/>
          <cell r="G2430"/>
          <cell r="H2430"/>
          <cell r="I2430"/>
          <cell r="J2430"/>
          <cell r="K2430"/>
          <cell r="L2430"/>
        </row>
        <row r="2431">
          <cell r="C2431"/>
          <cell r="D2431"/>
          <cell r="E2431"/>
          <cell r="F2431"/>
          <cell r="G2431"/>
          <cell r="H2431"/>
          <cell r="I2431"/>
          <cell r="J2431"/>
          <cell r="K2431"/>
          <cell r="L2431"/>
        </row>
        <row r="2432">
          <cell r="C2432"/>
          <cell r="D2432"/>
          <cell r="E2432"/>
          <cell r="F2432"/>
          <cell r="G2432"/>
          <cell r="H2432"/>
          <cell r="I2432"/>
          <cell r="J2432"/>
          <cell r="K2432"/>
          <cell r="L2432"/>
        </row>
        <row r="2433">
          <cell r="C2433"/>
          <cell r="D2433"/>
          <cell r="E2433"/>
          <cell r="F2433"/>
          <cell r="G2433"/>
          <cell r="H2433"/>
          <cell r="I2433"/>
          <cell r="J2433"/>
          <cell r="K2433"/>
          <cell r="L2433"/>
        </row>
        <row r="2434">
          <cell r="C2434"/>
          <cell r="D2434"/>
          <cell r="E2434"/>
          <cell r="F2434"/>
          <cell r="G2434"/>
          <cell r="H2434"/>
          <cell r="I2434"/>
          <cell r="J2434"/>
          <cell r="K2434"/>
          <cell r="L2434"/>
        </row>
        <row r="2435">
          <cell r="C2435"/>
          <cell r="D2435"/>
          <cell r="E2435"/>
          <cell r="F2435"/>
          <cell r="G2435"/>
          <cell r="H2435"/>
          <cell r="I2435"/>
          <cell r="J2435"/>
          <cell r="K2435"/>
          <cell r="L2435"/>
        </row>
        <row r="2436">
          <cell r="C2436"/>
          <cell r="D2436"/>
          <cell r="E2436"/>
          <cell r="F2436"/>
          <cell r="G2436"/>
          <cell r="H2436"/>
          <cell r="I2436"/>
          <cell r="J2436"/>
          <cell r="K2436"/>
          <cell r="L2436"/>
        </row>
        <row r="2437">
          <cell r="C2437"/>
          <cell r="D2437"/>
          <cell r="E2437"/>
          <cell r="F2437"/>
          <cell r="G2437"/>
          <cell r="H2437"/>
          <cell r="I2437"/>
          <cell r="J2437"/>
          <cell r="K2437"/>
          <cell r="L2437"/>
        </row>
        <row r="2438">
          <cell r="C2438"/>
          <cell r="D2438"/>
          <cell r="E2438"/>
          <cell r="F2438"/>
          <cell r="G2438"/>
          <cell r="H2438"/>
          <cell r="I2438"/>
          <cell r="J2438"/>
          <cell r="K2438"/>
          <cell r="L2438"/>
        </row>
        <row r="2439">
          <cell r="C2439"/>
          <cell r="D2439"/>
          <cell r="E2439"/>
          <cell r="F2439"/>
          <cell r="G2439"/>
          <cell r="H2439"/>
          <cell r="I2439"/>
          <cell r="J2439"/>
          <cell r="K2439"/>
          <cell r="L2439"/>
        </row>
        <row r="2440">
          <cell r="C2440"/>
          <cell r="D2440"/>
          <cell r="E2440"/>
          <cell r="F2440"/>
          <cell r="G2440"/>
          <cell r="H2440"/>
          <cell r="I2440"/>
          <cell r="J2440"/>
          <cell r="K2440"/>
          <cell r="L2440"/>
        </row>
        <row r="2441">
          <cell r="C2441"/>
          <cell r="D2441"/>
          <cell r="E2441"/>
          <cell r="F2441"/>
          <cell r="G2441"/>
          <cell r="H2441"/>
          <cell r="I2441"/>
          <cell r="J2441"/>
          <cell r="K2441"/>
          <cell r="L2441"/>
        </row>
        <row r="2442">
          <cell r="C2442"/>
          <cell r="D2442"/>
          <cell r="E2442"/>
          <cell r="F2442"/>
          <cell r="G2442"/>
          <cell r="H2442"/>
          <cell r="I2442"/>
          <cell r="J2442"/>
          <cell r="K2442"/>
          <cell r="L2442"/>
        </row>
        <row r="2443">
          <cell r="C2443"/>
          <cell r="D2443"/>
          <cell r="E2443"/>
          <cell r="F2443"/>
          <cell r="G2443"/>
          <cell r="H2443"/>
          <cell r="I2443"/>
          <cell r="J2443"/>
          <cell r="K2443"/>
          <cell r="L2443"/>
        </row>
        <row r="2444">
          <cell r="C2444"/>
          <cell r="D2444"/>
          <cell r="E2444"/>
          <cell r="F2444"/>
          <cell r="G2444"/>
          <cell r="H2444"/>
          <cell r="I2444"/>
          <cell r="J2444"/>
          <cell r="K2444"/>
          <cell r="L2444"/>
        </row>
        <row r="2445">
          <cell r="C2445"/>
          <cell r="D2445"/>
          <cell r="E2445"/>
          <cell r="F2445"/>
          <cell r="G2445"/>
          <cell r="H2445"/>
          <cell r="I2445"/>
          <cell r="J2445"/>
          <cell r="K2445"/>
          <cell r="L2445"/>
        </row>
        <row r="2446">
          <cell r="C2446"/>
          <cell r="D2446"/>
          <cell r="E2446"/>
          <cell r="F2446"/>
          <cell r="G2446"/>
          <cell r="H2446"/>
          <cell r="I2446"/>
          <cell r="J2446"/>
          <cell r="K2446"/>
          <cell r="L2446"/>
        </row>
        <row r="2447">
          <cell r="C2447"/>
          <cell r="D2447"/>
          <cell r="E2447"/>
          <cell r="F2447"/>
          <cell r="G2447"/>
          <cell r="H2447"/>
          <cell r="I2447"/>
          <cell r="J2447"/>
          <cell r="K2447"/>
          <cell r="L2447"/>
        </row>
        <row r="2448">
          <cell r="C2448"/>
          <cell r="D2448"/>
          <cell r="E2448"/>
          <cell r="F2448"/>
          <cell r="G2448"/>
          <cell r="H2448"/>
          <cell r="I2448"/>
          <cell r="J2448"/>
          <cell r="K2448"/>
          <cell r="L2448"/>
        </row>
        <row r="2449">
          <cell r="C2449"/>
          <cell r="D2449"/>
          <cell r="E2449"/>
          <cell r="F2449"/>
          <cell r="G2449"/>
          <cell r="H2449"/>
          <cell r="I2449"/>
          <cell r="J2449"/>
          <cell r="K2449"/>
          <cell r="L2449"/>
        </row>
        <row r="2450">
          <cell r="C2450"/>
          <cell r="D2450"/>
          <cell r="E2450"/>
          <cell r="F2450"/>
          <cell r="G2450"/>
          <cell r="H2450"/>
          <cell r="I2450"/>
          <cell r="J2450"/>
          <cell r="K2450"/>
          <cell r="L2450"/>
        </row>
        <row r="2451">
          <cell r="C2451"/>
          <cell r="D2451"/>
          <cell r="E2451"/>
          <cell r="F2451"/>
          <cell r="G2451"/>
          <cell r="H2451"/>
          <cell r="I2451"/>
          <cell r="J2451"/>
          <cell r="K2451"/>
          <cell r="L2451"/>
        </row>
        <row r="2452">
          <cell r="C2452"/>
          <cell r="D2452"/>
          <cell r="E2452"/>
          <cell r="F2452"/>
          <cell r="G2452"/>
          <cell r="H2452"/>
          <cell r="I2452"/>
          <cell r="J2452"/>
          <cell r="K2452"/>
          <cell r="L2452"/>
        </row>
        <row r="2453">
          <cell r="C2453"/>
          <cell r="D2453"/>
          <cell r="E2453"/>
          <cell r="F2453"/>
          <cell r="G2453"/>
          <cell r="H2453"/>
          <cell r="I2453"/>
          <cell r="J2453"/>
          <cell r="K2453"/>
          <cell r="L2453"/>
        </row>
        <row r="2454">
          <cell r="C2454"/>
          <cell r="D2454"/>
          <cell r="E2454"/>
          <cell r="F2454"/>
          <cell r="G2454"/>
          <cell r="H2454"/>
          <cell r="I2454"/>
          <cell r="J2454"/>
          <cell r="K2454"/>
          <cell r="L2454"/>
        </row>
        <row r="2455">
          <cell r="C2455"/>
          <cell r="D2455"/>
          <cell r="E2455"/>
          <cell r="F2455"/>
          <cell r="G2455"/>
          <cell r="H2455"/>
          <cell r="I2455"/>
          <cell r="J2455"/>
          <cell r="K2455"/>
          <cell r="L2455"/>
        </row>
        <row r="2456">
          <cell r="C2456"/>
          <cell r="D2456"/>
          <cell r="E2456"/>
          <cell r="F2456"/>
          <cell r="G2456"/>
          <cell r="H2456"/>
          <cell r="I2456"/>
          <cell r="J2456"/>
          <cell r="K2456"/>
          <cell r="L2456"/>
        </row>
        <row r="2457">
          <cell r="C2457"/>
          <cell r="D2457"/>
          <cell r="E2457"/>
          <cell r="F2457"/>
          <cell r="G2457"/>
          <cell r="H2457"/>
          <cell r="I2457"/>
          <cell r="J2457"/>
          <cell r="K2457"/>
          <cell r="L2457"/>
        </row>
        <row r="2458">
          <cell r="C2458"/>
          <cell r="D2458"/>
          <cell r="E2458"/>
          <cell r="F2458"/>
          <cell r="G2458"/>
          <cell r="H2458"/>
          <cell r="I2458"/>
          <cell r="J2458"/>
          <cell r="K2458"/>
          <cell r="L2458"/>
        </row>
        <row r="2459">
          <cell r="C2459"/>
          <cell r="D2459"/>
          <cell r="E2459"/>
          <cell r="F2459"/>
          <cell r="G2459"/>
          <cell r="H2459"/>
          <cell r="I2459"/>
          <cell r="J2459"/>
          <cell r="K2459"/>
          <cell r="L2459"/>
        </row>
        <row r="2460">
          <cell r="C2460"/>
          <cell r="D2460"/>
          <cell r="E2460"/>
          <cell r="F2460"/>
          <cell r="G2460"/>
          <cell r="H2460"/>
          <cell r="I2460"/>
          <cell r="J2460"/>
          <cell r="K2460"/>
          <cell r="L2460"/>
        </row>
        <row r="2461">
          <cell r="C2461"/>
          <cell r="D2461"/>
          <cell r="E2461"/>
          <cell r="F2461"/>
          <cell r="G2461"/>
          <cell r="H2461"/>
          <cell r="I2461"/>
          <cell r="J2461"/>
          <cell r="K2461"/>
          <cell r="L2461"/>
        </row>
        <row r="2462">
          <cell r="C2462"/>
          <cell r="D2462"/>
          <cell r="E2462"/>
          <cell r="F2462"/>
          <cell r="G2462"/>
          <cell r="H2462"/>
          <cell r="I2462"/>
          <cell r="J2462"/>
          <cell r="K2462"/>
          <cell r="L2462"/>
        </row>
        <row r="2463">
          <cell r="C2463"/>
          <cell r="D2463"/>
          <cell r="E2463"/>
          <cell r="F2463"/>
          <cell r="G2463"/>
          <cell r="H2463"/>
          <cell r="I2463"/>
          <cell r="J2463"/>
          <cell r="K2463"/>
          <cell r="L2463"/>
        </row>
        <row r="2464">
          <cell r="C2464"/>
          <cell r="D2464"/>
          <cell r="E2464"/>
          <cell r="F2464"/>
          <cell r="G2464"/>
          <cell r="H2464"/>
          <cell r="I2464"/>
          <cell r="J2464"/>
          <cell r="K2464"/>
          <cell r="L2464"/>
        </row>
        <row r="2465">
          <cell r="C2465"/>
          <cell r="D2465"/>
          <cell r="E2465"/>
          <cell r="F2465"/>
          <cell r="G2465"/>
          <cell r="H2465"/>
          <cell r="I2465"/>
          <cell r="J2465"/>
          <cell r="K2465"/>
          <cell r="L2465"/>
        </row>
        <row r="2466">
          <cell r="C2466"/>
          <cell r="D2466"/>
          <cell r="E2466"/>
          <cell r="F2466"/>
          <cell r="G2466"/>
          <cell r="H2466"/>
          <cell r="I2466"/>
          <cell r="J2466"/>
          <cell r="K2466"/>
          <cell r="L2466"/>
        </row>
        <row r="2467">
          <cell r="C2467"/>
          <cell r="D2467"/>
          <cell r="E2467"/>
          <cell r="F2467"/>
          <cell r="G2467"/>
          <cell r="H2467"/>
          <cell r="I2467"/>
          <cell r="J2467"/>
          <cell r="K2467"/>
          <cell r="L2467"/>
        </row>
        <row r="2468">
          <cell r="C2468"/>
          <cell r="D2468"/>
          <cell r="E2468"/>
          <cell r="F2468"/>
          <cell r="G2468"/>
          <cell r="H2468"/>
          <cell r="I2468"/>
          <cell r="J2468"/>
          <cell r="K2468"/>
          <cell r="L2468"/>
        </row>
        <row r="2469">
          <cell r="C2469"/>
          <cell r="D2469"/>
          <cell r="E2469"/>
          <cell r="F2469"/>
          <cell r="G2469"/>
          <cell r="H2469"/>
          <cell r="I2469"/>
          <cell r="J2469"/>
          <cell r="K2469"/>
          <cell r="L2469"/>
        </row>
        <row r="2470">
          <cell r="C2470"/>
          <cell r="D2470"/>
          <cell r="E2470"/>
          <cell r="F2470"/>
          <cell r="G2470"/>
          <cell r="H2470"/>
          <cell r="I2470"/>
          <cell r="J2470"/>
          <cell r="K2470"/>
          <cell r="L2470"/>
        </row>
        <row r="2471">
          <cell r="C2471"/>
          <cell r="D2471"/>
          <cell r="E2471"/>
          <cell r="F2471"/>
          <cell r="G2471"/>
          <cell r="H2471"/>
          <cell r="I2471"/>
          <cell r="J2471"/>
          <cell r="K2471"/>
          <cell r="L2471"/>
        </row>
        <row r="2472">
          <cell r="C2472"/>
          <cell r="D2472"/>
          <cell r="E2472"/>
          <cell r="F2472"/>
          <cell r="G2472"/>
          <cell r="H2472"/>
          <cell r="I2472"/>
          <cell r="J2472"/>
          <cell r="K2472"/>
          <cell r="L2472"/>
        </row>
        <row r="2473">
          <cell r="C2473"/>
          <cell r="D2473"/>
          <cell r="E2473"/>
          <cell r="F2473"/>
          <cell r="G2473"/>
          <cell r="H2473"/>
          <cell r="I2473"/>
          <cell r="J2473"/>
          <cell r="K2473"/>
          <cell r="L2473"/>
        </row>
        <row r="2474">
          <cell r="C2474"/>
          <cell r="D2474"/>
          <cell r="E2474"/>
          <cell r="F2474"/>
          <cell r="G2474"/>
          <cell r="H2474"/>
          <cell r="I2474"/>
          <cell r="J2474"/>
          <cell r="K2474"/>
          <cell r="L2474"/>
        </row>
        <row r="2475">
          <cell r="C2475"/>
          <cell r="D2475"/>
          <cell r="E2475"/>
          <cell r="F2475"/>
          <cell r="G2475"/>
          <cell r="H2475"/>
          <cell r="I2475"/>
          <cell r="J2475"/>
          <cell r="K2475"/>
          <cell r="L2475"/>
        </row>
        <row r="2476">
          <cell r="C2476"/>
          <cell r="D2476"/>
          <cell r="E2476"/>
          <cell r="F2476"/>
          <cell r="G2476"/>
          <cell r="H2476"/>
          <cell r="I2476"/>
          <cell r="J2476"/>
          <cell r="K2476"/>
          <cell r="L2476"/>
        </row>
        <row r="2477">
          <cell r="C2477"/>
          <cell r="D2477"/>
          <cell r="E2477"/>
          <cell r="F2477"/>
          <cell r="G2477"/>
          <cell r="H2477"/>
          <cell r="I2477"/>
          <cell r="J2477"/>
          <cell r="K2477"/>
          <cell r="L2477"/>
        </row>
        <row r="2478">
          <cell r="C2478"/>
          <cell r="D2478"/>
          <cell r="E2478"/>
          <cell r="F2478"/>
          <cell r="G2478"/>
          <cell r="H2478"/>
          <cell r="I2478"/>
          <cell r="J2478"/>
          <cell r="K2478"/>
          <cell r="L2478"/>
        </row>
        <row r="2479">
          <cell r="C2479"/>
          <cell r="D2479"/>
          <cell r="E2479"/>
          <cell r="F2479"/>
          <cell r="G2479"/>
          <cell r="H2479"/>
          <cell r="I2479"/>
          <cell r="J2479"/>
          <cell r="K2479"/>
          <cell r="L2479"/>
        </row>
        <row r="2480">
          <cell r="C2480"/>
          <cell r="D2480"/>
          <cell r="E2480"/>
          <cell r="F2480"/>
          <cell r="G2480"/>
          <cell r="H2480"/>
          <cell r="I2480"/>
          <cell r="J2480"/>
          <cell r="K2480"/>
          <cell r="L2480"/>
        </row>
        <row r="2481">
          <cell r="C2481"/>
          <cell r="D2481"/>
          <cell r="E2481"/>
          <cell r="F2481"/>
          <cell r="G2481"/>
          <cell r="H2481"/>
          <cell r="I2481"/>
          <cell r="J2481"/>
          <cell r="K2481"/>
          <cell r="L2481"/>
        </row>
        <row r="2482">
          <cell r="C2482"/>
          <cell r="D2482"/>
          <cell r="E2482"/>
          <cell r="F2482"/>
          <cell r="G2482"/>
          <cell r="H2482"/>
          <cell r="I2482"/>
          <cell r="J2482"/>
          <cell r="K2482"/>
          <cell r="L2482"/>
        </row>
        <row r="2483">
          <cell r="C2483"/>
          <cell r="D2483"/>
          <cell r="E2483"/>
          <cell r="F2483"/>
          <cell r="G2483"/>
          <cell r="H2483"/>
          <cell r="I2483"/>
          <cell r="J2483"/>
          <cell r="K2483"/>
          <cell r="L2483"/>
        </row>
        <row r="2484">
          <cell r="C2484"/>
          <cell r="D2484"/>
          <cell r="E2484"/>
          <cell r="F2484"/>
          <cell r="G2484"/>
          <cell r="H2484"/>
          <cell r="I2484"/>
          <cell r="J2484"/>
          <cell r="K2484"/>
          <cell r="L2484"/>
        </row>
        <row r="2485">
          <cell r="C2485"/>
          <cell r="D2485"/>
          <cell r="E2485"/>
          <cell r="F2485"/>
          <cell r="G2485"/>
          <cell r="H2485"/>
          <cell r="I2485"/>
          <cell r="J2485"/>
          <cell r="K2485"/>
          <cell r="L2485"/>
        </row>
        <row r="2486">
          <cell r="C2486"/>
          <cell r="D2486"/>
          <cell r="E2486"/>
          <cell r="F2486"/>
          <cell r="G2486"/>
          <cell r="H2486"/>
          <cell r="I2486"/>
          <cell r="J2486"/>
          <cell r="K2486"/>
          <cell r="L2486"/>
        </row>
        <row r="2487">
          <cell r="C2487"/>
          <cell r="D2487"/>
          <cell r="E2487"/>
          <cell r="F2487"/>
          <cell r="G2487"/>
          <cell r="H2487"/>
          <cell r="I2487"/>
          <cell r="J2487"/>
          <cell r="K2487"/>
          <cell r="L2487"/>
        </row>
        <row r="2488">
          <cell r="C2488"/>
          <cell r="D2488"/>
          <cell r="E2488"/>
          <cell r="F2488"/>
          <cell r="G2488"/>
          <cell r="H2488"/>
          <cell r="I2488"/>
          <cell r="J2488"/>
          <cell r="K2488"/>
          <cell r="L2488"/>
        </row>
        <row r="2489">
          <cell r="C2489"/>
          <cell r="D2489"/>
          <cell r="E2489"/>
          <cell r="F2489"/>
          <cell r="G2489"/>
          <cell r="H2489"/>
          <cell r="I2489"/>
          <cell r="J2489"/>
          <cell r="K2489"/>
          <cell r="L2489"/>
        </row>
        <row r="2490">
          <cell r="C2490"/>
          <cell r="D2490"/>
          <cell r="E2490"/>
          <cell r="F2490"/>
          <cell r="G2490"/>
          <cell r="H2490"/>
          <cell r="I2490"/>
          <cell r="J2490"/>
          <cell r="K2490"/>
          <cell r="L2490"/>
        </row>
        <row r="2491">
          <cell r="C2491"/>
          <cell r="D2491"/>
          <cell r="E2491"/>
          <cell r="F2491"/>
          <cell r="G2491"/>
          <cell r="H2491"/>
          <cell r="I2491"/>
          <cell r="J2491"/>
          <cell r="K2491"/>
          <cell r="L2491"/>
        </row>
        <row r="2492">
          <cell r="C2492"/>
          <cell r="D2492"/>
          <cell r="E2492"/>
          <cell r="F2492"/>
          <cell r="G2492"/>
          <cell r="H2492"/>
          <cell r="I2492"/>
          <cell r="J2492"/>
          <cell r="K2492"/>
          <cell r="L2492"/>
        </row>
        <row r="2493">
          <cell r="C2493"/>
          <cell r="D2493"/>
          <cell r="E2493"/>
          <cell r="F2493"/>
          <cell r="G2493"/>
          <cell r="H2493"/>
          <cell r="I2493"/>
          <cell r="J2493"/>
          <cell r="K2493"/>
          <cell r="L2493"/>
        </row>
        <row r="2494">
          <cell r="C2494"/>
          <cell r="D2494"/>
          <cell r="E2494"/>
          <cell r="F2494"/>
          <cell r="G2494"/>
          <cell r="H2494"/>
          <cell r="I2494"/>
          <cell r="J2494"/>
          <cell r="K2494"/>
          <cell r="L2494"/>
        </row>
        <row r="2495">
          <cell r="C2495"/>
          <cell r="D2495"/>
          <cell r="E2495"/>
          <cell r="F2495"/>
          <cell r="G2495"/>
          <cell r="H2495"/>
          <cell r="I2495"/>
          <cell r="J2495"/>
          <cell r="K2495"/>
          <cell r="L2495"/>
        </row>
        <row r="2496">
          <cell r="C2496"/>
          <cell r="D2496"/>
          <cell r="E2496"/>
          <cell r="F2496"/>
          <cell r="G2496"/>
          <cell r="H2496"/>
          <cell r="I2496"/>
          <cell r="J2496"/>
          <cell r="K2496"/>
          <cell r="L2496"/>
        </row>
        <row r="2497">
          <cell r="C2497"/>
          <cell r="D2497"/>
          <cell r="E2497"/>
          <cell r="F2497"/>
          <cell r="G2497"/>
          <cell r="H2497"/>
          <cell r="I2497"/>
          <cell r="J2497"/>
          <cell r="K2497"/>
          <cell r="L2497"/>
        </row>
        <row r="2498">
          <cell r="C2498"/>
          <cell r="D2498"/>
          <cell r="E2498"/>
          <cell r="F2498"/>
          <cell r="G2498"/>
          <cell r="H2498"/>
          <cell r="I2498"/>
          <cell r="J2498"/>
          <cell r="K2498"/>
          <cell r="L2498"/>
        </row>
        <row r="2499">
          <cell r="C2499"/>
          <cell r="D2499"/>
          <cell r="E2499"/>
          <cell r="F2499"/>
          <cell r="G2499"/>
          <cell r="H2499"/>
          <cell r="I2499"/>
          <cell r="J2499"/>
          <cell r="K2499"/>
          <cell r="L2499"/>
        </row>
        <row r="2500">
          <cell r="C2500"/>
          <cell r="D2500"/>
          <cell r="E2500"/>
          <cell r="F2500"/>
          <cell r="G2500"/>
          <cell r="H2500"/>
          <cell r="I2500"/>
          <cell r="J2500"/>
          <cell r="K2500"/>
          <cell r="L2500"/>
        </row>
        <row r="2501">
          <cell r="C2501"/>
          <cell r="D2501"/>
          <cell r="E2501"/>
          <cell r="F2501"/>
          <cell r="G2501"/>
          <cell r="H2501"/>
          <cell r="I2501"/>
          <cell r="J2501"/>
          <cell r="K2501"/>
          <cell r="L2501"/>
        </row>
        <row r="2502">
          <cell r="C2502"/>
          <cell r="D2502"/>
          <cell r="E2502"/>
          <cell r="F2502"/>
          <cell r="G2502"/>
          <cell r="H2502"/>
          <cell r="I2502"/>
          <cell r="J2502"/>
          <cell r="K2502"/>
          <cell r="L2502"/>
        </row>
        <row r="2503">
          <cell r="C2503"/>
          <cell r="D2503"/>
          <cell r="E2503"/>
          <cell r="F2503"/>
          <cell r="G2503"/>
          <cell r="H2503"/>
          <cell r="I2503"/>
          <cell r="J2503"/>
          <cell r="K2503"/>
          <cell r="L2503"/>
        </row>
        <row r="2504">
          <cell r="C2504"/>
          <cell r="D2504"/>
          <cell r="E2504"/>
          <cell r="F2504"/>
          <cell r="G2504"/>
          <cell r="H2504"/>
          <cell r="I2504"/>
          <cell r="J2504"/>
          <cell r="K2504"/>
          <cell r="L2504"/>
        </row>
        <row r="2505">
          <cell r="C2505"/>
          <cell r="D2505"/>
          <cell r="E2505"/>
          <cell r="F2505"/>
          <cell r="G2505"/>
          <cell r="H2505"/>
          <cell r="I2505"/>
          <cell r="J2505"/>
          <cell r="K2505"/>
          <cell r="L2505"/>
        </row>
        <row r="2506">
          <cell r="C2506"/>
          <cell r="D2506"/>
          <cell r="E2506"/>
          <cell r="F2506"/>
          <cell r="G2506"/>
          <cell r="H2506"/>
          <cell r="I2506"/>
          <cell r="J2506"/>
          <cell r="K2506"/>
          <cell r="L2506"/>
        </row>
        <row r="2507">
          <cell r="C2507"/>
          <cell r="D2507"/>
          <cell r="E2507"/>
          <cell r="F2507"/>
          <cell r="G2507"/>
          <cell r="H2507"/>
          <cell r="I2507"/>
          <cell r="J2507"/>
          <cell r="K2507"/>
          <cell r="L2507"/>
        </row>
        <row r="2508">
          <cell r="C2508"/>
          <cell r="D2508"/>
          <cell r="E2508"/>
          <cell r="F2508"/>
          <cell r="G2508"/>
          <cell r="H2508"/>
          <cell r="I2508"/>
          <cell r="J2508"/>
          <cell r="K2508"/>
          <cell r="L2508"/>
        </row>
        <row r="2509">
          <cell r="C2509"/>
          <cell r="D2509"/>
          <cell r="E2509"/>
          <cell r="F2509"/>
          <cell r="G2509"/>
          <cell r="H2509"/>
          <cell r="I2509"/>
          <cell r="J2509"/>
          <cell r="K2509"/>
          <cell r="L2509"/>
        </row>
        <row r="2510">
          <cell r="C2510"/>
          <cell r="D2510"/>
          <cell r="E2510"/>
          <cell r="F2510"/>
          <cell r="G2510"/>
          <cell r="H2510"/>
          <cell r="I2510"/>
          <cell r="J2510"/>
          <cell r="K2510"/>
          <cell r="L2510"/>
        </row>
        <row r="2511">
          <cell r="C2511"/>
          <cell r="D2511"/>
          <cell r="E2511"/>
          <cell r="F2511"/>
          <cell r="G2511"/>
          <cell r="H2511"/>
          <cell r="I2511"/>
          <cell r="J2511"/>
          <cell r="K2511"/>
          <cell r="L2511"/>
        </row>
        <row r="2512">
          <cell r="C2512"/>
          <cell r="D2512"/>
          <cell r="E2512"/>
          <cell r="F2512"/>
          <cell r="G2512"/>
          <cell r="H2512"/>
          <cell r="I2512"/>
          <cell r="J2512"/>
          <cell r="K2512"/>
          <cell r="L2512"/>
        </row>
        <row r="2513">
          <cell r="C2513"/>
          <cell r="D2513"/>
          <cell r="E2513"/>
          <cell r="F2513"/>
          <cell r="G2513"/>
          <cell r="H2513"/>
          <cell r="I2513"/>
          <cell r="J2513"/>
          <cell r="K2513"/>
          <cell r="L2513"/>
        </row>
        <row r="2514">
          <cell r="C2514"/>
          <cell r="D2514"/>
          <cell r="E2514"/>
          <cell r="F2514"/>
          <cell r="G2514"/>
          <cell r="H2514"/>
          <cell r="I2514"/>
          <cell r="J2514"/>
          <cell r="K2514"/>
          <cell r="L2514"/>
        </row>
        <row r="2515">
          <cell r="C2515"/>
          <cell r="D2515"/>
          <cell r="E2515"/>
          <cell r="F2515"/>
          <cell r="G2515"/>
          <cell r="H2515"/>
          <cell r="I2515"/>
          <cell r="J2515"/>
          <cell r="K2515"/>
          <cell r="L2515"/>
        </row>
        <row r="2516">
          <cell r="C2516"/>
          <cell r="D2516"/>
          <cell r="E2516"/>
          <cell r="F2516"/>
          <cell r="G2516"/>
          <cell r="H2516"/>
          <cell r="I2516"/>
          <cell r="J2516"/>
          <cell r="K2516"/>
          <cell r="L2516"/>
        </row>
        <row r="2517">
          <cell r="C2517"/>
          <cell r="D2517"/>
          <cell r="E2517"/>
          <cell r="F2517"/>
          <cell r="G2517"/>
          <cell r="H2517"/>
          <cell r="I2517"/>
          <cell r="J2517"/>
          <cell r="K2517"/>
          <cell r="L2517"/>
        </row>
        <row r="2518">
          <cell r="C2518"/>
          <cell r="D2518"/>
          <cell r="E2518"/>
          <cell r="F2518"/>
          <cell r="G2518"/>
          <cell r="H2518"/>
          <cell r="I2518"/>
          <cell r="J2518"/>
          <cell r="K2518"/>
          <cell r="L2518"/>
        </row>
        <row r="2519">
          <cell r="C2519"/>
          <cell r="D2519"/>
          <cell r="E2519"/>
          <cell r="F2519"/>
          <cell r="G2519"/>
          <cell r="H2519"/>
          <cell r="I2519"/>
          <cell r="J2519"/>
          <cell r="K2519"/>
          <cell r="L2519"/>
        </row>
        <row r="2520">
          <cell r="C2520"/>
          <cell r="D2520"/>
          <cell r="E2520"/>
          <cell r="F2520"/>
          <cell r="G2520"/>
          <cell r="H2520"/>
          <cell r="I2520"/>
          <cell r="J2520"/>
          <cell r="K2520"/>
          <cell r="L2520"/>
        </row>
        <row r="2521">
          <cell r="C2521"/>
          <cell r="D2521"/>
          <cell r="E2521"/>
          <cell r="F2521"/>
          <cell r="G2521"/>
          <cell r="H2521"/>
          <cell r="I2521"/>
          <cell r="J2521"/>
          <cell r="K2521"/>
          <cell r="L2521"/>
        </row>
        <row r="2522">
          <cell r="C2522"/>
          <cell r="D2522"/>
          <cell r="E2522"/>
          <cell r="F2522"/>
          <cell r="G2522"/>
          <cell r="H2522"/>
          <cell r="I2522"/>
          <cell r="J2522"/>
          <cell r="K2522"/>
          <cell r="L2522"/>
        </row>
        <row r="2523">
          <cell r="C2523"/>
          <cell r="D2523"/>
          <cell r="E2523"/>
          <cell r="F2523"/>
          <cell r="G2523"/>
          <cell r="H2523"/>
          <cell r="I2523"/>
          <cell r="J2523"/>
          <cell r="K2523"/>
          <cell r="L2523"/>
        </row>
        <row r="2524">
          <cell r="C2524"/>
          <cell r="D2524"/>
          <cell r="E2524"/>
          <cell r="F2524"/>
          <cell r="G2524"/>
          <cell r="H2524"/>
          <cell r="I2524"/>
          <cell r="J2524"/>
          <cell r="K2524"/>
          <cell r="L2524"/>
        </row>
        <row r="2525">
          <cell r="C2525"/>
          <cell r="D2525"/>
          <cell r="E2525"/>
          <cell r="F2525"/>
          <cell r="G2525"/>
          <cell r="H2525"/>
          <cell r="I2525"/>
          <cell r="J2525"/>
          <cell r="K2525"/>
          <cell r="L2525"/>
        </row>
        <row r="2526">
          <cell r="C2526"/>
          <cell r="D2526"/>
          <cell r="E2526"/>
          <cell r="F2526"/>
          <cell r="G2526"/>
          <cell r="H2526"/>
          <cell r="I2526"/>
          <cell r="J2526"/>
          <cell r="K2526"/>
          <cell r="L2526"/>
        </row>
        <row r="2527">
          <cell r="C2527"/>
          <cell r="D2527"/>
          <cell r="E2527"/>
          <cell r="F2527"/>
          <cell r="G2527"/>
          <cell r="H2527"/>
          <cell r="I2527"/>
          <cell r="J2527"/>
          <cell r="K2527"/>
          <cell r="L2527"/>
        </row>
        <row r="2528">
          <cell r="C2528"/>
          <cell r="D2528"/>
          <cell r="E2528"/>
          <cell r="F2528"/>
          <cell r="G2528"/>
          <cell r="H2528"/>
          <cell r="I2528"/>
          <cell r="J2528"/>
          <cell r="K2528"/>
          <cell r="L2528"/>
        </row>
        <row r="2529">
          <cell r="C2529"/>
          <cell r="D2529"/>
          <cell r="E2529"/>
          <cell r="F2529"/>
          <cell r="G2529"/>
          <cell r="H2529"/>
          <cell r="I2529"/>
          <cell r="J2529"/>
          <cell r="K2529"/>
          <cell r="L2529"/>
        </row>
        <row r="2530">
          <cell r="C2530"/>
          <cell r="D2530"/>
          <cell r="E2530"/>
          <cell r="F2530"/>
          <cell r="G2530"/>
          <cell r="H2530"/>
          <cell r="I2530"/>
          <cell r="J2530"/>
          <cell r="K2530"/>
          <cell r="L2530"/>
        </row>
        <row r="2531">
          <cell r="C2531"/>
          <cell r="D2531"/>
          <cell r="E2531"/>
          <cell r="F2531"/>
          <cell r="G2531"/>
          <cell r="H2531"/>
          <cell r="I2531"/>
          <cell r="J2531"/>
          <cell r="K2531"/>
          <cell r="L2531"/>
        </row>
        <row r="2532">
          <cell r="C2532"/>
          <cell r="D2532"/>
          <cell r="E2532"/>
          <cell r="F2532"/>
          <cell r="G2532"/>
          <cell r="H2532"/>
          <cell r="I2532"/>
          <cell r="J2532"/>
          <cell r="K2532"/>
          <cell r="L2532"/>
        </row>
        <row r="2533">
          <cell r="C2533"/>
          <cell r="D2533"/>
          <cell r="E2533"/>
          <cell r="F2533"/>
          <cell r="G2533"/>
          <cell r="H2533"/>
          <cell r="I2533"/>
          <cell r="J2533"/>
          <cell r="K2533"/>
          <cell r="L2533"/>
        </row>
        <row r="2534">
          <cell r="C2534"/>
          <cell r="D2534"/>
          <cell r="E2534"/>
          <cell r="F2534"/>
          <cell r="G2534"/>
          <cell r="H2534"/>
          <cell r="I2534"/>
          <cell r="J2534"/>
          <cell r="K2534"/>
          <cell r="L2534"/>
        </row>
        <row r="2535">
          <cell r="C2535"/>
          <cell r="D2535"/>
          <cell r="E2535"/>
          <cell r="F2535"/>
          <cell r="G2535"/>
          <cell r="H2535"/>
          <cell r="I2535"/>
          <cell r="J2535"/>
          <cell r="K2535"/>
          <cell r="L2535"/>
        </row>
        <row r="2536">
          <cell r="C2536"/>
          <cell r="D2536"/>
          <cell r="E2536"/>
          <cell r="F2536"/>
          <cell r="G2536"/>
          <cell r="H2536"/>
          <cell r="I2536"/>
          <cell r="J2536"/>
          <cell r="K2536"/>
          <cell r="L2536"/>
        </row>
        <row r="2537">
          <cell r="C2537"/>
          <cell r="D2537"/>
          <cell r="E2537"/>
          <cell r="F2537"/>
          <cell r="G2537"/>
          <cell r="H2537"/>
          <cell r="I2537"/>
          <cell r="J2537"/>
          <cell r="K2537"/>
          <cell r="L2537"/>
        </row>
        <row r="2538">
          <cell r="C2538"/>
          <cell r="D2538"/>
          <cell r="E2538"/>
          <cell r="F2538"/>
          <cell r="G2538"/>
          <cell r="H2538"/>
          <cell r="I2538"/>
          <cell r="J2538"/>
          <cell r="K2538"/>
          <cell r="L2538"/>
        </row>
        <row r="2539">
          <cell r="C2539"/>
          <cell r="D2539"/>
          <cell r="E2539"/>
          <cell r="F2539"/>
          <cell r="G2539"/>
          <cell r="H2539"/>
          <cell r="I2539"/>
          <cell r="J2539"/>
          <cell r="K2539"/>
          <cell r="L2539"/>
        </row>
        <row r="2540">
          <cell r="C2540"/>
          <cell r="D2540"/>
          <cell r="E2540"/>
          <cell r="F2540"/>
          <cell r="G2540"/>
          <cell r="H2540"/>
          <cell r="I2540"/>
          <cell r="J2540"/>
          <cell r="K2540"/>
          <cell r="L2540"/>
        </row>
        <row r="2541">
          <cell r="C2541"/>
          <cell r="D2541"/>
          <cell r="E2541"/>
          <cell r="F2541"/>
          <cell r="G2541"/>
          <cell r="H2541"/>
          <cell r="I2541"/>
          <cell r="J2541"/>
          <cell r="K2541"/>
          <cell r="L2541"/>
        </row>
        <row r="2542">
          <cell r="C2542"/>
          <cell r="D2542"/>
          <cell r="E2542"/>
          <cell r="F2542"/>
          <cell r="G2542"/>
          <cell r="H2542"/>
          <cell r="I2542"/>
          <cell r="J2542"/>
          <cell r="K2542"/>
          <cell r="L2542"/>
        </row>
        <row r="2543">
          <cell r="C2543"/>
          <cell r="D2543"/>
          <cell r="E2543"/>
          <cell r="F2543"/>
          <cell r="G2543"/>
          <cell r="H2543"/>
          <cell r="I2543"/>
          <cell r="J2543"/>
          <cell r="K2543"/>
          <cell r="L2543"/>
        </row>
        <row r="2544">
          <cell r="C2544"/>
          <cell r="D2544"/>
          <cell r="E2544"/>
          <cell r="F2544"/>
          <cell r="G2544"/>
          <cell r="H2544"/>
          <cell r="I2544"/>
          <cell r="J2544"/>
          <cell r="K2544"/>
          <cell r="L2544"/>
        </row>
        <row r="2545">
          <cell r="C2545"/>
          <cell r="D2545"/>
          <cell r="E2545"/>
          <cell r="F2545"/>
          <cell r="G2545"/>
          <cell r="H2545"/>
          <cell r="I2545"/>
          <cell r="J2545"/>
          <cell r="K2545"/>
          <cell r="L2545"/>
        </row>
        <row r="2546">
          <cell r="C2546"/>
          <cell r="D2546"/>
          <cell r="E2546"/>
          <cell r="F2546"/>
          <cell r="G2546"/>
          <cell r="H2546"/>
          <cell r="I2546"/>
          <cell r="J2546"/>
          <cell r="K2546"/>
          <cell r="L2546"/>
        </row>
        <row r="2547">
          <cell r="C2547"/>
          <cell r="D2547"/>
          <cell r="E2547"/>
          <cell r="F2547"/>
          <cell r="G2547"/>
          <cell r="H2547"/>
          <cell r="I2547"/>
          <cell r="J2547"/>
          <cell r="K2547"/>
          <cell r="L2547"/>
        </row>
        <row r="2548">
          <cell r="C2548"/>
          <cell r="D2548"/>
          <cell r="E2548"/>
          <cell r="F2548"/>
          <cell r="G2548"/>
          <cell r="H2548"/>
          <cell r="I2548"/>
          <cell r="J2548"/>
          <cell r="K2548"/>
          <cell r="L2548"/>
        </row>
        <row r="2549">
          <cell r="C2549"/>
          <cell r="D2549"/>
          <cell r="E2549"/>
          <cell r="F2549"/>
          <cell r="G2549"/>
          <cell r="H2549"/>
          <cell r="I2549"/>
          <cell r="J2549"/>
          <cell r="K2549"/>
          <cell r="L2549"/>
        </row>
        <row r="2550">
          <cell r="C2550"/>
          <cell r="D2550"/>
          <cell r="E2550"/>
          <cell r="F2550"/>
          <cell r="G2550"/>
          <cell r="H2550"/>
          <cell r="I2550"/>
          <cell r="J2550"/>
          <cell r="K2550"/>
          <cell r="L2550"/>
        </row>
        <row r="2551">
          <cell r="C2551"/>
          <cell r="D2551"/>
          <cell r="E2551"/>
          <cell r="F2551"/>
          <cell r="G2551"/>
          <cell r="H2551"/>
          <cell r="I2551"/>
          <cell r="J2551"/>
          <cell r="K2551"/>
          <cell r="L2551"/>
        </row>
        <row r="2552">
          <cell r="C2552"/>
          <cell r="D2552"/>
          <cell r="E2552"/>
          <cell r="F2552"/>
          <cell r="G2552"/>
          <cell r="H2552"/>
          <cell r="I2552"/>
          <cell r="J2552"/>
          <cell r="K2552"/>
          <cell r="L2552"/>
        </row>
        <row r="2553">
          <cell r="C2553"/>
          <cell r="D2553"/>
          <cell r="E2553"/>
          <cell r="F2553"/>
          <cell r="G2553"/>
          <cell r="H2553"/>
          <cell r="I2553"/>
          <cell r="J2553"/>
          <cell r="K2553"/>
          <cell r="L2553"/>
        </row>
        <row r="2554">
          <cell r="C2554"/>
          <cell r="D2554"/>
          <cell r="E2554"/>
          <cell r="F2554"/>
          <cell r="G2554"/>
          <cell r="H2554"/>
          <cell r="I2554"/>
          <cell r="J2554"/>
          <cell r="K2554"/>
          <cell r="L2554"/>
        </row>
        <row r="2555">
          <cell r="C2555"/>
          <cell r="D2555"/>
          <cell r="E2555"/>
          <cell r="F2555"/>
          <cell r="G2555"/>
          <cell r="H2555"/>
          <cell r="I2555"/>
          <cell r="J2555"/>
          <cell r="K2555"/>
          <cell r="L2555"/>
        </row>
        <row r="2556">
          <cell r="C2556"/>
          <cell r="D2556"/>
          <cell r="E2556"/>
          <cell r="F2556"/>
          <cell r="G2556"/>
          <cell r="H2556"/>
          <cell r="I2556"/>
          <cell r="J2556"/>
          <cell r="K2556"/>
          <cell r="L2556"/>
        </row>
        <row r="2557">
          <cell r="C2557"/>
          <cell r="D2557"/>
          <cell r="E2557"/>
          <cell r="F2557"/>
          <cell r="G2557"/>
          <cell r="H2557"/>
          <cell r="I2557"/>
          <cell r="J2557"/>
          <cell r="K2557"/>
          <cell r="L2557"/>
        </row>
        <row r="2558">
          <cell r="C2558"/>
          <cell r="D2558"/>
          <cell r="E2558"/>
          <cell r="F2558"/>
          <cell r="G2558"/>
          <cell r="H2558"/>
          <cell r="I2558"/>
          <cell r="J2558"/>
          <cell r="K2558"/>
          <cell r="L2558"/>
        </row>
        <row r="2559">
          <cell r="C2559"/>
          <cell r="D2559"/>
          <cell r="E2559"/>
          <cell r="F2559"/>
          <cell r="G2559"/>
          <cell r="H2559"/>
          <cell r="I2559"/>
          <cell r="J2559"/>
          <cell r="K2559"/>
          <cell r="L2559"/>
        </row>
        <row r="2560">
          <cell r="C2560"/>
          <cell r="D2560"/>
          <cell r="E2560"/>
          <cell r="F2560"/>
          <cell r="G2560"/>
          <cell r="H2560"/>
          <cell r="I2560"/>
          <cell r="J2560"/>
          <cell r="K2560"/>
          <cell r="L2560"/>
        </row>
        <row r="2561">
          <cell r="C2561"/>
          <cell r="D2561"/>
          <cell r="E2561"/>
          <cell r="F2561"/>
          <cell r="G2561"/>
          <cell r="H2561"/>
          <cell r="I2561"/>
          <cell r="J2561"/>
          <cell r="K2561"/>
          <cell r="L2561"/>
        </row>
        <row r="2562">
          <cell r="C2562"/>
          <cell r="D2562"/>
          <cell r="E2562"/>
          <cell r="F2562"/>
          <cell r="G2562"/>
          <cell r="H2562"/>
          <cell r="I2562"/>
          <cell r="J2562"/>
          <cell r="K2562"/>
          <cell r="L2562"/>
        </row>
        <row r="2563">
          <cell r="C2563"/>
          <cell r="D2563"/>
          <cell r="E2563"/>
          <cell r="F2563"/>
          <cell r="G2563"/>
          <cell r="H2563"/>
          <cell r="I2563"/>
          <cell r="J2563"/>
          <cell r="K2563"/>
          <cell r="L2563"/>
        </row>
        <row r="2564">
          <cell r="C2564"/>
          <cell r="D2564"/>
          <cell r="E2564"/>
          <cell r="F2564"/>
          <cell r="G2564"/>
          <cell r="H2564"/>
          <cell r="I2564"/>
          <cell r="J2564"/>
          <cell r="K2564"/>
          <cell r="L2564"/>
        </row>
        <row r="2565">
          <cell r="C2565"/>
          <cell r="D2565"/>
          <cell r="E2565"/>
          <cell r="F2565"/>
          <cell r="G2565"/>
          <cell r="H2565"/>
          <cell r="I2565"/>
          <cell r="J2565"/>
          <cell r="K2565"/>
          <cell r="L2565"/>
        </row>
        <row r="2566">
          <cell r="C2566"/>
          <cell r="D2566"/>
          <cell r="E2566"/>
          <cell r="F2566"/>
          <cell r="G2566"/>
          <cell r="H2566"/>
          <cell r="I2566"/>
          <cell r="J2566"/>
          <cell r="K2566"/>
          <cell r="L2566"/>
        </row>
        <row r="2567">
          <cell r="C2567"/>
          <cell r="D2567"/>
          <cell r="E2567"/>
          <cell r="F2567"/>
          <cell r="G2567"/>
          <cell r="H2567"/>
          <cell r="I2567"/>
          <cell r="J2567"/>
          <cell r="K2567"/>
          <cell r="L2567"/>
        </row>
        <row r="2568">
          <cell r="C2568"/>
          <cell r="D2568"/>
          <cell r="E2568"/>
          <cell r="F2568"/>
          <cell r="G2568"/>
          <cell r="H2568"/>
          <cell r="I2568"/>
          <cell r="J2568"/>
          <cell r="K2568"/>
          <cell r="L2568"/>
        </row>
        <row r="2569">
          <cell r="C2569"/>
          <cell r="D2569"/>
          <cell r="E2569"/>
          <cell r="F2569"/>
          <cell r="G2569"/>
          <cell r="H2569"/>
          <cell r="I2569"/>
          <cell r="J2569"/>
          <cell r="K2569"/>
          <cell r="L2569"/>
        </row>
        <row r="2570">
          <cell r="C2570"/>
          <cell r="D2570"/>
          <cell r="E2570"/>
          <cell r="F2570"/>
          <cell r="G2570"/>
          <cell r="H2570"/>
          <cell r="I2570"/>
          <cell r="J2570"/>
          <cell r="K2570"/>
          <cell r="L2570"/>
        </row>
        <row r="2571">
          <cell r="C2571"/>
          <cell r="D2571"/>
          <cell r="E2571"/>
          <cell r="F2571"/>
          <cell r="G2571"/>
          <cell r="H2571"/>
          <cell r="I2571"/>
          <cell r="J2571"/>
          <cell r="K2571"/>
          <cell r="L2571"/>
        </row>
        <row r="2572">
          <cell r="C2572"/>
          <cell r="D2572"/>
          <cell r="E2572"/>
          <cell r="F2572"/>
          <cell r="G2572"/>
          <cell r="H2572"/>
          <cell r="I2572"/>
          <cell r="J2572"/>
          <cell r="K2572"/>
          <cell r="L2572"/>
        </row>
        <row r="2573">
          <cell r="C2573"/>
          <cell r="D2573"/>
          <cell r="E2573"/>
          <cell r="F2573"/>
          <cell r="G2573"/>
          <cell r="H2573"/>
          <cell r="I2573"/>
          <cell r="J2573"/>
          <cell r="K2573"/>
          <cell r="L2573"/>
        </row>
        <row r="2574">
          <cell r="C2574"/>
          <cell r="D2574"/>
          <cell r="E2574"/>
          <cell r="F2574"/>
          <cell r="G2574"/>
          <cell r="H2574"/>
          <cell r="I2574"/>
          <cell r="J2574"/>
          <cell r="K2574"/>
          <cell r="L2574"/>
        </row>
        <row r="2575">
          <cell r="C2575"/>
          <cell r="D2575"/>
          <cell r="E2575"/>
          <cell r="F2575"/>
          <cell r="G2575"/>
          <cell r="H2575"/>
          <cell r="I2575"/>
          <cell r="J2575"/>
          <cell r="K2575"/>
          <cell r="L2575"/>
        </row>
        <row r="2576">
          <cell r="C2576"/>
          <cell r="D2576"/>
          <cell r="E2576"/>
          <cell r="F2576"/>
          <cell r="G2576"/>
          <cell r="H2576"/>
          <cell r="I2576"/>
          <cell r="J2576"/>
          <cell r="K2576"/>
          <cell r="L2576"/>
        </row>
        <row r="2577">
          <cell r="C2577"/>
          <cell r="D2577"/>
          <cell r="E2577"/>
          <cell r="F2577"/>
          <cell r="G2577"/>
          <cell r="H2577"/>
          <cell r="I2577"/>
          <cell r="J2577"/>
          <cell r="K2577"/>
          <cell r="L2577"/>
        </row>
        <row r="2578">
          <cell r="C2578"/>
          <cell r="D2578"/>
          <cell r="E2578"/>
          <cell r="F2578"/>
          <cell r="G2578"/>
          <cell r="H2578"/>
          <cell r="I2578"/>
          <cell r="J2578"/>
          <cell r="K2578"/>
          <cell r="L2578"/>
        </row>
        <row r="2579">
          <cell r="C2579"/>
          <cell r="D2579"/>
          <cell r="E2579"/>
          <cell r="F2579"/>
          <cell r="G2579"/>
          <cell r="H2579"/>
          <cell r="I2579"/>
          <cell r="J2579"/>
          <cell r="K2579"/>
          <cell r="L2579"/>
        </row>
        <row r="2580">
          <cell r="C2580"/>
          <cell r="D2580"/>
          <cell r="E2580"/>
          <cell r="F2580"/>
          <cell r="G2580"/>
          <cell r="H2580"/>
          <cell r="I2580"/>
          <cell r="J2580"/>
          <cell r="K2580"/>
          <cell r="L2580"/>
        </row>
        <row r="2581">
          <cell r="C2581"/>
          <cell r="D2581"/>
          <cell r="E2581"/>
          <cell r="F2581"/>
          <cell r="G2581"/>
          <cell r="H2581"/>
          <cell r="I2581"/>
          <cell r="J2581"/>
          <cell r="K2581"/>
          <cell r="L2581"/>
        </row>
        <row r="2582">
          <cell r="C2582"/>
          <cell r="D2582"/>
          <cell r="E2582"/>
          <cell r="F2582"/>
          <cell r="G2582"/>
          <cell r="H2582"/>
          <cell r="I2582"/>
          <cell r="J2582"/>
          <cell r="K2582"/>
          <cell r="L2582"/>
        </row>
        <row r="2583">
          <cell r="C2583"/>
          <cell r="D2583"/>
          <cell r="E2583"/>
          <cell r="F2583"/>
          <cell r="G2583"/>
          <cell r="H2583"/>
          <cell r="I2583"/>
          <cell r="J2583"/>
          <cell r="K2583"/>
          <cell r="L2583"/>
        </row>
        <row r="2584">
          <cell r="C2584"/>
          <cell r="D2584"/>
          <cell r="E2584"/>
          <cell r="F2584"/>
          <cell r="G2584"/>
          <cell r="H2584"/>
          <cell r="I2584"/>
          <cell r="J2584"/>
          <cell r="K2584"/>
          <cell r="L2584"/>
        </row>
        <row r="2585">
          <cell r="C2585"/>
          <cell r="D2585"/>
          <cell r="E2585"/>
          <cell r="F2585"/>
          <cell r="G2585"/>
          <cell r="H2585"/>
          <cell r="I2585"/>
          <cell r="J2585"/>
          <cell r="K2585"/>
          <cell r="L2585"/>
        </row>
        <row r="2586">
          <cell r="C2586"/>
          <cell r="D2586"/>
          <cell r="E2586"/>
          <cell r="F2586"/>
          <cell r="G2586"/>
          <cell r="H2586"/>
          <cell r="I2586"/>
          <cell r="J2586"/>
          <cell r="K2586"/>
          <cell r="L2586"/>
        </row>
        <row r="2587">
          <cell r="C2587"/>
          <cell r="D2587"/>
          <cell r="E2587"/>
          <cell r="F2587"/>
          <cell r="G2587"/>
          <cell r="H2587"/>
          <cell r="I2587"/>
          <cell r="J2587"/>
          <cell r="K2587"/>
          <cell r="L2587"/>
        </row>
        <row r="2588">
          <cell r="C2588"/>
          <cell r="D2588"/>
          <cell r="E2588"/>
          <cell r="F2588"/>
          <cell r="G2588"/>
          <cell r="H2588"/>
          <cell r="I2588"/>
          <cell r="J2588"/>
          <cell r="K2588"/>
          <cell r="L2588"/>
        </row>
        <row r="2589">
          <cell r="C2589"/>
          <cell r="D2589"/>
          <cell r="E2589"/>
          <cell r="F2589"/>
          <cell r="G2589"/>
          <cell r="H2589"/>
          <cell r="I2589"/>
          <cell r="J2589"/>
          <cell r="K2589"/>
          <cell r="L2589"/>
        </row>
        <row r="2590">
          <cell r="C2590"/>
          <cell r="D2590"/>
          <cell r="E2590"/>
          <cell r="F2590"/>
          <cell r="G2590"/>
          <cell r="H2590"/>
          <cell r="I2590"/>
          <cell r="J2590"/>
          <cell r="K2590"/>
          <cell r="L2590"/>
        </row>
        <row r="2591">
          <cell r="C2591"/>
          <cell r="D2591"/>
          <cell r="E2591"/>
          <cell r="F2591"/>
          <cell r="G2591"/>
          <cell r="H2591"/>
          <cell r="I2591"/>
          <cell r="J2591"/>
          <cell r="K2591"/>
          <cell r="L2591"/>
        </row>
        <row r="2592">
          <cell r="C2592"/>
          <cell r="D2592"/>
          <cell r="E2592"/>
          <cell r="F2592"/>
          <cell r="G2592"/>
          <cell r="H2592"/>
          <cell r="I2592"/>
          <cell r="J2592"/>
          <cell r="K2592"/>
          <cell r="L2592"/>
        </row>
        <row r="2593">
          <cell r="C2593"/>
          <cell r="D2593"/>
          <cell r="E2593"/>
          <cell r="F2593"/>
          <cell r="G2593"/>
          <cell r="H2593"/>
          <cell r="I2593"/>
          <cell r="J2593"/>
          <cell r="K2593"/>
          <cell r="L2593"/>
        </row>
        <row r="2594">
          <cell r="C2594"/>
          <cell r="D2594"/>
          <cell r="E2594"/>
          <cell r="F2594"/>
          <cell r="G2594"/>
          <cell r="H2594"/>
          <cell r="I2594"/>
          <cell r="J2594"/>
          <cell r="K2594"/>
          <cell r="L2594"/>
        </row>
        <row r="2595">
          <cell r="C2595"/>
          <cell r="D2595"/>
          <cell r="E2595"/>
          <cell r="F2595"/>
          <cell r="G2595"/>
          <cell r="H2595"/>
          <cell r="I2595"/>
          <cell r="J2595"/>
          <cell r="K2595"/>
          <cell r="L2595"/>
        </row>
        <row r="2596">
          <cell r="C2596"/>
          <cell r="D2596"/>
          <cell r="E2596"/>
          <cell r="F2596"/>
          <cell r="G2596"/>
          <cell r="H2596"/>
          <cell r="I2596"/>
          <cell r="J2596"/>
          <cell r="K2596"/>
          <cell r="L2596"/>
        </row>
        <row r="2597">
          <cell r="C2597"/>
          <cell r="D2597"/>
          <cell r="E2597"/>
          <cell r="F2597"/>
          <cell r="G2597"/>
          <cell r="H2597"/>
          <cell r="I2597"/>
          <cell r="J2597"/>
          <cell r="K2597"/>
          <cell r="L2597"/>
        </row>
        <row r="2598">
          <cell r="C2598"/>
          <cell r="D2598"/>
          <cell r="E2598"/>
          <cell r="F2598"/>
          <cell r="G2598"/>
          <cell r="H2598"/>
          <cell r="I2598"/>
          <cell r="J2598"/>
          <cell r="K2598"/>
          <cell r="L2598"/>
        </row>
        <row r="2599">
          <cell r="C2599"/>
          <cell r="D2599"/>
          <cell r="E2599"/>
          <cell r="F2599"/>
          <cell r="G2599"/>
          <cell r="H2599"/>
          <cell r="I2599"/>
          <cell r="J2599"/>
          <cell r="K2599"/>
          <cell r="L2599"/>
        </row>
        <row r="2600">
          <cell r="C2600"/>
          <cell r="D2600"/>
          <cell r="E2600"/>
          <cell r="F2600"/>
          <cell r="G2600"/>
          <cell r="H2600"/>
          <cell r="I2600"/>
          <cell r="J2600"/>
          <cell r="K2600"/>
          <cell r="L2600"/>
        </row>
        <row r="2601">
          <cell r="C2601"/>
          <cell r="D2601"/>
          <cell r="E2601"/>
          <cell r="F2601"/>
          <cell r="G2601"/>
          <cell r="H2601"/>
          <cell r="I2601"/>
          <cell r="J2601"/>
          <cell r="K2601"/>
          <cell r="L2601"/>
        </row>
        <row r="2602">
          <cell r="C2602"/>
          <cell r="D2602"/>
          <cell r="E2602"/>
          <cell r="F2602"/>
          <cell r="G2602"/>
          <cell r="H2602"/>
          <cell r="I2602"/>
          <cell r="J2602"/>
          <cell r="K2602"/>
          <cell r="L2602"/>
        </row>
        <row r="2603">
          <cell r="C2603"/>
          <cell r="D2603"/>
          <cell r="E2603"/>
          <cell r="F2603"/>
          <cell r="G2603"/>
          <cell r="H2603"/>
          <cell r="I2603"/>
          <cell r="J2603"/>
          <cell r="K2603"/>
          <cell r="L2603"/>
        </row>
        <row r="2604">
          <cell r="C2604"/>
          <cell r="D2604"/>
          <cell r="E2604"/>
          <cell r="F2604"/>
          <cell r="G2604"/>
          <cell r="H2604"/>
          <cell r="I2604"/>
          <cell r="J2604"/>
          <cell r="K2604"/>
          <cell r="L2604"/>
        </row>
        <row r="2605">
          <cell r="C2605"/>
          <cell r="D2605"/>
          <cell r="E2605"/>
          <cell r="F2605"/>
          <cell r="G2605"/>
          <cell r="H2605"/>
          <cell r="I2605"/>
          <cell r="J2605"/>
          <cell r="K2605"/>
          <cell r="L2605"/>
        </row>
        <row r="2606">
          <cell r="C2606"/>
          <cell r="D2606"/>
          <cell r="E2606"/>
          <cell r="F2606"/>
          <cell r="G2606"/>
          <cell r="H2606"/>
          <cell r="I2606"/>
          <cell r="J2606"/>
          <cell r="K2606"/>
          <cell r="L2606"/>
        </row>
        <row r="2607">
          <cell r="C2607"/>
          <cell r="D2607"/>
          <cell r="E2607"/>
          <cell r="F2607"/>
          <cell r="G2607"/>
          <cell r="H2607"/>
          <cell r="I2607"/>
          <cell r="J2607"/>
          <cell r="K2607"/>
          <cell r="L2607"/>
        </row>
        <row r="2608">
          <cell r="C2608"/>
          <cell r="D2608"/>
          <cell r="E2608"/>
          <cell r="F2608"/>
          <cell r="G2608"/>
          <cell r="H2608"/>
          <cell r="I2608"/>
          <cell r="J2608"/>
          <cell r="K2608"/>
          <cell r="L2608"/>
        </row>
        <row r="2609">
          <cell r="C2609"/>
          <cell r="D2609"/>
          <cell r="E2609"/>
          <cell r="F2609"/>
          <cell r="G2609"/>
          <cell r="H2609"/>
          <cell r="I2609"/>
          <cell r="J2609"/>
          <cell r="K2609"/>
          <cell r="L2609"/>
        </row>
        <row r="2610">
          <cell r="C2610"/>
          <cell r="D2610"/>
          <cell r="E2610"/>
          <cell r="F2610"/>
          <cell r="G2610"/>
          <cell r="H2610"/>
          <cell r="I2610"/>
          <cell r="J2610"/>
          <cell r="K2610"/>
          <cell r="L2610"/>
        </row>
        <row r="2611">
          <cell r="C2611"/>
          <cell r="D2611"/>
          <cell r="E2611"/>
          <cell r="F2611"/>
          <cell r="G2611"/>
          <cell r="H2611"/>
          <cell r="I2611"/>
          <cell r="J2611"/>
          <cell r="K2611"/>
          <cell r="L2611"/>
        </row>
        <row r="2612">
          <cell r="C2612"/>
          <cell r="D2612"/>
          <cell r="E2612"/>
          <cell r="F2612"/>
          <cell r="G2612"/>
          <cell r="H2612"/>
          <cell r="I2612"/>
          <cell r="J2612"/>
          <cell r="K2612"/>
          <cell r="L2612"/>
        </row>
        <row r="2613">
          <cell r="C2613"/>
          <cell r="D2613"/>
          <cell r="E2613"/>
          <cell r="F2613"/>
          <cell r="G2613"/>
          <cell r="H2613"/>
          <cell r="I2613"/>
          <cell r="J2613"/>
          <cell r="K2613"/>
          <cell r="L2613"/>
        </row>
        <row r="2614">
          <cell r="C2614"/>
          <cell r="D2614"/>
          <cell r="E2614"/>
          <cell r="F2614"/>
          <cell r="G2614"/>
          <cell r="H2614"/>
          <cell r="I2614"/>
          <cell r="J2614"/>
          <cell r="K2614"/>
          <cell r="L2614"/>
        </row>
        <row r="2615">
          <cell r="C2615"/>
          <cell r="D2615"/>
          <cell r="E2615"/>
          <cell r="F2615"/>
          <cell r="G2615"/>
          <cell r="H2615"/>
          <cell r="I2615"/>
          <cell r="J2615"/>
          <cell r="K2615"/>
          <cell r="L2615"/>
        </row>
        <row r="2616">
          <cell r="C2616"/>
          <cell r="D2616"/>
          <cell r="E2616"/>
          <cell r="F2616"/>
          <cell r="G2616"/>
          <cell r="H2616"/>
          <cell r="I2616"/>
          <cell r="J2616"/>
          <cell r="K2616"/>
          <cell r="L2616"/>
        </row>
        <row r="2617">
          <cell r="C2617"/>
          <cell r="D2617"/>
          <cell r="E2617"/>
          <cell r="F2617"/>
          <cell r="G2617"/>
          <cell r="H2617"/>
          <cell r="I2617"/>
          <cell r="J2617"/>
          <cell r="K2617"/>
          <cell r="L2617"/>
        </row>
        <row r="2618">
          <cell r="C2618"/>
          <cell r="D2618"/>
          <cell r="E2618"/>
          <cell r="F2618"/>
          <cell r="G2618"/>
          <cell r="H2618"/>
          <cell r="I2618"/>
          <cell r="J2618"/>
          <cell r="K2618"/>
          <cell r="L2618"/>
        </row>
        <row r="2619">
          <cell r="C2619"/>
          <cell r="D2619"/>
          <cell r="E2619"/>
          <cell r="F2619"/>
          <cell r="G2619"/>
          <cell r="H2619"/>
          <cell r="I2619"/>
          <cell r="J2619"/>
          <cell r="K2619"/>
          <cell r="L2619"/>
        </row>
        <row r="2620">
          <cell r="C2620"/>
          <cell r="D2620"/>
          <cell r="E2620"/>
          <cell r="F2620"/>
          <cell r="G2620"/>
          <cell r="H2620"/>
          <cell r="I2620"/>
          <cell r="J2620"/>
          <cell r="K2620"/>
          <cell r="L2620"/>
        </row>
        <row r="2621">
          <cell r="C2621"/>
          <cell r="D2621"/>
          <cell r="E2621"/>
          <cell r="F2621"/>
          <cell r="G2621"/>
          <cell r="H2621"/>
          <cell r="I2621"/>
          <cell r="J2621"/>
          <cell r="K2621"/>
          <cell r="L2621"/>
        </row>
        <row r="2622">
          <cell r="C2622"/>
          <cell r="D2622"/>
          <cell r="E2622"/>
          <cell r="F2622"/>
          <cell r="G2622"/>
          <cell r="H2622"/>
          <cell r="I2622"/>
          <cell r="J2622"/>
          <cell r="K2622"/>
          <cell r="L2622"/>
        </row>
        <row r="2623">
          <cell r="C2623"/>
          <cell r="D2623"/>
          <cell r="E2623"/>
          <cell r="F2623"/>
          <cell r="G2623"/>
          <cell r="H2623"/>
          <cell r="I2623"/>
          <cell r="J2623"/>
          <cell r="K2623"/>
          <cell r="L2623"/>
        </row>
        <row r="2624">
          <cell r="C2624"/>
          <cell r="D2624"/>
          <cell r="E2624"/>
          <cell r="F2624"/>
          <cell r="G2624"/>
          <cell r="H2624"/>
          <cell r="I2624"/>
          <cell r="J2624"/>
          <cell r="K2624"/>
          <cell r="L2624"/>
        </row>
        <row r="2625">
          <cell r="C2625"/>
          <cell r="D2625"/>
          <cell r="E2625"/>
          <cell r="F2625"/>
          <cell r="G2625"/>
          <cell r="H2625"/>
          <cell r="I2625"/>
          <cell r="J2625"/>
          <cell r="K2625"/>
          <cell r="L2625"/>
        </row>
        <row r="2626">
          <cell r="C2626"/>
          <cell r="D2626"/>
          <cell r="E2626"/>
          <cell r="F2626"/>
          <cell r="G2626"/>
          <cell r="H2626"/>
          <cell r="I2626"/>
          <cell r="J2626"/>
          <cell r="K2626"/>
          <cell r="L2626"/>
        </row>
        <row r="2627">
          <cell r="C2627"/>
          <cell r="D2627"/>
          <cell r="E2627"/>
          <cell r="F2627"/>
          <cell r="G2627"/>
          <cell r="H2627"/>
          <cell r="I2627"/>
          <cell r="J2627"/>
          <cell r="K2627"/>
          <cell r="L2627"/>
        </row>
        <row r="2628">
          <cell r="C2628"/>
          <cell r="D2628"/>
          <cell r="E2628"/>
          <cell r="F2628"/>
          <cell r="G2628"/>
          <cell r="H2628"/>
          <cell r="I2628"/>
          <cell r="J2628"/>
          <cell r="K2628"/>
          <cell r="L2628"/>
        </row>
        <row r="2629">
          <cell r="C2629"/>
          <cell r="D2629"/>
          <cell r="E2629"/>
          <cell r="F2629"/>
          <cell r="G2629"/>
          <cell r="H2629"/>
          <cell r="I2629"/>
          <cell r="J2629"/>
          <cell r="K2629"/>
          <cell r="L2629"/>
        </row>
        <row r="2630">
          <cell r="C2630"/>
          <cell r="D2630"/>
          <cell r="E2630"/>
          <cell r="F2630"/>
          <cell r="G2630"/>
          <cell r="H2630"/>
          <cell r="I2630"/>
          <cell r="J2630"/>
          <cell r="K2630"/>
          <cell r="L2630"/>
        </row>
        <row r="2631">
          <cell r="C2631"/>
          <cell r="D2631"/>
          <cell r="E2631"/>
          <cell r="F2631"/>
          <cell r="G2631"/>
          <cell r="H2631"/>
          <cell r="I2631"/>
          <cell r="J2631"/>
          <cell r="K2631"/>
          <cell r="L2631"/>
        </row>
        <row r="2632">
          <cell r="C2632"/>
          <cell r="D2632"/>
          <cell r="E2632"/>
          <cell r="F2632"/>
          <cell r="G2632"/>
          <cell r="H2632"/>
          <cell r="I2632"/>
          <cell r="J2632"/>
          <cell r="K2632"/>
          <cell r="L2632"/>
        </row>
        <row r="2633">
          <cell r="C2633"/>
          <cell r="D2633"/>
          <cell r="E2633"/>
          <cell r="F2633"/>
          <cell r="G2633"/>
          <cell r="H2633"/>
          <cell r="I2633"/>
          <cell r="J2633"/>
          <cell r="K2633"/>
          <cell r="L2633"/>
        </row>
        <row r="2634">
          <cell r="C2634"/>
          <cell r="D2634"/>
          <cell r="E2634"/>
          <cell r="F2634"/>
          <cell r="G2634"/>
          <cell r="H2634"/>
          <cell r="I2634"/>
          <cell r="J2634"/>
          <cell r="K2634"/>
          <cell r="L2634"/>
        </row>
        <row r="2635">
          <cell r="C2635"/>
          <cell r="D2635"/>
          <cell r="E2635"/>
          <cell r="F2635"/>
          <cell r="G2635"/>
          <cell r="H2635"/>
          <cell r="I2635"/>
          <cell r="J2635"/>
          <cell r="K2635"/>
          <cell r="L2635"/>
        </row>
        <row r="2636">
          <cell r="C2636"/>
          <cell r="D2636"/>
          <cell r="E2636"/>
          <cell r="F2636"/>
          <cell r="G2636"/>
          <cell r="H2636"/>
          <cell r="I2636"/>
          <cell r="J2636"/>
          <cell r="K2636"/>
          <cell r="L2636"/>
        </row>
        <row r="2637">
          <cell r="C2637"/>
          <cell r="D2637"/>
          <cell r="E2637"/>
          <cell r="F2637"/>
          <cell r="G2637"/>
          <cell r="H2637"/>
          <cell r="I2637"/>
          <cell r="J2637"/>
          <cell r="K2637"/>
          <cell r="L2637"/>
        </row>
        <row r="2638">
          <cell r="C2638"/>
          <cell r="D2638"/>
          <cell r="E2638"/>
          <cell r="F2638"/>
          <cell r="G2638"/>
          <cell r="H2638"/>
          <cell r="I2638"/>
          <cell r="J2638"/>
          <cell r="K2638"/>
          <cell r="L2638"/>
        </row>
        <row r="2639">
          <cell r="C2639"/>
          <cell r="D2639"/>
          <cell r="E2639"/>
          <cell r="F2639"/>
          <cell r="G2639"/>
          <cell r="H2639"/>
          <cell r="I2639"/>
          <cell r="J2639"/>
          <cell r="K2639"/>
          <cell r="L2639"/>
        </row>
        <row r="2640">
          <cell r="C2640"/>
          <cell r="D2640"/>
          <cell r="E2640"/>
          <cell r="F2640"/>
          <cell r="G2640"/>
          <cell r="H2640"/>
          <cell r="I2640"/>
          <cell r="J2640"/>
          <cell r="K2640"/>
          <cell r="L2640"/>
        </row>
        <row r="2641">
          <cell r="C2641"/>
          <cell r="D2641"/>
          <cell r="E2641"/>
          <cell r="F2641"/>
          <cell r="G2641"/>
          <cell r="H2641"/>
          <cell r="I2641"/>
          <cell r="J2641"/>
          <cell r="K2641"/>
          <cell r="L2641"/>
        </row>
        <row r="2642">
          <cell r="C2642"/>
          <cell r="D2642"/>
          <cell r="E2642"/>
          <cell r="F2642"/>
          <cell r="G2642"/>
          <cell r="H2642"/>
          <cell r="I2642"/>
          <cell r="J2642"/>
          <cell r="K2642"/>
          <cell r="L2642"/>
        </row>
        <row r="2643">
          <cell r="C2643"/>
          <cell r="D2643"/>
          <cell r="E2643"/>
          <cell r="F2643"/>
          <cell r="G2643"/>
          <cell r="H2643"/>
          <cell r="I2643"/>
          <cell r="J2643"/>
          <cell r="K2643"/>
          <cell r="L2643"/>
        </row>
        <row r="2644">
          <cell r="C2644"/>
          <cell r="D2644"/>
          <cell r="E2644"/>
          <cell r="F2644"/>
          <cell r="G2644"/>
          <cell r="H2644"/>
          <cell r="I2644"/>
          <cell r="J2644"/>
          <cell r="K2644"/>
          <cell r="L2644"/>
        </row>
        <row r="2645">
          <cell r="C2645"/>
          <cell r="D2645"/>
          <cell r="E2645"/>
          <cell r="F2645"/>
          <cell r="G2645"/>
          <cell r="H2645"/>
          <cell r="I2645"/>
          <cell r="J2645"/>
          <cell r="K2645"/>
          <cell r="L2645"/>
        </row>
        <row r="2646">
          <cell r="C2646"/>
          <cell r="D2646"/>
          <cell r="E2646"/>
          <cell r="F2646"/>
          <cell r="G2646"/>
          <cell r="H2646"/>
          <cell r="I2646"/>
          <cell r="J2646"/>
          <cell r="K2646"/>
          <cell r="L2646"/>
        </row>
        <row r="2647">
          <cell r="C2647"/>
          <cell r="D2647"/>
          <cell r="E2647"/>
          <cell r="F2647"/>
          <cell r="G2647"/>
          <cell r="H2647"/>
          <cell r="I2647"/>
          <cell r="J2647"/>
          <cell r="K2647"/>
          <cell r="L2647"/>
        </row>
        <row r="2648">
          <cell r="C2648"/>
          <cell r="D2648"/>
          <cell r="E2648"/>
          <cell r="F2648"/>
          <cell r="G2648"/>
          <cell r="H2648"/>
          <cell r="I2648"/>
          <cell r="J2648"/>
          <cell r="K2648"/>
          <cell r="L2648"/>
        </row>
        <row r="2649">
          <cell r="C2649"/>
          <cell r="D2649"/>
          <cell r="E2649"/>
          <cell r="F2649"/>
          <cell r="G2649"/>
          <cell r="H2649"/>
          <cell r="I2649"/>
          <cell r="J2649"/>
          <cell r="K2649"/>
          <cell r="L2649"/>
        </row>
        <row r="2650">
          <cell r="C2650"/>
          <cell r="D2650"/>
          <cell r="E2650"/>
          <cell r="F2650"/>
          <cell r="G2650"/>
          <cell r="H2650"/>
          <cell r="I2650"/>
          <cell r="J2650"/>
          <cell r="K2650"/>
          <cell r="L2650"/>
        </row>
        <row r="2651">
          <cell r="C2651"/>
          <cell r="D2651"/>
          <cell r="E2651"/>
          <cell r="F2651"/>
          <cell r="G2651"/>
          <cell r="H2651"/>
          <cell r="I2651"/>
          <cell r="J2651"/>
          <cell r="K2651"/>
          <cell r="L2651"/>
        </row>
        <row r="2652">
          <cell r="C2652"/>
          <cell r="D2652"/>
          <cell r="E2652"/>
          <cell r="F2652"/>
          <cell r="G2652"/>
          <cell r="H2652"/>
          <cell r="I2652"/>
          <cell r="J2652"/>
          <cell r="K2652"/>
          <cell r="L2652"/>
        </row>
        <row r="2653">
          <cell r="C2653"/>
          <cell r="D2653"/>
          <cell r="E2653"/>
          <cell r="F2653"/>
          <cell r="G2653"/>
          <cell r="H2653"/>
          <cell r="I2653"/>
          <cell r="J2653"/>
          <cell r="K2653"/>
          <cell r="L2653"/>
        </row>
        <row r="2654">
          <cell r="C2654"/>
          <cell r="D2654"/>
          <cell r="E2654"/>
          <cell r="F2654"/>
          <cell r="G2654"/>
          <cell r="H2654"/>
          <cell r="I2654"/>
          <cell r="J2654"/>
          <cell r="K2654"/>
          <cell r="L2654"/>
        </row>
        <row r="2655">
          <cell r="C2655"/>
          <cell r="D2655"/>
          <cell r="E2655"/>
          <cell r="F2655"/>
          <cell r="G2655"/>
          <cell r="H2655"/>
          <cell r="I2655"/>
          <cell r="J2655"/>
          <cell r="K2655"/>
          <cell r="L2655"/>
        </row>
        <row r="2656">
          <cell r="C2656"/>
          <cell r="D2656"/>
          <cell r="E2656"/>
          <cell r="F2656"/>
          <cell r="G2656"/>
          <cell r="H2656"/>
          <cell r="I2656"/>
          <cell r="J2656"/>
          <cell r="K2656"/>
          <cell r="L2656"/>
        </row>
        <row r="2657">
          <cell r="C2657"/>
          <cell r="D2657"/>
          <cell r="E2657"/>
          <cell r="F2657"/>
          <cell r="G2657"/>
          <cell r="H2657"/>
          <cell r="I2657"/>
          <cell r="J2657"/>
          <cell r="K2657"/>
          <cell r="L2657"/>
        </row>
        <row r="2658">
          <cell r="C2658"/>
          <cell r="D2658"/>
          <cell r="E2658"/>
          <cell r="F2658"/>
          <cell r="G2658"/>
          <cell r="H2658"/>
          <cell r="I2658"/>
          <cell r="J2658"/>
          <cell r="K2658"/>
          <cell r="L2658"/>
        </row>
        <row r="2659">
          <cell r="C2659"/>
          <cell r="D2659"/>
          <cell r="E2659"/>
          <cell r="F2659"/>
          <cell r="G2659"/>
          <cell r="H2659"/>
          <cell r="I2659"/>
          <cell r="J2659"/>
          <cell r="K2659"/>
          <cell r="L2659"/>
        </row>
        <row r="2660">
          <cell r="C2660"/>
          <cell r="D2660"/>
          <cell r="E2660"/>
          <cell r="F2660"/>
          <cell r="G2660"/>
          <cell r="H2660"/>
          <cell r="I2660"/>
          <cell r="J2660"/>
          <cell r="K2660"/>
          <cell r="L2660"/>
        </row>
        <row r="2661">
          <cell r="C2661"/>
          <cell r="D2661"/>
          <cell r="E2661"/>
          <cell r="F2661"/>
          <cell r="G2661"/>
          <cell r="H2661"/>
          <cell r="I2661"/>
          <cell r="J2661"/>
          <cell r="K2661"/>
          <cell r="L2661"/>
        </row>
        <row r="2662">
          <cell r="C2662"/>
          <cell r="D2662"/>
          <cell r="E2662"/>
          <cell r="F2662"/>
          <cell r="G2662"/>
          <cell r="H2662"/>
          <cell r="I2662"/>
          <cell r="J2662"/>
          <cell r="K2662"/>
          <cell r="L2662"/>
        </row>
        <row r="2663">
          <cell r="C2663"/>
          <cell r="D2663"/>
          <cell r="E2663"/>
          <cell r="F2663"/>
          <cell r="G2663"/>
          <cell r="H2663"/>
          <cell r="I2663"/>
          <cell r="J2663"/>
          <cell r="K2663"/>
          <cell r="L2663"/>
        </row>
        <row r="2664">
          <cell r="C2664"/>
          <cell r="D2664"/>
          <cell r="E2664"/>
          <cell r="F2664"/>
          <cell r="G2664"/>
          <cell r="H2664"/>
          <cell r="I2664"/>
          <cell r="J2664"/>
          <cell r="K2664"/>
          <cell r="L2664"/>
        </row>
        <row r="2665">
          <cell r="C2665"/>
          <cell r="D2665"/>
          <cell r="E2665"/>
          <cell r="F2665"/>
          <cell r="G2665"/>
          <cell r="H2665"/>
          <cell r="I2665"/>
          <cell r="J2665"/>
          <cell r="K2665"/>
          <cell r="L2665"/>
        </row>
        <row r="2666">
          <cell r="C2666"/>
          <cell r="D2666"/>
          <cell r="E2666"/>
          <cell r="F2666"/>
          <cell r="G2666"/>
          <cell r="H2666"/>
          <cell r="I2666"/>
          <cell r="J2666"/>
          <cell r="K2666"/>
          <cell r="L2666"/>
        </row>
        <row r="2667">
          <cell r="C2667"/>
          <cell r="D2667"/>
          <cell r="E2667"/>
          <cell r="F2667"/>
          <cell r="G2667"/>
          <cell r="H2667"/>
          <cell r="I2667"/>
          <cell r="J2667"/>
          <cell r="K2667"/>
          <cell r="L2667"/>
        </row>
        <row r="2668">
          <cell r="C2668"/>
          <cell r="D2668"/>
          <cell r="E2668"/>
          <cell r="F2668"/>
          <cell r="G2668"/>
          <cell r="H2668"/>
          <cell r="I2668"/>
          <cell r="J2668"/>
          <cell r="K2668"/>
          <cell r="L2668"/>
        </row>
        <row r="2669">
          <cell r="C2669"/>
          <cell r="D2669"/>
          <cell r="E2669"/>
          <cell r="F2669"/>
          <cell r="G2669"/>
          <cell r="H2669"/>
          <cell r="I2669"/>
          <cell r="J2669"/>
          <cell r="K2669"/>
          <cell r="L2669"/>
        </row>
        <row r="2670">
          <cell r="C2670"/>
          <cell r="D2670"/>
          <cell r="E2670"/>
          <cell r="F2670"/>
          <cell r="G2670"/>
          <cell r="H2670"/>
          <cell r="I2670"/>
          <cell r="J2670"/>
          <cell r="K2670"/>
          <cell r="L2670"/>
        </row>
        <row r="2671">
          <cell r="C2671"/>
          <cell r="D2671"/>
          <cell r="E2671"/>
          <cell r="F2671"/>
          <cell r="G2671"/>
          <cell r="H2671"/>
          <cell r="I2671"/>
          <cell r="J2671"/>
          <cell r="K2671"/>
          <cell r="L2671"/>
        </row>
        <row r="2672">
          <cell r="C2672"/>
          <cell r="D2672"/>
          <cell r="E2672"/>
          <cell r="F2672"/>
          <cell r="G2672"/>
          <cell r="H2672"/>
          <cell r="I2672"/>
          <cell r="J2672"/>
          <cell r="K2672"/>
          <cell r="L2672"/>
        </row>
        <row r="2673">
          <cell r="C2673"/>
          <cell r="D2673"/>
          <cell r="E2673"/>
          <cell r="F2673"/>
          <cell r="G2673"/>
          <cell r="H2673"/>
          <cell r="I2673"/>
          <cell r="J2673"/>
          <cell r="K2673"/>
          <cell r="L2673"/>
        </row>
        <row r="2674">
          <cell r="C2674"/>
          <cell r="D2674"/>
          <cell r="E2674"/>
          <cell r="F2674"/>
          <cell r="G2674"/>
          <cell r="H2674"/>
          <cell r="I2674"/>
          <cell r="J2674"/>
          <cell r="K2674"/>
          <cell r="L2674"/>
        </row>
        <row r="2675">
          <cell r="C2675"/>
          <cell r="D2675"/>
          <cell r="E2675"/>
          <cell r="F2675"/>
          <cell r="G2675"/>
          <cell r="H2675"/>
          <cell r="I2675"/>
          <cell r="J2675"/>
          <cell r="K2675"/>
          <cell r="L2675"/>
        </row>
        <row r="2676">
          <cell r="C2676"/>
          <cell r="D2676"/>
          <cell r="E2676"/>
          <cell r="F2676"/>
          <cell r="G2676"/>
          <cell r="H2676"/>
          <cell r="I2676"/>
          <cell r="J2676"/>
          <cell r="K2676"/>
          <cell r="L2676"/>
        </row>
        <row r="2677">
          <cell r="C2677"/>
          <cell r="D2677"/>
          <cell r="E2677"/>
          <cell r="F2677"/>
          <cell r="G2677"/>
          <cell r="H2677"/>
          <cell r="I2677"/>
          <cell r="J2677"/>
          <cell r="K2677"/>
          <cell r="L2677"/>
        </row>
        <row r="2678">
          <cell r="C2678"/>
          <cell r="D2678"/>
          <cell r="E2678"/>
          <cell r="F2678"/>
          <cell r="G2678"/>
          <cell r="H2678"/>
          <cell r="I2678"/>
          <cell r="J2678"/>
          <cell r="K2678"/>
          <cell r="L2678"/>
        </row>
        <row r="2679">
          <cell r="C2679"/>
          <cell r="D2679"/>
          <cell r="E2679"/>
          <cell r="F2679"/>
          <cell r="G2679"/>
          <cell r="H2679"/>
          <cell r="I2679"/>
          <cell r="J2679"/>
          <cell r="K2679"/>
          <cell r="L2679"/>
        </row>
        <row r="2680">
          <cell r="C2680"/>
          <cell r="D2680"/>
          <cell r="E2680"/>
          <cell r="F2680"/>
          <cell r="G2680"/>
          <cell r="H2680"/>
          <cell r="I2680"/>
          <cell r="J2680"/>
          <cell r="K2680"/>
          <cell r="L2680"/>
        </row>
        <row r="2681">
          <cell r="C2681"/>
          <cell r="D2681"/>
          <cell r="E2681"/>
          <cell r="F2681"/>
          <cell r="G2681"/>
          <cell r="H2681"/>
          <cell r="I2681"/>
          <cell r="J2681"/>
          <cell r="K2681"/>
          <cell r="L2681"/>
        </row>
        <row r="2682">
          <cell r="C2682"/>
          <cell r="D2682"/>
          <cell r="E2682"/>
          <cell r="F2682"/>
          <cell r="G2682"/>
          <cell r="H2682"/>
          <cell r="I2682"/>
          <cell r="J2682"/>
          <cell r="K2682"/>
          <cell r="L2682"/>
        </row>
        <row r="2683">
          <cell r="C2683"/>
          <cell r="D2683"/>
          <cell r="E2683"/>
          <cell r="F2683"/>
          <cell r="G2683"/>
          <cell r="H2683"/>
          <cell r="I2683"/>
          <cell r="J2683"/>
          <cell r="K2683"/>
          <cell r="L2683"/>
        </row>
        <row r="2684">
          <cell r="C2684"/>
          <cell r="D2684"/>
          <cell r="E2684"/>
          <cell r="F2684"/>
          <cell r="G2684"/>
          <cell r="H2684"/>
          <cell r="I2684"/>
          <cell r="J2684"/>
          <cell r="K2684"/>
          <cell r="L2684"/>
        </row>
        <row r="2685">
          <cell r="C2685"/>
          <cell r="D2685"/>
          <cell r="E2685"/>
          <cell r="F2685"/>
          <cell r="G2685"/>
          <cell r="H2685"/>
          <cell r="I2685"/>
          <cell r="J2685"/>
          <cell r="K2685"/>
          <cell r="L2685"/>
        </row>
        <row r="2686">
          <cell r="C2686"/>
          <cell r="D2686"/>
          <cell r="E2686"/>
          <cell r="F2686"/>
          <cell r="G2686"/>
          <cell r="H2686"/>
          <cell r="I2686"/>
          <cell r="J2686"/>
          <cell r="K2686"/>
          <cell r="L2686"/>
        </row>
        <row r="2687">
          <cell r="C2687"/>
          <cell r="D2687"/>
          <cell r="E2687"/>
          <cell r="F2687"/>
          <cell r="G2687"/>
          <cell r="H2687"/>
          <cell r="I2687"/>
          <cell r="J2687"/>
          <cell r="K2687"/>
          <cell r="L2687"/>
        </row>
        <row r="2688">
          <cell r="C2688"/>
          <cell r="D2688"/>
          <cell r="E2688"/>
          <cell r="F2688"/>
          <cell r="G2688"/>
          <cell r="H2688"/>
          <cell r="I2688"/>
          <cell r="J2688"/>
          <cell r="K2688"/>
          <cell r="L2688"/>
        </row>
        <row r="2689">
          <cell r="C2689"/>
          <cell r="D2689"/>
          <cell r="E2689"/>
          <cell r="F2689"/>
          <cell r="G2689"/>
          <cell r="H2689"/>
          <cell r="I2689"/>
          <cell r="J2689"/>
          <cell r="K2689"/>
          <cell r="L2689"/>
        </row>
        <row r="2690">
          <cell r="C2690"/>
          <cell r="D2690"/>
          <cell r="E2690"/>
          <cell r="F2690"/>
          <cell r="G2690"/>
          <cell r="H2690"/>
          <cell r="I2690"/>
          <cell r="J2690"/>
          <cell r="K2690"/>
          <cell r="L2690"/>
        </row>
        <row r="2691">
          <cell r="C2691"/>
          <cell r="D2691"/>
          <cell r="E2691"/>
          <cell r="F2691"/>
          <cell r="G2691"/>
          <cell r="H2691"/>
          <cell r="I2691"/>
          <cell r="J2691"/>
          <cell r="K2691"/>
          <cell r="L2691"/>
        </row>
        <row r="2692">
          <cell r="C2692"/>
          <cell r="D2692"/>
          <cell r="E2692"/>
          <cell r="F2692"/>
          <cell r="G2692"/>
          <cell r="H2692"/>
          <cell r="I2692"/>
          <cell r="J2692"/>
          <cell r="K2692"/>
          <cell r="L2692"/>
        </row>
        <row r="2693">
          <cell r="C2693"/>
          <cell r="D2693"/>
          <cell r="E2693"/>
          <cell r="F2693"/>
          <cell r="G2693"/>
          <cell r="H2693"/>
          <cell r="I2693"/>
          <cell r="J2693"/>
          <cell r="K2693"/>
          <cell r="L2693"/>
        </row>
        <row r="2694">
          <cell r="C2694"/>
          <cell r="D2694"/>
          <cell r="E2694"/>
          <cell r="F2694"/>
          <cell r="G2694"/>
          <cell r="H2694"/>
          <cell r="I2694"/>
          <cell r="J2694"/>
          <cell r="K2694"/>
          <cell r="L2694"/>
        </row>
        <row r="2695">
          <cell r="C2695"/>
          <cell r="D2695"/>
          <cell r="E2695"/>
          <cell r="F2695"/>
          <cell r="G2695"/>
          <cell r="H2695"/>
          <cell r="I2695"/>
          <cell r="J2695"/>
          <cell r="K2695"/>
          <cell r="L2695"/>
        </row>
        <row r="2696">
          <cell r="C2696"/>
          <cell r="D2696"/>
          <cell r="E2696"/>
          <cell r="F2696"/>
          <cell r="G2696"/>
          <cell r="H2696"/>
          <cell r="I2696"/>
          <cell r="J2696"/>
          <cell r="K2696"/>
          <cell r="L2696"/>
        </row>
        <row r="2697">
          <cell r="C2697"/>
          <cell r="D2697"/>
          <cell r="E2697"/>
          <cell r="F2697"/>
          <cell r="G2697"/>
          <cell r="H2697"/>
          <cell r="I2697"/>
          <cell r="J2697"/>
          <cell r="K2697"/>
          <cell r="L2697"/>
        </row>
        <row r="2698">
          <cell r="C2698"/>
          <cell r="D2698"/>
          <cell r="E2698"/>
          <cell r="F2698"/>
          <cell r="G2698"/>
          <cell r="H2698"/>
          <cell r="I2698"/>
          <cell r="J2698"/>
          <cell r="K2698"/>
          <cell r="L2698"/>
        </row>
        <row r="2699">
          <cell r="C2699"/>
          <cell r="D2699"/>
          <cell r="E2699"/>
          <cell r="F2699"/>
          <cell r="G2699"/>
          <cell r="H2699"/>
          <cell r="I2699"/>
          <cell r="J2699"/>
          <cell r="K2699"/>
          <cell r="L2699"/>
        </row>
        <row r="2700">
          <cell r="C2700"/>
          <cell r="D2700"/>
          <cell r="E2700"/>
          <cell r="F2700"/>
          <cell r="G2700"/>
          <cell r="H2700"/>
          <cell r="I2700"/>
          <cell r="J2700"/>
          <cell r="K2700"/>
          <cell r="L2700"/>
        </row>
        <row r="2701">
          <cell r="C2701"/>
          <cell r="D2701"/>
          <cell r="E2701"/>
          <cell r="F2701"/>
          <cell r="G2701"/>
          <cell r="H2701"/>
          <cell r="I2701"/>
          <cell r="J2701"/>
          <cell r="K2701"/>
          <cell r="L2701"/>
        </row>
        <row r="2702">
          <cell r="C2702"/>
          <cell r="D2702"/>
          <cell r="E2702"/>
          <cell r="F2702"/>
          <cell r="G2702"/>
          <cell r="H2702"/>
          <cell r="I2702"/>
          <cell r="J2702"/>
          <cell r="K2702"/>
          <cell r="L2702"/>
        </row>
        <row r="2703">
          <cell r="C2703"/>
          <cell r="D2703"/>
          <cell r="E2703"/>
          <cell r="F2703"/>
          <cell r="G2703"/>
          <cell r="H2703"/>
          <cell r="I2703"/>
          <cell r="J2703"/>
          <cell r="K2703"/>
          <cell r="L2703"/>
        </row>
        <row r="2704">
          <cell r="C2704"/>
          <cell r="D2704"/>
          <cell r="E2704"/>
          <cell r="F2704"/>
          <cell r="G2704"/>
          <cell r="H2704"/>
          <cell r="I2704"/>
          <cell r="J2704"/>
          <cell r="K2704"/>
          <cell r="L2704"/>
        </row>
        <row r="2705">
          <cell r="C2705"/>
          <cell r="D2705"/>
          <cell r="E2705"/>
          <cell r="F2705"/>
          <cell r="G2705"/>
          <cell r="H2705"/>
          <cell r="I2705"/>
          <cell r="J2705"/>
          <cell r="K2705"/>
          <cell r="L2705"/>
        </row>
        <row r="2706">
          <cell r="C2706"/>
          <cell r="D2706"/>
          <cell r="E2706"/>
          <cell r="F2706"/>
          <cell r="G2706"/>
          <cell r="H2706"/>
          <cell r="I2706"/>
          <cell r="J2706"/>
          <cell r="K2706"/>
          <cell r="L2706"/>
        </row>
        <row r="2707">
          <cell r="C2707"/>
          <cell r="D2707"/>
          <cell r="E2707"/>
          <cell r="F2707"/>
          <cell r="G2707"/>
          <cell r="H2707"/>
          <cell r="I2707"/>
          <cell r="J2707"/>
          <cell r="K2707"/>
          <cell r="L2707"/>
        </row>
        <row r="2708">
          <cell r="C2708"/>
          <cell r="D2708"/>
          <cell r="E2708"/>
          <cell r="F2708"/>
          <cell r="G2708"/>
          <cell r="H2708"/>
          <cell r="I2708"/>
          <cell r="J2708"/>
          <cell r="K2708"/>
          <cell r="L2708"/>
        </row>
        <row r="2709">
          <cell r="C2709"/>
          <cell r="D2709"/>
          <cell r="E2709"/>
          <cell r="F2709"/>
          <cell r="G2709"/>
          <cell r="H2709"/>
          <cell r="I2709"/>
          <cell r="J2709"/>
          <cell r="K2709"/>
          <cell r="L2709"/>
        </row>
        <row r="2710">
          <cell r="C2710"/>
          <cell r="D2710"/>
          <cell r="E2710"/>
          <cell r="F2710"/>
          <cell r="G2710"/>
          <cell r="H2710"/>
          <cell r="I2710"/>
          <cell r="J2710"/>
          <cell r="K2710"/>
          <cell r="L2710"/>
        </row>
        <row r="2711">
          <cell r="C2711"/>
          <cell r="D2711"/>
          <cell r="E2711"/>
          <cell r="F2711"/>
          <cell r="G2711"/>
          <cell r="H2711"/>
          <cell r="I2711"/>
          <cell r="J2711"/>
          <cell r="K2711"/>
          <cell r="L2711"/>
        </row>
        <row r="2712">
          <cell r="C2712"/>
          <cell r="D2712"/>
          <cell r="E2712"/>
          <cell r="F2712"/>
          <cell r="G2712"/>
          <cell r="H2712"/>
          <cell r="I2712"/>
          <cell r="J2712"/>
          <cell r="K2712"/>
          <cell r="L2712"/>
        </row>
        <row r="2713">
          <cell r="C2713"/>
          <cell r="D2713"/>
          <cell r="E2713"/>
          <cell r="F2713"/>
          <cell r="G2713"/>
          <cell r="H2713"/>
          <cell r="I2713"/>
          <cell r="J2713"/>
          <cell r="K2713"/>
          <cell r="L2713"/>
        </row>
        <row r="2714">
          <cell r="C2714"/>
          <cell r="D2714"/>
          <cell r="E2714"/>
          <cell r="F2714"/>
          <cell r="G2714"/>
          <cell r="H2714"/>
          <cell r="I2714"/>
          <cell r="J2714"/>
          <cell r="K2714"/>
          <cell r="L2714"/>
        </row>
        <row r="2715">
          <cell r="C2715"/>
          <cell r="D2715"/>
          <cell r="E2715"/>
          <cell r="F2715"/>
          <cell r="G2715"/>
          <cell r="H2715"/>
          <cell r="I2715"/>
          <cell r="J2715"/>
          <cell r="K2715"/>
          <cell r="L2715"/>
        </row>
        <row r="2716">
          <cell r="C2716"/>
          <cell r="D2716"/>
          <cell r="E2716"/>
          <cell r="F2716"/>
          <cell r="G2716"/>
          <cell r="H2716"/>
          <cell r="I2716"/>
          <cell r="J2716"/>
          <cell r="K2716"/>
          <cell r="L2716"/>
        </row>
        <row r="2717">
          <cell r="C2717"/>
          <cell r="D2717"/>
          <cell r="E2717"/>
          <cell r="F2717"/>
          <cell r="G2717"/>
          <cell r="H2717"/>
          <cell r="I2717"/>
          <cell r="J2717"/>
          <cell r="K2717"/>
          <cell r="L2717"/>
        </row>
        <row r="2718">
          <cell r="C2718"/>
          <cell r="D2718"/>
          <cell r="E2718"/>
          <cell r="F2718"/>
          <cell r="G2718"/>
          <cell r="H2718"/>
          <cell r="I2718"/>
          <cell r="J2718"/>
          <cell r="K2718"/>
          <cell r="L2718"/>
        </row>
        <row r="2719">
          <cell r="C2719"/>
          <cell r="D2719"/>
          <cell r="E2719"/>
          <cell r="F2719"/>
          <cell r="G2719"/>
          <cell r="H2719"/>
          <cell r="I2719"/>
          <cell r="J2719"/>
          <cell r="K2719"/>
          <cell r="L2719"/>
        </row>
        <row r="2720">
          <cell r="C2720"/>
          <cell r="D2720"/>
          <cell r="E2720"/>
          <cell r="F2720"/>
          <cell r="G2720"/>
          <cell r="H2720"/>
          <cell r="I2720"/>
          <cell r="J2720"/>
          <cell r="K2720"/>
          <cell r="L2720"/>
        </row>
        <row r="2721">
          <cell r="C2721"/>
          <cell r="D2721"/>
          <cell r="E2721"/>
          <cell r="F2721"/>
          <cell r="G2721"/>
          <cell r="H2721"/>
          <cell r="I2721"/>
          <cell r="J2721"/>
          <cell r="K2721"/>
          <cell r="L2721"/>
        </row>
        <row r="2722">
          <cell r="C2722"/>
          <cell r="D2722"/>
          <cell r="E2722"/>
          <cell r="F2722"/>
          <cell r="G2722"/>
          <cell r="H2722"/>
          <cell r="I2722"/>
          <cell r="J2722"/>
          <cell r="K2722"/>
          <cell r="L2722"/>
        </row>
        <row r="2723">
          <cell r="C2723"/>
          <cell r="D2723"/>
          <cell r="E2723"/>
          <cell r="F2723"/>
          <cell r="G2723"/>
          <cell r="H2723"/>
          <cell r="I2723"/>
          <cell r="J2723"/>
          <cell r="K2723"/>
          <cell r="L2723"/>
        </row>
        <row r="2724">
          <cell r="C2724"/>
          <cell r="D2724"/>
          <cell r="E2724"/>
          <cell r="F2724"/>
          <cell r="G2724"/>
          <cell r="H2724"/>
          <cell r="I2724"/>
          <cell r="J2724"/>
          <cell r="K2724"/>
          <cell r="L2724"/>
        </row>
        <row r="2725">
          <cell r="C2725"/>
          <cell r="D2725"/>
          <cell r="E2725"/>
          <cell r="F2725"/>
          <cell r="G2725"/>
          <cell r="H2725"/>
          <cell r="I2725"/>
          <cell r="J2725"/>
          <cell r="K2725"/>
          <cell r="L2725"/>
        </row>
        <row r="2726">
          <cell r="C2726"/>
          <cell r="D2726"/>
          <cell r="E2726"/>
          <cell r="F2726"/>
          <cell r="G2726"/>
          <cell r="H2726"/>
          <cell r="I2726"/>
          <cell r="J2726"/>
          <cell r="K2726"/>
          <cell r="L2726"/>
        </row>
        <row r="2727">
          <cell r="C2727"/>
          <cell r="D2727"/>
          <cell r="E2727"/>
          <cell r="F2727"/>
          <cell r="G2727"/>
          <cell r="H2727"/>
          <cell r="I2727"/>
          <cell r="J2727"/>
          <cell r="K2727"/>
          <cell r="L2727"/>
        </row>
        <row r="2728">
          <cell r="C2728"/>
          <cell r="D2728"/>
          <cell r="E2728"/>
          <cell r="F2728"/>
          <cell r="G2728"/>
          <cell r="H2728"/>
          <cell r="I2728"/>
          <cell r="J2728"/>
          <cell r="K2728"/>
          <cell r="L2728"/>
        </row>
        <row r="2729">
          <cell r="C2729"/>
          <cell r="D2729"/>
          <cell r="E2729"/>
          <cell r="F2729"/>
          <cell r="G2729"/>
          <cell r="H2729"/>
          <cell r="I2729"/>
          <cell r="J2729"/>
          <cell r="K2729"/>
          <cell r="L2729"/>
        </row>
        <row r="2730">
          <cell r="C2730"/>
          <cell r="D2730"/>
          <cell r="E2730"/>
          <cell r="F2730"/>
          <cell r="G2730"/>
          <cell r="H2730"/>
          <cell r="I2730"/>
          <cell r="J2730"/>
          <cell r="K2730"/>
          <cell r="L2730"/>
        </row>
        <row r="2731">
          <cell r="C2731"/>
          <cell r="D2731"/>
          <cell r="E2731"/>
          <cell r="F2731"/>
          <cell r="G2731"/>
          <cell r="H2731"/>
          <cell r="I2731"/>
          <cell r="J2731"/>
          <cell r="K2731"/>
          <cell r="L2731"/>
        </row>
        <row r="2732">
          <cell r="C2732"/>
          <cell r="D2732"/>
          <cell r="E2732"/>
          <cell r="F2732"/>
          <cell r="G2732"/>
          <cell r="H2732"/>
          <cell r="I2732"/>
          <cell r="J2732"/>
          <cell r="K2732"/>
          <cell r="L2732"/>
        </row>
        <row r="2733">
          <cell r="C2733"/>
          <cell r="D2733"/>
          <cell r="E2733"/>
          <cell r="F2733"/>
          <cell r="G2733"/>
          <cell r="H2733"/>
          <cell r="I2733"/>
          <cell r="J2733"/>
          <cell r="K2733"/>
          <cell r="L2733"/>
        </row>
        <row r="2734">
          <cell r="C2734"/>
          <cell r="D2734"/>
          <cell r="E2734"/>
          <cell r="F2734"/>
          <cell r="G2734"/>
          <cell r="H2734"/>
          <cell r="I2734"/>
          <cell r="J2734"/>
          <cell r="K2734"/>
          <cell r="L2734"/>
        </row>
        <row r="2735">
          <cell r="C2735"/>
          <cell r="D2735"/>
          <cell r="E2735"/>
          <cell r="F2735"/>
          <cell r="G2735"/>
          <cell r="H2735"/>
          <cell r="I2735"/>
          <cell r="J2735"/>
          <cell r="K2735"/>
          <cell r="L2735"/>
        </row>
        <row r="2736">
          <cell r="C2736"/>
          <cell r="D2736"/>
          <cell r="E2736"/>
          <cell r="F2736"/>
          <cell r="G2736"/>
          <cell r="H2736"/>
          <cell r="I2736"/>
          <cell r="J2736"/>
          <cell r="K2736"/>
          <cell r="L2736"/>
        </row>
        <row r="2737">
          <cell r="C2737"/>
          <cell r="D2737"/>
          <cell r="E2737"/>
          <cell r="F2737"/>
          <cell r="G2737"/>
          <cell r="H2737"/>
          <cell r="I2737"/>
          <cell r="J2737"/>
          <cell r="K2737"/>
          <cell r="L2737"/>
        </row>
        <row r="2738">
          <cell r="C2738"/>
          <cell r="D2738"/>
          <cell r="E2738"/>
          <cell r="F2738"/>
          <cell r="G2738"/>
          <cell r="H2738"/>
          <cell r="I2738"/>
          <cell r="J2738"/>
          <cell r="K2738"/>
          <cell r="L2738"/>
        </row>
        <row r="2739">
          <cell r="C2739"/>
          <cell r="D2739"/>
          <cell r="E2739"/>
          <cell r="F2739"/>
          <cell r="G2739"/>
          <cell r="H2739"/>
          <cell r="I2739"/>
          <cell r="J2739"/>
          <cell r="K2739"/>
          <cell r="L2739"/>
        </row>
        <row r="2740">
          <cell r="C2740"/>
          <cell r="D2740"/>
          <cell r="E2740"/>
          <cell r="F2740"/>
          <cell r="G2740"/>
          <cell r="H2740"/>
          <cell r="I2740"/>
          <cell r="J2740"/>
          <cell r="K2740"/>
          <cell r="L2740"/>
        </row>
        <row r="2741">
          <cell r="C2741"/>
          <cell r="D2741"/>
          <cell r="E2741"/>
          <cell r="F2741"/>
          <cell r="G2741"/>
          <cell r="H2741"/>
          <cell r="I2741"/>
          <cell r="J2741"/>
          <cell r="K2741"/>
          <cell r="L2741"/>
        </row>
        <row r="2742">
          <cell r="C2742"/>
          <cell r="D2742"/>
          <cell r="E2742"/>
          <cell r="F2742"/>
          <cell r="G2742"/>
          <cell r="H2742"/>
          <cell r="I2742"/>
          <cell r="J2742"/>
          <cell r="K2742"/>
          <cell r="L2742"/>
        </row>
        <row r="2743">
          <cell r="C2743"/>
          <cell r="D2743"/>
          <cell r="E2743"/>
          <cell r="F2743"/>
          <cell r="G2743"/>
          <cell r="H2743"/>
          <cell r="I2743"/>
          <cell r="J2743"/>
          <cell r="K2743"/>
          <cell r="L2743"/>
        </row>
        <row r="2744">
          <cell r="C2744"/>
          <cell r="D2744"/>
          <cell r="E2744"/>
          <cell r="F2744"/>
          <cell r="G2744"/>
          <cell r="H2744"/>
          <cell r="I2744"/>
          <cell r="J2744"/>
          <cell r="K2744"/>
          <cell r="L2744"/>
        </row>
        <row r="2745">
          <cell r="C2745"/>
          <cell r="D2745"/>
          <cell r="E2745"/>
          <cell r="F2745"/>
          <cell r="G2745"/>
          <cell r="H2745"/>
          <cell r="I2745"/>
          <cell r="J2745"/>
          <cell r="K2745"/>
          <cell r="L2745"/>
        </row>
        <row r="2746">
          <cell r="C2746"/>
          <cell r="D2746"/>
          <cell r="E2746"/>
          <cell r="F2746"/>
          <cell r="G2746"/>
          <cell r="H2746"/>
          <cell r="I2746"/>
          <cell r="J2746"/>
          <cell r="K2746"/>
          <cell r="L2746"/>
        </row>
        <row r="2747">
          <cell r="C2747"/>
          <cell r="D2747"/>
          <cell r="E2747"/>
          <cell r="F2747"/>
          <cell r="G2747"/>
          <cell r="H2747"/>
          <cell r="I2747"/>
          <cell r="J2747"/>
          <cell r="K2747"/>
          <cell r="L2747"/>
        </row>
        <row r="2748">
          <cell r="C2748"/>
          <cell r="D2748"/>
          <cell r="E2748"/>
          <cell r="F2748"/>
          <cell r="G2748"/>
          <cell r="H2748"/>
          <cell r="I2748"/>
          <cell r="J2748"/>
          <cell r="K2748"/>
          <cell r="L2748"/>
        </row>
        <row r="2749">
          <cell r="C2749"/>
          <cell r="D2749"/>
          <cell r="E2749"/>
          <cell r="F2749"/>
          <cell r="G2749"/>
          <cell r="H2749"/>
          <cell r="I2749"/>
          <cell r="J2749"/>
          <cell r="K2749"/>
          <cell r="L2749"/>
        </row>
        <row r="2750">
          <cell r="C2750"/>
          <cell r="D2750"/>
          <cell r="E2750"/>
          <cell r="F2750"/>
          <cell r="G2750"/>
          <cell r="H2750"/>
          <cell r="I2750"/>
          <cell r="J2750"/>
          <cell r="K2750"/>
          <cell r="L2750"/>
        </row>
        <row r="2751">
          <cell r="C2751"/>
          <cell r="D2751"/>
          <cell r="E2751"/>
          <cell r="F2751"/>
          <cell r="G2751"/>
          <cell r="H2751"/>
          <cell r="I2751"/>
          <cell r="J2751"/>
          <cell r="K2751"/>
          <cell r="L2751"/>
        </row>
        <row r="2752">
          <cell r="C2752"/>
          <cell r="D2752"/>
          <cell r="E2752"/>
          <cell r="F2752"/>
          <cell r="G2752"/>
          <cell r="H2752"/>
          <cell r="I2752"/>
          <cell r="J2752"/>
          <cell r="K2752"/>
          <cell r="L2752"/>
        </row>
        <row r="2753">
          <cell r="C2753"/>
          <cell r="D2753"/>
          <cell r="E2753"/>
          <cell r="F2753"/>
          <cell r="G2753"/>
          <cell r="H2753"/>
          <cell r="I2753"/>
          <cell r="J2753"/>
          <cell r="K2753"/>
          <cell r="L2753"/>
        </row>
        <row r="2754">
          <cell r="C2754"/>
          <cell r="D2754"/>
          <cell r="E2754"/>
          <cell r="F2754"/>
          <cell r="G2754"/>
          <cell r="H2754"/>
          <cell r="I2754"/>
          <cell r="J2754"/>
          <cell r="K2754"/>
          <cell r="L2754"/>
        </row>
        <row r="2755">
          <cell r="C2755"/>
          <cell r="D2755"/>
          <cell r="E2755"/>
          <cell r="F2755"/>
          <cell r="G2755"/>
          <cell r="H2755"/>
          <cell r="I2755"/>
          <cell r="J2755"/>
          <cell r="K2755"/>
          <cell r="L2755"/>
        </row>
        <row r="2756">
          <cell r="C2756"/>
          <cell r="D2756"/>
          <cell r="E2756"/>
          <cell r="F2756"/>
          <cell r="G2756"/>
          <cell r="H2756"/>
          <cell r="I2756"/>
          <cell r="J2756"/>
          <cell r="K2756"/>
          <cell r="L2756"/>
        </row>
        <row r="2757">
          <cell r="C2757"/>
          <cell r="D2757"/>
          <cell r="E2757"/>
          <cell r="F2757"/>
          <cell r="G2757"/>
          <cell r="H2757"/>
          <cell r="I2757"/>
          <cell r="J2757"/>
          <cell r="K2757"/>
          <cell r="L2757"/>
        </row>
        <row r="2758">
          <cell r="C2758"/>
          <cell r="D2758"/>
          <cell r="E2758"/>
          <cell r="F2758"/>
          <cell r="G2758"/>
          <cell r="H2758"/>
          <cell r="I2758"/>
          <cell r="J2758"/>
          <cell r="K2758"/>
          <cell r="L2758"/>
        </row>
        <row r="2759">
          <cell r="C2759"/>
          <cell r="D2759"/>
          <cell r="E2759"/>
          <cell r="F2759"/>
          <cell r="G2759"/>
          <cell r="H2759"/>
          <cell r="I2759"/>
          <cell r="J2759"/>
          <cell r="K2759"/>
          <cell r="L2759"/>
        </row>
        <row r="2760">
          <cell r="C2760"/>
          <cell r="D2760"/>
          <cell r="E2760"/>
          <cell r="F2760"/>
          <cell r="G2760"/>
          <cell r="H2760"/>
          <cell r="I2760"/>
          <cell r="J2760"/>
          <cell r="K2760"/>
          <cell r="L2760"/>
        </row>
        <row r="2761">
          <cell r="C2761"/>
          <cell r="D2761"/>
          <cell r="E2761"/>
          <cell r="F2761"/>
          <cell r="G2761"/>
          <cell r="H2761"/>
          <cell r="I2761"/>
          <cell r="J2761"/>
          <cell r="K2761"/>
          <cell r="L2761"/>
        </row>
        <row r="2762">
          <cell r="C2762"/>
          <cell r="D2762"/>
          <cell r="E2762"/>
          <cell r="F2762"/>
          <cell r="G2762"/>
          <cell r="H2762"/>
          <cell r="I2762"/>
          <cell r="J2762"/>
          <cell r="K2762"/>
          <cell r="L2762"/>
        </row>
        <row r="2763">
          <cell r="C2763"/>
          <cell r="D2763"/>
          <cell r="E2763"/>
          <cell r="F2763"/>
          <cell r="G2763"/>
          <cell r="H2763"/>
          <cell r="I2763"/>
          <cell r="J2763"/>
          <cell r="K2763"/>
          <cell r="L2763"/>
        </row>
        <row r="2764">
          <cell r="C2764"/>
          <cell r="D2764"/>
          <cell r="E2764"/>
          <cell r="F2764"/>
          <cell r="G2764"/>
          <cell r="H2764"/>
          <cell r="I2764"/>
          <cell r="J2764"/>
          <cell r="K2764"/>
          <cell r="L2764"/>
        </row>
        <row r="2765">
          <cell r="C2765"/>
          <cell r="D2765"/>
          <cell r="E2765"/>
          <cell r="F2765"/>
          <cell r="G2765"/>
          <cell r="H2765"/>
          <cell r="I2765"/>
          <cell r="J2765"/>
          <cell r="K2765"/>
          <cell r="L2765"/>
        </row>
        <row r="2766">
          <cell r="C2766"/>
          <cell r="D2766"/>
          <cell r="E2766"/>
          <cell r="F2766"/>
          <cell r="G2766"/>
          <cell r="H2766"/>
          <cell r="I2766"/>
          <cell r="J2766"/>
          <cell r="K2766"/>
          <cell r="L2766"/>
        </row>
        <row r="2767">
          <cell r="C2767"/>
          <cell r="D2767"/>
          <cell r="E2767"/>
          <cell r="F2767"/>
          <cell r="G2767"/>
          <cell r="H2767"/>
          <cell r="I2767"/>
          <cell r="J2767"/>
          <cell r="K2767"/>
          <cell r="L2767"/>
        </row>
        <row r="2768">
          <cell r="C2768"/>
          <cell r="D2768"/>
          <cell r="E2768"/>
          <cell r="F2768"/>
          <cell r="G2768"/>
          <cell r="H2768"/>
          <cell r="I2768"/>
          <cell r="J2768"/>
          <cell r="K2768"/>
          <cell r="L2768"/>
        </row>
        <row r="2769">
          <cell r="C2769"/>
          <cell r="D2769"/>
          <cell r="E2769"/>
          <cell r="F2769"/>
          <cell r="G2769"/>
          <cell r="H2769"/>
          <cell r="I2769"/>
          <cell r="J2769"/>
          <cell r="K2769"/>
          <cell r="L2769"/>
        </row>
        <row r="2770">
          <cell r="C2770"/>
          <cell r="D2770"/>
          <cell r="E2770"/>
          <cell r="F2770"/>
          <cell r="G2770"/>
          <cell r="H2770"/>
          <cell r="I2770"/>
          <cell r="J2770"/>
          <cell r="K2770"/>
          <cell r="L2770"/>
        </row>
        <row r="2771">
          <cell r="C2771"/>
          <cell r="D2771"/>
          <cell r="E2771"/>
          <cell r="F2771"/>
          <cell r="G2771"/>
          <cell r="H2771"/>
          <cell r="I2771"/>
          <cell r="J2771"/>
          <cell r="K2771"/>
          <cell r="L2771"/>
        </row>
        <row r="2772">
          <cell r="C2772"/>
          <cell r="D2772"/>
          <cell r="E2772"/>
          <cell r="F2772"/>
          <cell r="G2772"/>
          <cell r="H2772"/>
          <cell r="I2772"/>
          <cell r="J2772"/>
          <cell r="K2772"/>
          <cell r="L2772"/>
        </row>
        <row r="2773">
          <cell r="C2773"/>
          <cell r="D2773"/>
          <cell r="E2773"/>
          <cell r="F2773"/>
          <cell r="G2773"/>
          <cell r="H2773"/>
          <cell r="I2773"/>
          <cell r="J2773"/>
          <cell r="K2773"/>
          <cell r="L2773"/>
        </row>
        <row r="2774">
          <cell r="C2774"/>
          <cell r="D2774"/>
          <cell r="E2774"/>
          <cell r="F2774"/>
          <cell r="G2774"/>
          <cell r="H2774"/>
          <cell r="I2774"/>
          <cell r="J2774"/>
          <cell r="K2774"/>
          <cell r="L2774"/>
        </row>
        <row r="2775">
          <cell r="C2775"/>
          <cell r="D2775"/>
          <cell r="E2775"/>
          <cell r="F2775"/>
          <cell r="G2775"/>
          <cell r="H2775"/>
          <cell r="I2775"/>
          <cell r="J2775"/>
          <cell r="K2775"/>
          <cell r="L2775"/>
        </row>
        <row r="2776">
          <cell r="C2776"/>
          <cell r="D2776"/>
          <cell r="E2776"/>
          <cell r="F2776"/>
          <cell r="G2776"/>
          <cell r="H2776"/>
          <cell r="I2776"/>
          <cell r="J2776"/>
          <cell r="K2776"/>
          <cell r="L2776"/>
        </row>
        <row r="2777">
          <cell r="C2777"/>
          <cell r="D2777"/>
          <cell r="E2777"/>
          <cell r="F2777"/>
          <cell r="G2777"/>
          <cell r="H2777"/>
          <cell r="I2777"/>
          <cell r="J2777"/>
          <cell r="K2777"/>
          <cell r="L2777"/>
        </row>
        <row r="2778">
          <cell r="C2778"/>
          <cell r="D2778"/>
          <cell r="E2778"/>
          <cell r="F2778"/>
          <cell r="G2778"/>
          <cell r="H2778"/>
          <cell r="I2778"/>
          <cell r="J2778"/>
          <cell r="K2778"/>
          <cell r="L2778"/>
        </row>
        <row r="2779">
          <cell r="C2779"/>
          <cell r="D2779"/>
          <cell r="E2779"/>
          <cell r="F2779"/>
          <cell r="G2779"/>
          <cell r="H2779"/>
          <cell r="I2779"/>
          <cell r="J2779"/>
          <cell r="K2779"/>
          <cell r="L2779"/>
        </row>
        <row r="2780">
          <cell r="C2780"/>
          <cell r="D2780"/>
          <cell r="E2780"/>
          <cell r="F2780"/>
          <cell r="G2780"/>
          <cell r="H2780"/>
          <cell r="I2780"/>
          <cell r="J2780"/>
          <cell r="K2780"/>
          <cell r="L2780"/>
        </row>
        <row r="2781">
          <cell r="C2781"/>
          <cell r="D2781"/>
          <cell r="E2781"/>
          <cell r="F2781"/>
          <cell r="G2781"/>
          <cell r="H2781"/>
          <cell r="I2781"/>
          <cell r="J2781"/>
          <cell r="K2781"/>
          <cell r="L2781"/>
        </row>
        <row r="2782">
          <cell r="C2782"/>
          <cell r="D2782"/>
          <cell r="E2782"/>
          <cell r="F2782"/>
          <cell r="G2782"/>
          <cell r="H2782"/>
          <cell r="I2782"/>
          <cell r="J2782"/>
          <cell r="K2782"/>
          <cell r="L2782"/>
        </row>
        <row r="2783">
          <cell r="C2783"/>
          <cell r="D2783"/>
          <cell r="E2783"/>
          <cell r="F2783"/>
          <cell r="G2783"/>
          <cell r="H2783"/>
          <cell r="I2783"/>
          <cell r="J2783"/>
          <cell r="K2783"/>
          <cell r="L2783"/>
        </row>
        <row r="2784">
          <cell r="C2784"/>
          <cell r="D2784"/>
          <cell r="E2784"/>
          <cell r="F2784"/>
          <cell r="G2784"/>
          <cell r="H2784"/>
          <cell r="I2784"/>
          <cell r="J2784"/>
          <cell r="K2784"/>
          <cell r="L2784"/>
        </row>
        <row r="2785">
          <cell r="C2785"/>
          <cell r="D2785"/>
          <cell r="E2785"/>
          <cell r="F2785"/>
          <cell r="G2785"/>
          <cell r="H2785"/>
          <cell r="I2785"/>
          <cell r="J2785"/>
          <cell r="K2785"/>
          <cell r="L2785"/>
        </row>
        <row r="2786">
          <cell r="C2786"/>
          <cell r="D2786"/>
          <cell r="E2786"/>
          <cell r="F2786"/>
          <cell r="G2786"/>
          <cell r="H2786"/>
          <cell r="I2786"/>
          <cell r="J2786"/>
          <cell r="K2786"/>
          <cell r="L2786"/>
        </row>
        <row r="2787">
          <cell r="C2787"/>
          <cell r="D2787"/>
          <cell r="E2787"/>
          <cell r="F2787"/>
          <cell r="G2787"/>
          <cell r="H2787"/>
          <cell r="I2787"/>
          <cell r="J2787"/>
          <cell r="K2787"/>
          <cell r="L2787"/>
        </row>
        <row r="2788">
          <cell r="C2788"/>
          <cell r="D2788"/>
          <cell r="E2788"/>
          <cell r="F2788"/>
          <cell r="G2788"/>
          <cell r="H2788"/>
          <cell r="I2788"/>
          <cell r="J2788"/>
          <cell r="K2788"/>
          <cell r="L2788"/>
        </row>
        <row r="2789">
          <cell r="C2789"/>
          <cell r="D2789"/>
          <cell r="E2789"/>
          <cell r="F2789"/>
          <cell r="G2789"/>
          <cell r="H2789"/>
          <cell r="I2789"/>
          <cell r="J2789"/>
          <cell r="K2789"/>
          <cell r="L2789"/>
        </row>
        <row r="2790">
          <cell r="C2790"/>
          <cell r="D2790"/>
          <cell r="E2790"/>
          <cell r="F2790"/>
          <cell r="G2790"/>
          <cell r="H2790"/>
          <cell r="I2790"/>
          <cell r="J2790"/>
          <cell r="K2790"/>
          <cell r="L2790"/>
        </row>
        <row r="2791">
          <cell r="C2791"/>
          <cell r="D2791"/>
          <cell r="E2791"/>
          <cell r="F2791"/>
          <cell r="G2791"/>
          <cell r="H2791"/>
          <cell r="I2791"/>
          <cell r="J2791"/>
          <cell r="K2791"/>
          <cell r="L2791"/>
        </row>
        <row r="2792">
          <cell r="C2792"/>
          <cell r="D2792"/>
          <cell r="E2792"/>
          <cell r="F2792"/>
          <cell r="G2792"/>
          <cell r="H2792"/>
          <cell r="I2792"/>
          <cell r="J2792"/>
          <cell r="K2792"/>
          <cell r="L2792"/>
        </row>
        <row r="2793">
          <cell r="C2793"/>
          <cell r="D2793"/>
          <cell r="E2793"/>
          <cell r="F2793"/>
          <cell r="G2793"/>
          <cell r="H2793"/>
          <cell r="I2793"/>
          <cell r="J2793"/>
          <cell r="K2793"/>
          <cell r="L2793"/>
        </row>
        <row r="2794">
          <cell r="C2794"/>
          <cell r="D2794"/>
          <cell r="E2794"/>
          <cell r="F2794"/>
          <cell r="G2794"/>
          <cell r="H2794"/>
          <cell r="I2794"/>
          <cell r="J2794"/>
          <cell r="K2794"/>
          <cell r="L2794"/>
        </row>
        <row r="2795">
          <cell r="C2795"/>
          <cell r="D2795"/>
          <cell r="E2795"/>
          <cell r="F2795"/>
          <cell r="G2795"/>
          <cell r="H2795"/>
          <cell r="I2795"/>
          <cell r="J2795"/>
          <cell r="K2795"/>
          <cell r="L2795"/>
        </row>
        <row r="2796">
          <cell r="C2796"/>
          <cell r="D2796"/>
          <cell r="E2796"/>
          <cell r="F2796"/>
          <cell r="G2796"/>
          <cell r="H2796"/>
          <cell r="I2796"/>
          <cell r="J2796"/>
          <cell r="K2796"/>
          <cell r="L2796"/>
        </row>
        <row r="2797">
          <cell r="C2797"/>
          <cell r="D2797"/>
          <cell r="E2797"/>
          <cell r="F2797"/>
          <cell r="G2797"/>
          <cell r="H2797"/>
          <cell r="I2797"/>
          <cell r="J2797"/>
          <cell r="K2797"/>
          <cell r="L2797"/>
        </row>
        <row r="2798">
          <cell r="C2798"/>
          <cell r="D2798"/>
          <cell r="E2798"/>
          <cell r="F2798"/>
          <cell r="G2798"/>
          <cell r="H2798"/>
          <cell r="I2798"/>
          <cell r="J2798"/>
          <cell r="K2798"/>
          <cell r="L2798"/>
        </row>
        <row r="2799">
          <cell r="C2799"/>
          <cell r="D2799"/>
          <cell r="E2799"/>
          <cell r="F2799"/>
          <cell r="G2799"/>
          <cell r="H2799"/>
          <cell r="I2799"/>
          <cell r="J2799"/>
          <cell r="K2799"/>
          <cell r="L2799"/>
        </row>
        <row r="2800">
          <cell r="C2800"/>
          <cell r="D2800"/>
          <cell r="E2800"/>
          <cell r="F2800"/>
          <cell r="G2800"/>
          <cell r="H2800"/>
          <cell r="I2800"/>
          <cell r="J2800"/>
          <cell r="K2800"/>
          <cell r="L2800"/>
        </row>
        <row r="2801">
          <cell r="C2801"/>
          <cell r="D2801"/>
          <cell r="E2801"/>
          <cell r="F2801"/>
          <cell r="G2801"/>
          <cell r="H2801"/>
          <cell r="I2801"/>
          <cell r="J2801"/>
          <cell r="K2801"/>
          <cell r="L2801"/>
        </row>
        <row r="2802">
          <cell r="C2802"/>
          <cell r="D2802"/>
          <cell r="E2802"/>
          <cell r="F2802"/>
          <cell r="G2802"/>
          <cell r="H2802"/>
          <cell r="I2802"/>
          <cell r="J2802"/>
          <cell r="K2802"/>
          <cell r="L2802"/>
        </row>
        <row r="2803">
          <cell r="C2803"/>
          <cell r="D2803"/>
          <cell r="E2803"/>
          <cell r="F2803"/>
          <cell r="G2803"/>
          <cell r="H2803"/>
          <cell r="I2803"/>
          <cell r="J2803"/>
          <cell r="K2803"/>
          <cell r="L2803"/>
        </row>
        <row r="2804">
          <cell r="C2804"/>
          <cell r="D2804"/>
          <cell r="E2804"/>
          <cell r="F2804"/>
          <cell r="G2804"/>
          <cell r="H2804"/>
          <cell r="I2804"/>
          <cell r="J2804"/>
          <cell r="K2804"/>
          <cell r="L2804"/>
        </row>
        <row r="2805">
          <cell r="C2805"/>
          <cell r="D2805"/>
          <cell r="E2805"/>
          <cell r="F2805"/>
          <cell r="G2805"/>
          <cell r="H2805"/>
          <cell r="I2805"/>
          <cell r="J2805"/>
          <cell r="K2805"/>
          <cell r="L2805"/>
        </row>
        <row r="2806">
          <cell r="C2806"/>
          <cell r="D2806"/>
          <cell r="E2806"/>
          <cell r="F2806"/>
          <cell r="G2806"/>
          <cell r="H2806"/>
          <cell r="I2806"/>
          <cell r="J2806"/>
          <cell r="K2806"/>
          <cell r="L2806"/>
        </row>
        <row r="2807">
          <cell r="C2807"/>
          <cell r="D2807"/>
          <cell r="E2807"/>
          <cell r="F2807"/>
          <cell r="G2807"/>
          <cell r="H2807"/>
          <cell r="I2807"/>
          <cell r="J2807"/>
          <cell r="K2807"/>
          <cell r="L2807"/>
        </row>
        <row r="2808">
          <cell r="C2808"/>
          <cell r="D2808"/>
          <cell r="E2808"/>
          <cell r="F2808"/>
          <cell r="G2808"/>
          <cell r="H2808"/>
          <cell r="I2808"/>
          <cell r="J2808"/>
          <cell r="K2808"/>
          <cell r="L2808"/>
        </row>
        <row r="2809">
          <cell r="C2809"/>
          <cell r="D2809"/>
          <cell r="E2809"/>
          <cell r="F2809"/>
          <cell r="G2809"/>
          <cell r="H2809"/>
          <cell r="I2809"/>
          <cell r="J2809"/>
          <cell r="K2809"/>
          <cell r="L2809"/>
        </row>
        <row r="2810">
          <cell r="C2810"/>
          <cell r="D2810"/>
          <cell r="E2810"/>
          <cell r="F2810"/>
          <cell r="G2810"/>
          <cell r="H2810"/>
          <cell r="I2810"/>
          <cell r="J2810"/>
          <cell r="K2810"/>
          <cell r="L2810"/>
        </row>
        <row r="2811">
          <cell r="C2811"/>
          <cell r="D2811"/>
          <cell r="E2811"/>
          <cell r="F2811"/>
          <cell r="G2811"/>
          <cell r="H2811"/>
          <cell r="I2811"/>
          <cell r="J2811"/>
          <cell r="K2811"/>
          <cell r="L2811"/>
        </row>
        <row r="2812">
          <cell r="C2812"/>
          <cell r="D2812"/>
          <cell r="E2812"/>
          <cell r="F2812"/>
          <cell r="G2812"/>
          <cell r="H2812"/>
          <cell r="I2812"/>
          <cell r="J2812"/>
          <cell r="K2812"/>
          <cell r="L2812"/>
        </row>
        <row r="2813">
          <cell r="C2813"/>
          <cell r="D2813"/>
          <cell r="E2813"/>
          <cell r="F2813"/>
          <cell r="G2813"/>
          <cell r="H2813"/>
          <cell r="I2813"/>
          <cell r="J2813"/>
          <cell r="K2813"/>
          <cell r="L2813"/>
        </row>
        <row r="2814">
          <cell r="C2814"/>
          <cell r="D2814"/>
          <cell r="E2814"/>
          <cell r="F2814"/>
          <cell r="G2814"/>
          <cell r="H2814"/>
          <cell r="I2814"/>
          <cell r="J2814"/>
          <cell r="K2814"/>
          <cell r="L2814"/>
        </row>
        <row r="2815">
          <cell r="C2815"/>
          <cell r="D2815"/>
          <cell r="E2815"/>
          <cell r="F2815"/>
          <cell r="G2815"/>
          <cell r="H2815"/>
          <cell r="I2815"/>
          <cell r="J2815"/>
          <cell r="K2815"/>
          <cell r="L2815"/>
        </row>
        <row r="2816">
          <cell r="C2816"/>
          <cell r="D2816"/>
          <cell r="E2816"/>
          <cell r="F2816"/>
          <cell r="G2816"/>
          <cell r="H2816"/>
          <cell r="I2816"/>
          <cell r="J2816"/>
          <cell r="K2816"/>
          <cell r="L2816"/>
        </row>
        <row r="2817">
          <cell r="C2817"/>
          <cell r="D2817"/>
          <cell r="E2817"/>
          <cell r="F2817"/>
          <cell r="G2817"/>
          <cell r="H2817"/>
          <cell r="I2817"/>
          <cell r="J2817"/>
          <cell r="K2817"/>
          <cell r="L2817"/>
        </row>
        <row r="2818">
          <cell r="C2818"/>
          <cell r="D2818"/>
          <cell r="E2818"/>
          <cell r="F2818"/>
          <cell r="G2818"/>
          <cell r="H2818"/>
          <cell r="I2818"/>
          <cell r="J2818"/>
          <cell r="K2818"/>
          <cell r="L2818"/>
        </row>
        <row r="2819">
          <cell r="C2819"/>
          <cell r="D2819"/>
          <cell r="E2819"/>
          <cell r="F2819"/>
          <cell r="G2819"/>
          <cell r="H2819"/>
          <cell r="I2819"/>
          <cell r="J2819"/>
          <cell r="K2819"/>
          <cell r="L2819"/>
        </row>
        <row r="2820">
          <cell r="C2820"/>
          <cell r="D2820"/>
          <cell r="E2820"/>
          <cell r="F2820"/>
          <cell r="G2820"/>
          <cell r="H2820"/>
          <cell r="I2820"/>
          <cell r="J2820"/>
          <cell r="K2820"/>
          <cell r="L2820"/>
        </row>
        <row r="2821">
          <cell r="C2821"/>
          <cell r="D2821"/>
          <cell r="E2821"/>
          <cell r="F2821"/>
          <cell r="G2821"/>
          <cell r="H2821"/>
          <cell r="I2821"/>
          <cell r="J2821"/>
          <cell r="K2821"/>
          <cell r="L2821"/>
        </row>
        <row r="2822">
          <cell r="C2822"/>
          <cell r="D2822"/>
          <cell r="E2822"/>
          <cell r="F2822"/>
          <cell r="G2822"/>
          <cell r="H2822"/>
          <cell r="I2822"/>
          <cell r="J2822"/>
          <cell r="K2822"/>
          <cell r="L2822"/>
        </row>
        <row r="2823">
          <cell r="C2823"/>
          <cell r="D2823"/>
          <cell r="E2823"/>
          <cell r="F2823"/>
          <cell r="G2823"/>
          <cell r="H2823"/>
          <cell r="I2823"/>
          <cell r="J2823"/>
          <cell r="K2823"/>
          <cell r="L2823"/>
        </row>
        <row r="2824">
          <cell r="C2824"/>
          <cell r="D2824"/>
          <cell r="E2824"/>
          <cell r="F2824"/>
          <cell r="G2824"/>
          <cell r="H2824"/>
          <cell r="I2824"/>
          <cell r="J2824"/>
          <cell r="K2824"/>
          <cell r="L2824"/>
        </row>
        <row r="2825">
          <cell r="C2825"/>
          <cell r="D2825"/>
          <cell r="E2825"/>
          <cell r="F2825"/>
          <cell r="G2825"/>
          <cell r="H2825"/>
          <cell r="I2825"/>
          <cell r="J2825"/>
          <cell r="K2825"/>
          <cell r="L2825"/>
        </row>
        <row r="2826">
          <cell r="C2826"/>
          <cell r="D2826"/>
          <cell r="E2826"/>
          <cell r="F2826"/>
          <cell r="G2826"/>
          <cell r="H2826"/>
          <cell r="I2826"/>
          <cell r="J2826"/>
          <cell r="K2826"/>
          <cell r="L2826"/>
        </row>
        <row r="2827">
          <cell r="C2827"/>
          <cell r="D2827"/>
          <cell r="E2827"/>
          <cell r="F2827"/>
          <cell r="G2827"/>
          <cell r="H2827"/>
          <cell r="I2827"/>
          <cell r="J2827"/>
          <cell r="K2827"/>
          <cell r="L2827"/>
        </row>
        <row r="2828">
          <cell r="C2828"/>
          <cell r="D2828"/>
          <cell r="E2828"/>
          <cell r="F2828"/>
          <cell r="G2828"/>
          <cell r="H2828"/>
          <cell r="I2828"/>
          <cell r="J2828"/>
          <cell r="K2828"/>
          <cell r="L2828"/>
        </row>
        <row r="2829">
          <cell r="C2829"/>
          <cell r="D2829"/>
          <cell r="E2829"/>
          <cell r="F2829"/>
          <cell r="G2829"/>
          <cell r="H2829"/>
          <cell r="I2829"/>
          <cell r="J2829"/>
          <cell r="K2829"/>
          <cell r="L2829"/>
        </row>
        <row r="2830">
          <cell r="C2830"/>
          <cell r="D2830"/>
          <cell r="E2830"/>
          <cell r="F2830"/>
          <cell r="G2830"/>
          <cell r="H2830"/>
          <cell r="I2830"/>
          <cell r="J2830"/>
          <cell r="K2830"/>
          <cell r="L2830"/>
        </row>
        <row r="2831">
          <cell r="C2831"/>
          <cell r="D2831"/>
          <cell r="E2831"/>
          <cell r="F2831"/>
          <cell r="G2831"/>
          <cell r="H2831"/>
          <cell r="I2831"/>
          <cell r="J2831"/>
          <cell r="K2831"/>
          <cell r="L2831"/>
        </row>
        <row r="2832">
          <cell r="C2832"/>
          <cell r="D2832"/>
          <cell r="E2832"/>
          <cell r="F2832"/>
          <cell r="G2832"/>
          <cell r="H2832"/>
          <cell r="I2832"/>
          <cell r="J2832"/>
          <cell r="K2832"/>
          <cell r="L2832"/>
        </row>
        <row r="2833">
          <cell r="C2833"/>
          <cell r="D2833"/>
          <cell r="E2833"/>
          <cell r="F2833"/>
          <cell r="G2833"/>
          <cell r="H2833"/>
          <cell r="I2833"/>
          <cell r="J2833"/>
          <cell r="K2833"/>
          <cell r="L2833"/>
        </row>
        <row r="2834">
          <cell r="C2834"/>
          <cell r="D2834"/>
          <cell r="E2834"/>
          <cell r="F2834"/>
          <cell r="G2834"/>
          <cell r="H2834"/>
          <cell r="I2834"/>
          <cell r="J2834"/>
          <cell r="K2834"/>
          <cell r="L2834"/>
        </row>
        <row r="2835">
          <cell r="C2835"/>
          <cell r="D2835"/>
          <cell r="E2835"/>
          <cell r="F2835"/>
          <cell r="G2835"/>
          <cell r="H2835"/>
          <cell r="I2835"/>
          <cell r="J2835"/>
          <cell r="K2835"/>
          <cell r="L2835"/>
        </row>
        <row r="2836">
          <cell r="C2836"/>
          <cell r="D2836"/>
          <cell r="E2836"/>
          <cell r="F2836"/>
          <cell r="G2836"/>
          <cell r="H2836"/>
          <cell r="I2836"/>
          <cell r="J2836"/>
          <cell r="K2836"/>
          <cell r="L2836"/>
        </row>
        <row r="2837">
          <cell r="C2837"/>
          <cell r="D2837"/>
          <cell r="E2837"/>
          <cell r="F2837"/>
          <cell r="G2837"/>
          <cell r="H2837"/>
          <cell r="I2837"/>
          <cell r="J2837"/>
          <cell r="K2837"/>
          <cell r="L2837"/>
        </row>
        <row r="2838">
          <cell r="C2838"/>
          <cell r="D2838"/>
          <cell r="E2838"/>
          <cell r="F2838"/>
          <cell r="G2838"/>
          <cell r="H2838"/>
          <cell r="I2838"/>
          <cell r="J2838"/>
          <cell r="K2838"/>
          <cell r="L2838"/>
        </row>
        <row r="2839">
          <cell r="C2839"/>
          <cell r="D2839"/>
          <cell r="E2839"/>
          <cell r="F2839"/>
          <cell r="G2839"/>
          <cell r="H2839"/>
          <cell r="I2839"/>
          <cell r="J2839"/>
          <cell r="K2839"/>
          <cell r="L2839"/>
        </row>
        <row r="2840">
          <cell r="C2840"/>
          <cell r="D2840"/>
          <cell r="E2840"/>
          <cell r="F2840"/>
          <cell r="G2840"/>
          <cell r="H2840"/>
          <cell r="I2840"/>
          <cell r="J2840"/>
          <cell r="K2840"/>
          <cell r="L2840"/>
        </row>
        <row r="2841">
          <cell r="C2841"/>
          <cell r="D2841"/>
          <cell r="E2841"/>
          <cell r="F2841"/>
          <cell r="G2841"/>
          <cell r="H2841"/>
          <cell r="I2841"/>
          <cell r="J2841"/>
          <cell r="K2841"/>
          <cell r="L2841"/>
        </row>
        <row r="2842">
          <cell r="C2842"/>
          <cell r="D2842"/>
          <cell r="E2842"/>
          <cell r="F2842"/>
          <cell r="G2842"/>
          <cell r="H2842"/>
          <cell r="I2842"/>
          <cell r="J2842"/>
          <cell r="K2842"/>
          <cell r="L2842"/>
        </row>
        <row r="2843">
          <cell r="C2843"/>
          <cell r="D2843"/>
          <cell r="E2843"/>
          <cell r="F2843"/>
          <cell r="G2843"/>
          <cell r="H2843"/>
          <cell r="I2843"/>
          <cell r="J2843"/>
          <cell r="K2843"/>
          <cell r="L2843"/>
        </row>
        <row r="2844">
          <cell r="C2844"/>
          <cell r="D2844"/>
          <cell r="E2844"/>
          <cell r="F2844"/>
          <cell r="G2844"/>
          <cell r="H2844"/>
          <cell r="I2844"/>
          <cell r="J2844"/>
          <cell r="K2844"/>
          <cell r="L2844"/>
        </row>
        <row r="2845">
          <cell r="C2845"/>
          <cell r="D2845"/>
          <cell r="E2845"/>
          <cell r="F2845"/>
          <cell r="G2845"/>
          <cell r="H2845"/>
          <cell r="I2845"/>
          <cell r="J2845"/>
          <cell r="K2845"/>
          <cell r="L2845"/>
        </row>
        <row r="2846">
          <cell r="C2846"/>
          <cell r="D2846"/>
          <cell r="E2846"/>
          <cell r="F2846"/>
          <cell r="G2846"/>
          <cell r="H2846"/>
          <cell r="I2846"/>
          <cell r="J2846"/>
          <cell r="K2846"/>
          <cell r="L2846"/>
        </row>
        <row r="2847">
          <cell r="C2847"/>
          <cell r="D2847"/>
          <cell r="E2847"/>
          <cell r="F2847"/>
          <cell r="G2847"/>
          <cell r="H2847"/>
          <cell r="I2847"/>
          <cell r="J2847"/>
          <cell r="K2847"/>
          <cell r="L2847"/>
        </row>
        <row r="2848">
          <cell r="C2848"/>
          <cell r="D2848"/>
          <cell r="E2848"/>
          <cell r="F2848"/>
          <cell r="G2848"/>
          <cell r="H2848"/>
          <cell r="I2848"/>
          <cell r="J2848"/>
          <cell r="K2848"/>
          <cell r="L2848"/>
        </row>
        <row r="2849">
          <cell r="C2849"/>
          <cell r="D2849"/>
          <cell r="E2849"/>
          <cell r="F2849"/>
          <cell r="G2849"/>
          <cell r="H2849"/>
          <cell r="I2849"/>
          <cell r="J2849"/>
          <cell r="K2849"/>
          <cell r="L2849"/>
        </row>
        <row r="2850">
          <cell r="C2850"/>
          <cell r="D2850"/>
          <cell r="E2850"/>
          <cell r="F2850"/>
          <cell r="G2850"/>
          <cell r="H2850"/>
          <cell r="I2850"/>
          <cell r="J2850"/>
          <cell r="K2850"/>
          <cell r="L2850"/>
        </row>
        <row r="2851">
          <cell r="C2851"/>
          <cell r="D2851"/>
          <cell r="E2851"/>
          <cell r="F2851"/>
          <cell r="G2851"/>
          <cell r="H2851"/>
          <cell r="I2851"/>
          <cell r="J2851"/>
          <cell r="K2851"/>
          <cell r="L2851"/>
        </row>
        <row r="2852">
          <cell r="C2852"/>
          <cell r="D2852"/>
          <cell r="E2852"/>
          <cell r="F2852"/>
          <cell r="G2852"/>
          <cell r="H2852"/>
          <cell r="I2852"/>
          <cell r="J2852"/>
          <cell r="K2852"/>
          <cell r="L2852"/>
        </row>
        <row r="2853">
          <cell r="C2853"/>
          <cell r="D2853"/>
          <cell r="E2853"/>
          <cell r="F2853"/>
          <cell r="G2853"/>
          <cell r="H2853"/>
          <cell r="I2853"/>
          <cell r="J2853"/>
          <cell r="K2853"/>
          <cell r="L2853"/>
        </row>
        <row r="2854">
          <cell r="C2854"/>
          <cell r="D2854"/>
          <cell r="E2854"/>
          <cell r="F2854"/>
          <cell r="G2854"/>
          <cell r="H2854"/>
          <cell r="I2854"/>
          <cell r="J2854"/>
          <cell r="K2854"/>
          <cell r="L2854"/>
        </row>
        <row r="2855">
          <cell r="C2855"/>
          <cell r="D2855"/>
          <cell r="E2855"/>
          <cell r="F2855"/>
          <cell r="G2855"/>
          <cell r="H2855"/>
          <cell r="I2855"/>
          <cell r="J2855"/>
          <cell r="K2855"/>
          <cell r="L2855"/>
        </row>
        <row r="2856">
          <cell r="C2856"/>
          <cell r="D2856"/>
          <cell r="E2856"/>
          <cell r="F2856"/>
          <cell r="G2856"/>
          <cell r="H2856"/>
          <cell r="I2856"/>
          <cell r="J2856"/>
          <cell r="K2856"/>
          <cell r="L2856"/>
        </row>
        <row r="2857">
          <cell r="C2857"/>
          <cell r="D2857"/>
          <cell r="E2857"/>
          <cell r="F2857"/>
          <cell r="G2857"/>
          <cell r="H2857"/>
          <cell r="I2857"/>
          <cell r="J2857"/>
          <cell r="K2857"/>
          <cell r="L2857"/>
        </row>
        <row r="2858">
          <cell r="C2858"/>
          <cell r="D2858"/>
          <cell r="E2858"/>
          <cell r="F2858"/>
          <cell r="G2858"/>
          <cell r="H2858"/>
          <cell r="I2858"/>
          <cell r="J2858"/>
          <cell r="K2858"/>
          <cell r="L2858"/>
        </row>
        <row r="2859">
          <cell r="C2859"/>
          <cell r="D2859"/>
          <cell r="E2859"/>
          <cell r="F2859"/>
          <cell r="G2859"/>
          <cell r="H2859"/>
          <cell r="I2859"/>
          <cell r="J2859"/>
          <cell r="K2859"/>
          <cell r="L2859"/>
        </row>
        <row r="2860">
          <cell r="C2860"/>
          <cell r="D2860"/>
          <cell r="E2860"/>
          <cell r="F2860"/>
          <cell r="G2860"/>
          <cell r="H2860"/>
          <cell r="I2860"/>
          <cell r="J2860"/>
          <cell r="K2860"/>
          <cell r="L2860"/>
        </row>
        <row r="2861">
          <cell r="C2861"/>
          <cell r="D2861"/>
          <cell r="E2861"/>
          <cell r="F2861"/>
          <cell r="G2861"/>
          <cell r="H2861"/>
          <cell r="I2861"/>
          <cell r="J2861"/>
          <cell r="K2861"/>
          <cell r="L2861"/>
        </row>
        <row r="2862">
          <cell r="C2862"/>
          <cell r="D2862"/>
          <cell r="E2862"/>
          <cell r="F2862"/>
          <cell r="G2862"/>
          <cell r="H2862"/>
          <cell r="I2862"/>
          <cell r="J2862"/>
          <cell r="K2862"/>
          <cell r="L2862"/>
        </row>
        <row r="2863">
          <cell r="C2863"/>
          <cell r="D2863"/>
          <cell r="E2863"/>
          <cell r="F2863"/>
          <cell r="G2863"/>
          <cell r="H2863"/>
          <cell r="I2863"/>
          <cell r="J2863"/>
          <cell r="K2863"/>
          <cell r="L2863"/>
        </row>
        <row r="2864">
          <cell r="C2864"/>
          <cell r="D2864"/>
          <cell r="E2864"/>
          <cell r="F2864"/>
          <cell r="G2864"/>
          <cell r="H2864"/>
          <cell r="I2864"/>
          <cell r="J2864"/>
          <cell r="K2864"/>
          <cell r="L2864"/>
        </row>
        <row r="2865">
          <cell r="C2865"/>
          <cell r="D2865"/>
          <cell r="E2865"/>
          <cell r="F2865"/>
          <cell r="G2865"/>
          <cell r="H2865"/>
          <cell r="I2865"/>
          <cell r="J2865"/>
          <cell r="K2865"/>
          <cell r="L2865"/>
        </row>
        <row r="2866">
          <cell r="C2866"/>
          <cell r="D2866"/>
          <cell r="E2866"/>
          <cell r="F2866"/>
          <cell r="G2866"/>
          <cell r="H2866"/>
          <cell r="I2866"/>
          <cell r="J2866"/>
          <cell r="K2866"/>
          <cell r="L2866"/>
        </row>
        <row r="2867">
          <cell r="C2867"/>
          <cell r="D2867"/>
          <cell r="E2867"/>
          <cell r="F2867"/>
          <cell r="G2867"/>
          <cell r="H2867"/>
          <cell r="I2867"/>
          <cell r="J2867"/>
          <cell r="K2867"/>
          <cell r="L2867"/>
        </row>
        <row r="2868">
          <cell r="C2868"/>
          <cell r="D2868"/>
          <cell r="E2868"/>
          <cell r="F2868"/>
          <cell r="G2868"/>
          <cell r="H2868"/>
          <cell r="I2868"/>
          <cell r="J2868"/>
          <cell r="K2868"/>
          <cell r="L2868"/>
        </row>
        <row r="2869">
          <cell r="C2869"/>
          <cell r="D2869"/>
          <cell r="E2869"/>
          <cell r="F2869"/>
          <cell r="G2869"/>
          <cell r="H2869"/>
          <cell r="I2869"/>
          <cell r="J2869"/>
          <cell r="K2869"/>
          <cell r="L2869"/>
        </row>
        <row r="2870">
          <cell r="C2870"/>
          <cell r="D2870"/>
          <cell r="E2870"/>
          <cell r="F2870"/>
          <cell r="G2870"/>
          <cell r="H2870"/>
          <cell r="I2870"/>
          <cell r="J2870"/>
          <cell r="K2870"/>
          <cell r="L2870"/>
        </row>
        <row r="2871">
          <cell r="C2871"/>
          <cell r="D2871"/>
          <cell r="E2871"/>
          <cell r="F2871"/>
          <cell r="G2871"/>
          <cell r="H2871"/>
          <cell r="I2871"/>
          <cell r="J2871"/>
          <cell r="K2871"/>
          <cell r="L2871"/>
        </row>
        <row r="2872">
          <cell r="C2872"/>
          <cell r="D2872"/>
          <cell r="E2872"/>
          <cell r="F2872"/>
          <cell r="G2872"/>
          <cell r="H2872"/>
          <cell r="I2872"/>
          <cell r="J2872"/>
          <cell r="K2872"/>
          <cell r="L2872"/>
        </row>
        <row r="2873">
          <cell r="C2873"/>
          <cell r="D2873"/>
          <cell r="E2873"/>
          <cell r="F2873"/>
          <cell r="G2873"/>
          <cell r="H2873"/>
          <cell r="I2873"/>
          <cell r="J2873"/>
          <cell r="K2873"/>
          <cell r="L2873"/>
        </row>
        <row r="2874">
          <cell r="C2874"/>
          <cell r="D2874"/>
          <cell r="E2874"/>
          <cell r="F2874"/>
          <cell r="G2874"/>
          <cell r="H2874"/>
          <cell r="I2874"/>
          <cell r="J2874"/>
          <cell r="K2874"/>
          <cell r="L2874"/>
        </row>
        <row r="2875">
          <cell r="C2875"/>
          <cell r="D2875"/>
          <cell r="E2875"/>
          <cell r="F2875"/>
          <cell r="G2875"/>
          <cell r="H2875"/>
          <cell r="I2875"/>
          <cell r="J2875"/>
          <cell r="K2875"/>
          <cell r="L2875"/>
        </row>
        <row r="2876">
          <cell r="C2876"/>
          <cell r="D2876"/>
          <cell r="E2876"/>
          <cell r="F2876"/>
          <cell r="G2876"/>
          <cell r="H2876"/>
          <cell r="I2876"/>
          <cell r="J2876"/>
          <cell r="K2876"/>
          <cell r="L2876"/>
        </row>
        <row r="2877">
          <cell r="C2877"/>
          <cell r="D2877"/>
          <cell r="E2877"/>
          <cell r="F2877"/>
          <cell r="G2877"/>
          <cell r="H2877"/>
          <cell r="I2877"/>
          <cell r="J2877"/>
          <cell r="K2877"/>
          <cell r="L2877"/>
        </row>
        <row r="2878">
          <cell r="C2878"/>
          <cell r="D2878"/>
          <cell r="E2878"/>
          <cell r="F2878"/>
          <cell r="G2878"/>
          <cell r="H2878"/>
          <cell r="I2878"/>
          <cell r="J2878"/>
          <cell r="K2878"/>
          <cell r="L2878"/>
        </row>
        <row r="2879">
          <cell r="C2879"/>
          <cell r="D2879"/>
          <cell r="E2879"/>
          <cell r="F2879"/>
          <cell r="G2879"/>
          <cell r="H2879"/>
          <cell r="I2879"/>
          <cell r="J2879"/>
          <cell r="K2879"/>
          <cell r="L2879"/>
        </row>
        <row r="2880">
          <cell r="C2880"/>
          <cell r="D2880"/>
          <cell r="E2880"/>
          <cell r="F2880"/>
          <cell r="G2880"/>
          <cell r="H2880"/>
          <cell r="I2880"/>
          <cell r="J2880"/>
          <cell r="K2880"/>
          <cell r="L2880"/>
        </row>
        <row r="2881">
          <cell r="C2881"/>
          <cell r="D2881"/>
          <cell r="E2881"/>
          <cell r="F2881"/>
          <cell r="G2881"/>
          <cell r="H2881"/>
          <cell r="I2881"/>
          <cell r="J2881"/>
          <cell r="K2881"/>
          <cell r="L2881"/>
        </row>
        <row r="2882">
          <cell r="C2882"/>
          <cell r="D2882"/>
          <cell r="E2882"/>
          <cell r="F2882"/>
          <cell r="G2882"/>
          <cell r="H2882"/>
          <cell r="I2882"/>
          <cell r="J2882"/>
          <cell r="K2882"/>
          <cell r="L2882"/>
        </row>
        <row r="2883">
          <cell r="C2883"/>
          <cell r="D2883"/>
          <cell r="E2883"/>
          <cell r="F2883"/>
          <cell r="G2883"/>
          <cell r="H2883"/>
          <cell r="I2883"/>
          <cell r="J2883"/>
          <cell r="K2883"/>
          <cell r="L2883"/>
        </row>
        <row r="2884">
          <cell r="C2884"/>
          <cell r="D2884"/>
          <cell r="E2884"/>
          <cell r="F2884"/>
          <cell r="G2884"/>
          <cell r="H2884"/>
          <cell r="I2884"/>
          <cell r="J2884"/>
          <cell r="K2884"/>
          <cell r="L2884"/>
        </row>
        <row r="2885">
          <cell r="C2885"/>
          <cell r="D2885"/>
          <cell r="E2885"/>
          <cell r="F2885"/>
          <cell r="G2885"/>
          <cell r="H2885"/>
          <cell r="I2885"/>
          <cell r="J2885"/>
          <cell r="K2885"/>
          <cell r="L2885"/>
        </row>
        <row r="2886">
          <cell r="C2886"/>
          <cell r="D2886"/>
          <cell r="E2886"/>
          <cell r="F2886"/>
          <cell r="G2886"/>
          <cell r="H2886"/>
          <cell r="I2886"/>
          <cell r="J2886"/>
          <cell r="K2886"/>
          <cell r="L2886"/>
        </row>
        <row r="2887">
          <cell r="C2887"/>
          <cell r="D2887"/>
          <cell r="E2887"/>
          <cell r="F2887"/>
          <cell r="G2887"/>
          <cell r="H2887"/>
          <cell r="I2887"/>
          <cell r="J2887"/>
          <cell r="K2887"/>
          <cell r="L2887"/>
        </row>
        <row r="2888">
          <cell r="C2888"/>
          <cell r="D2888"/>
          <cell r="E2888"/>
          <cell r="F2888"/>
          <cell r="G2888"/>
          <cell r="H2888"/>
          <cell r="I2888"/>
          <cell r="J2888"/>
          <cell r="K2888"/>
          <cell r="L2888"/>
        </row>
        <row r="2889">
          <cell r="C2889"/>
          <cell r="D2889"/>
          <cell r="E2889"/>
          <cell r="F2889"/>
          <cell r="G2889"/>
          <cell r="H2889"/>
          <cell r="I2889"/>
          <cell r="J2889"/>
          <cell r="K2889"/>
          <cell r="L2889"/>
        </row>
        <row r="2890">
          <cell r="C2890"/>
          <cell r="D2890"/>
          <cell r="E2890"/>
          <cell r="F2890"/>
          <cell r="G2890"/>
          <cell r="H2890"/>
          <cell r="I2890"/>
          <cell r="J2890"/>
          <cell r="K2890"/>
          <cell r="L2890"/>
        </row>
        <row r="2891">
          <cell r="C2891"/>
          <cell r="D2891"/>
          <cell r="E2891"/>
          <cell r="F2891"/>
          <cell r="G2891"/>
          <cell r="H2891"/>
          <cell r="I2891"/>
          <cell r="J2891"/>
          <cell r="K2891"/>
          <cell r="L2891"/>
        </row>
        <row r="2892">
          <cell r="C2892"/>
          <cell r="D2892"/>
          <cell r="E2892"/>
          <cell r="F2892"/>
          <cell r="G2892"/>
          <cell r="H2892"/>
          <cell r="I2892"/>
          <cell r="J2892"/>
          <cell r="K2892"/>
          <cell r="L2892"/>
        </row>
        <row r="2893">
          <cell r="C2893"/>
          <cell r="D2893"/>
          <cell r="E2893"/>
          <cell r="F2893"/>
          <cell r="G2893"/>
          <cell r="H2893"/>
          <cell r="I2893"/>
          <cell r="J2893"/>
          <cell r="K2893"/>
          <cell r="L2893"/>
        </row>
        <row r="2894">
          <cell r="C2894"/>
          <cell r="D2894"/>
          <cell r="E2894"/>
          <cell r="F2894"/>
          <cell r="G2894"/>
          <cell r="H2894"/>
          <cell r="I2894"/>
          <cell r="J2894"/>
          <cell r="K2894"/>
          <cell r="L2894"/>
        </row>
        <row r="2895">
          <cell r="C2895"/>
          <cell r="D2895"/>
          <cell r="E2895"/>
          <cell r="F2895"/>
          <cell r="G2895"/>
          <cell r="H2895"/>
          <cell r="I2895"/>
          <cell r="J2895"/>
          <cell r="K2895"/>
          <cell r="L2895"/>
        </row>
        <row r="2896">
          <cell r="C2896"/>
          <cell r="D2896"/>
          <cell r="E2896"/>
          <cell r="F2896"/>
          <cell r="G2896"/>
          <cell r="H2896"/>
          <cell r="I2896"/>
          <cell r="J2896"/>
          <cell r="K2896"/>
          <cell r="L2896"/>
        </row>
        <row r="2897">
          <cell r="C2897"/>
          <cell r="D2897"/>
          <cell r="E2897"/>
          <cell r="F2897"/>
          <cell r="G2897"/>
          <cell r="H2897"/>
          <cell r="I2897"/>
          <cell r="J2897"/>
          <cell r="K2897"/>
          <cell r="L2897"/>
        </row>
        <row r="2898">
          <cell r="C2898"/>
          <cell r="D2898"/>
          <cell r="E2898"/>
          <cell r="F2898"/>
          <cell r="G2898"/>
          <cell r="H2898"/>
          <cell r="I2898"/>
          <cell r="J2898"/>
          <cell r="K2898"/>
          <cell r="L2898"/>
        </row>
        <row r="2899">
          <cell r="C2899"/>
          <cell r="D2899"/>
          <cell r="E2899"/>
          <cell r="F2899"/>
          <cell r="G2899"/>
          <cell r="H2899"/>
          <cell r="I2899"/>
          <cell r="J2899"/>
          <cell r="K2899"/>
          <cell r="L2899"/>
        </row>
        <row r="2900">
          <cell r="C2900"/>
          <cell r="D2900"/>
          <cell r="E2900"/>
          <cell r="F2900"/>
          <cell r="G2900"/>
          <cell r="H2900"/>
          <cell r="I2900"/>
          <cell r="J2900"/>
          <cell r="K2900"/>
          <cell r="L2900"/>
        </row>
        <row r="2901">
          <cell r="C2901"/>
          <cell r="D2901"/>
          <cell r="E2901"/>
          <cell r="F2901"/>
          <cell r="G2901"/>
          <cell r="H2901"/>
          <cell r="I2901"/>
          <cell r="J2901"/>
          <cell r="K2901"/>
          <cell r="L2901"/>
        </row>
        <row r="2902">
          <cell r="C2902"/>
          <cell r="D2902"/>
          <cell r="E2902"/>
          <cell r="F2902"/>
          <cell r="G2902"/>
          <cell r="H2902"/>
          <cell r="I2902"/>
          <cell r="J2902"/>
          <cell r="K2902"/>
          <cell r="L2902"/>
        </row>
        <row r="2903">
          <cell r="C2903"/>
          <cell r="D2903"/>
          <cell r="E2903"/>
          <cell r="F2903"/>
          <cell r="G2903"/>
          <cell r="H2903"/>
          <cell r="I2903"/>
          <cell r="J2903"/>
          <cell r="K2903"/>
          <cell r="L2903"/>
        </row>
        <row r="2904">
          <cell r="C2904"/>
          <cell r="D2904"/>
          <cell r="E2904"/>
          <cell r="F2904"/>
          <cell r="G2904"/>
          <cell r="H2904"/>
          <cell r="I2904"/>
          <cell r="J2904"/>
          <cell r="K2904"/>
          <cell r="L2904"/>
        </row>
        <row r="2905">
          <cell r="C2905"/>
          <cell r="D2905"/>
          <cell r="E2905"/>
          <cell r="F2905"/>
          <cell r="G2905"/>
          <cell r="H2905"/>
          <cell r="I2905"/>
          <cell r="J2905"/>
          <cell r="K2905"/>
          <cell r="L2905"/>
        </row>
        <row r="2906">
          <cell r="C2906"/>
          <cell r="D2906"/>
          <cell r="E2906"/>
          <cell r="F2906"/>
          <cell r="G2906"/>
          <cell r="H2906"/>
          <cell r="I2906"/>
          <cell r="J2906"/>
          <cell r="K2906"/>
          <cell r="L2906"/>
        </row>
        <row r="2907">
          <cell r="C2907"/>
          <cell r="D2907"/>
          <cell r="E2907"/>
          <cell r="F2907"/>
          <cell r="G2907"/>
          <cell r="H2907"/>
          <cell r="I2907"/>
          <cell r="J2907"/>
          <cell r="K2907"/>
          <cell r="L2907"/>
        </row>
        <row r="2908">
          <cell r="C2908"/>
          <cell r="D2908"/>
          <cell r="E2908"/>
          <cell r="F2908"/>
          <cell r="G2908"/>
          <cell r="H2908"/>
          <cell r="I2908"/>
          <cell r="J2908"/>
          <cell r="K2908"/>
          <cell r="L2908"/>
        </row>
        <row r="2909">
          <cell r="C2909"/>
          <cell r="D2909"/>
          <cell r="E2909"/>
          <cell r="F2909"/>
          <cell r="G2909"/>
          <cell r="H2909"/>
          <cell r="I2909"/>
          <cell r="J2909"/>
          <cell r="K2909"/>
          <cell r="L2909"/>
        </row>
        <row r="2910">
          <cell r="C2910"/>
          <cell r="D2910"/>
          <cell r="E2910"/>
          <cell r="F2910"/>
          <cell r="G2910"/>
          <cell r="H2910"/>
          <cell r="I2910"/>
          <cell r="J2910"/>
          <cell r="K2910"/>
          <cell r="L2910"/>
        </row>
        <row r="2911">
          <cell r="C2911"/>
          <cell r="D2911"/>
          <cell r="E2911"/>
          <cell r="F2911"/>
          <cell r="G2911"/>
          <cell r="H2911"/>
          <cell r="I2911"/>
          <cell r="J2911"/>
          <cell r="K2911"/>
          <cell r="L2911"/>
        </row>
        <row r="2912">
          <cell r="C2912"/>
          <cell r="D2912"/>
          <cell r="E2912"/>
          <cell r="F2912"/>
          <cell r="G2912"/>
          <cell r="H2912"/>
          <cell r="I2912"/>
          <cell r="J2912"/>
          <cell r="K2912"/>
          <cell r="L2912"/>
        </row>
        <row r="2913">
          <cell r="C2913"/>
          <cell r="D2913"/>
          <cell r="E2913"/>
          <cell r="F2913"/>
          <cell r="G2913"/>
          <cell r="H2913"/>
          <cell r="I2913"/>
          <cell r="J2913"/>
          <cell r="K2913"/>
          <cell r="L2913"/>
        </row>
        <row r="2914">
          <cell r="C2914"/>
          <cell r="D2914"/>
          <cell r="E2914"/>
          <cell r="F2914"/>
          <cell r="G2914"/>
          <cell r="H2914"/>
          <cell r="I2914"/>
          <cell r="J2914"/>
          <cell r="K2914"/>
          <cell r="L2914"/>
        </row>
        <row r="2915">
          <cell r="C2915"/>
          <cell r="D2915"/>
          <cell r="E2915"/>
          <cell r="F2915"/>
          <cell r="G2915"/>
          <cell r="H2915"/>
          <cell r="I2915"/>
          <cell r="J2915"/>
          <cell r="K2915"/>
          <cell r="L2915"/>
        </row>
        <row r="2916">
          <cell r="C2916"/>
          <cell r="D2916"/>
          <cell r="E2916"/>
          <cell r="F2916"/>
          <cell r="G2916"/>
          <cell r="H2916"/>
          <cell r="I2916"/>
          <cell r="J2916"/>
          <cell r="K2916"/>
          <cell r="L2916"/>
        </row>
        <row r="2917">
          <cell r="C2917"/>
          <cell r="D2917"/>
          <cell r="E2917"/>
          <cell r="F2917"/>
          <cell r="G2917"/>
          <cell r="H2917"/>
          <cell r="I2917"/>
          <cell r="J2917"/>
          <cell r="K2917"/>
          <cell r="L2917"/>
        </row>
        <row r="2918">
          <cell r="C2918"/>
          <cell r="D2918"/>
          <cell r="E2918"/>
          <cell r="F2918"/>
          <cell r="G2918"/>
          <cell r="H2918"/>
          <cell r="I2918"/>
          <cell r="J2918"/>
          <cell r="K2918"/>
          <cell r="L2918"/>
        </row>
        <row r="2919">
          <cell r="C2919"/>
          <cell r="D2919"/>
          <cell r="E2919"/>
          <cell r="F2919"/>
          <cell r="G2919"/>
          <cell r="H2919"/>
          <cell r="I2919"/>
          <cell r="J2919"/>
          <cell r="K2919"/>
          <cell r="L2919"/>
        </row>
        <row r="2920">
          <cell r="C2920"/>
          <cell r="D2920"/>
          <cell r="E2920"/>
          <cell r="F2920"/>
          <cell r="G2920"/>
          <cell r="H2920"/>
          <cell r="I2920"/>
          <cell r="J2920"/>
          <cell r="K2920"/>
          <cell r="L2920"/>
        </row>
        <row r="2921">
          <cell r="C2921"/>
          <cell r="D2921"/>
          <cell r="E2921"/>
          <cell r="F2921"/>
          <cell r="G2921"/>
          <cell r="H2921"/>
          <cell r="I2921"/>
          <cell r="J2921"/>
          <cell r="K2921"/>
          <cell r="L2921"/>
        </row>
        <row r="2922">
          <cell r="C2922"/>
          <cell r="D2922"/>
          <cell r="E2922"/>
          <cell r="F2922"/>
          <cell r="G2922"/>
          <cell r="H2922"/>
          <cell r="I2922"/>
          <cell r="J2922"/>
          <cell r="K2922"/>
          <cell r="L2922"/>
        </row>
        <row r="2923">
          <cell r="C2923"/>
          <cell r="D2923"/>
          <cell r="E2923"/>
          <cell r="F2923"/>
          <cell r="G2923"/>
          <cell r="H2923"/>
          <cell r="I2923"/>
          <cell r="J2923"/>
          <cell r="K2923"/>
          <cell r="L2923"/>
        </row>
        <row r="2924">
          <cell r="C2924"/>
          <cell r="D2924"/>
          <cell r="E2924"/>
          <cell r="F2924"/>
          <cell r="G2924"/>
          <cell r="H2924"/>
          <cell r="I2924"/>
          <cell r="J2924"/>
          <cell r="K2924"/>
          <cell r="L2924"/>
        </row>
        <row r="2925">
          <cell r="C2925"/>
          <cell r="D2925"/>
          <cell r="E2925"/>
          <cell r="F2925"/>
          <cell r="G2925"/>
          <cell r="H2925"/>
          <cell r="I2925"/>
          <cell r="J2925"/>
          <cell r="K2925"/>
          <cell r="L2925"/>
        </row>
        <row r="2926">
          <cell r="C2926"/>
          <cell r="D2926"/>
          <cell r="E2926"/>
          <cell r="F2926"/>
          <cell r="G2926"/>
          <cell r="H2926"/>
          <cell r="I2926"/>
          <cell r="J2926"/>
          <cell r="K2926"/>
          <cell r="L2926"/>
        </row>
        <row r="2927">
          <cell r="C2927"/>
          <cell r="D2927"/>
          <cell r="E2927"/>
          <cell r="F2927"/>
          <cell r="G2927"/>
          <cell r="H2927"/>
          <cell r="I2927"/>
          <cell r="J2927"/>
          <cell r="K2927"/>
          <cell r="L2927"/>
        </row>
        <row r="2928">
          <cell r="C2928"/>
          <cell r="D2928"/>
          <cell r="E2928"/>
          <cell r="F2928"/>
          <cell r="G2928"/>
          <cell r="H2928"/>
          <cell r="I2928"/>
          <cell r="J2928"/>
          <cell r="K2928"/>
          <cell r="L2928"/>
        </row>
        <row r="2929">
          <cell r="C2929"/>
          <cell r="D2929"/>
          <cell r="E2929"/>
          <cell r="F2929"/>
          <cell r="G2929"/>
          <cell r="H2929"/>
          <cell r="I2929"/>
          <cell r="J2929"/>
          <cell r="K2929"/>
          <cell r="L2929"/>
        </row>
        <row r="2930">
          <cell r="C2930"/>
          <cell r="D2930"/>
          <cell r="E2930"/>
          <cell r="F2930"/>
          <cell r="G2930"/>
          <cell r="H2930"/>
          <cell r="I2930"/>
          <cell r="J2930"/>
          <cell r="K2930"/>
          <cell r="L2930"/>
        </row>
        <row r="2931">
          <cell r="C2931"/>
          <cell r="D2931"/>
          <cell r="E2931"/>
          <cell r="F2931"/>
          <cell r="G2931"/>
          <cell r="H2931"/>
          <cell r="I2931"/>
          <cell r="J2931"/>
          <cell r="K2931"/>
          <cell r="L2931"/>
        </row>
        <row r="2932">
          <cell r="C2932"/>
          <cell r="D2932"/>
          <cell r="E2932"/>
          <cell r="F2932"/>
          <cell r="G2932"/>
          <cell r="H2932"/>
          <cell r="I2932"/>
          <cell r="J2932"/>
          <cell r="K2932"/>
          <cell r="L2932"/>
        </row>
        <row r="2933">
          <cell r="C2933"/>
          <cell r="D2933"/>
          <cell r="E2933"/>
          <cell r="F2933"/>
          <cell r="G2933"/>
          <cell r="H2933"/>
          <cell r="I2933"/>
          <cell r="J2933"/>
          <cell r="K2933"/>
          <cell r="L2933"/>
        </row>
        <row r="2934">
          <cell r="C2934"/>
          <cell r="D2934"/>
          <cell r="E2934"/>
          <cell r="F2934"/>
          <cell r="G2934"/>
          <cell r="H2934"/>
          <cell r="I2934"/>
          <cell r="J2934"/>
          <cell r="K2934"/>
          <cell r="L2934"/>
        </row>
        <row r="2935">
          <cell r="C2935"/>
          <cell r="D2935"/>
          <cell r="E2935"/>
          <cell r="F2935"/>
          <cell r="G2935"/>
          <cell r="H2935"/>
          <cell r="I2935"/>
          <cell r="J2935"/>
          <cell r="K2935"/>
          <cell r="L2935"/>
        </row>
        <row r="2936">
          <cell r="C2936"/>
          <cell r="D2936"/>
          <cell r="E2936"/>
          <cell r="F2936"/>
          <cell r="G2936"/>
          <cell r="H2936"/>
          <cell r="I2936"/>
          <cell r="J2936"/>
          <cell r="K2936"/>
          <cell r="L2936"/>
        </row>
        <row r="2937">
          <cell r="C2937"/>
          <cell r="D2937"/>
          <cell r="E2937"/>
          <cell r="F2937"/>
          <cell r="G2937"/>
          <cell r="H2937"/>
          <cell r="I2937"/>
          <cell r="J2937"/>
          <cell r="K2937"/>
          <cell r="L2937"/>
        </row>
        <row r="2938">
          <cell r="C2938"/>
          <cell r="D2938"/>
          <cell r="E2938"/>
          <cell r="F2938"/>
          <cell r="G2938"/>
          <cell r="H2938"/>
          <cell r="I2938"/>
          <cell r="J2938"/>
          <cell r="K2938"/>
          <cell r="L2938"/>
        </row>
        <row r="2939">
          <cell r="C2939"/>
          <cell r="D2939"/>
          <cell r="E2939"/>
          <cell r="F2939"/>
          <cell r="G2939"/>
          <cell r="H2939"/>
          <cell r="I2939"/>
          <cell r="J2939"/>
          <cell r="K2939"/>
          <cell r="L2939"/>
        </row>
        <row r="2940">
          <cell r="C2940"/>
          <cell r="D2940"/>
          <cell r="E2940"/>
          <cell r="F2940"/>
          <cell r="G2940"/>
          <cell r="H2940"/>
          <cell r="I2940"/>
          <cell r="J2940"/>
          <cell r="K2940"/>
          <cell r="L2940"/>
        </row>
        <row r="2941">
          <cell r="C2941"/>
          <cell r="D2941"/>
          <cell r="E2941"/>
          <cell r="F2941"/>
          <cell r="G2941"/>
          <cell r="H2941"/>
          <cell r="I2941"/>
          <cell r="J2941"/>
          <cell r="K2941"/>
          <cell r="L2941"/>
        </row>
        <row r="2942">
          <cell r="C2942"/>
          <cell r="D2942"/>
          <cell r="E2942"/>
          <cell r="F2942"/>
          <cell r="G2942"/>
          <cell r="H2942"/>
          <cell r="I2942"/>
          <cell r="J2942"/>
          <cell r="K2942"/>
          <cell r="L2942"/>
        </row>
        <row r="2943">
          <cell r="C2943"/>
          <cell r="D2943"/>
          <cell r="E2943"/>
          <cell r="F2943"/>
          <cell r="G2943"/>
          <cell r="H2943"/>
          <cell r="I2943"/>
          <cell r="J2943"/>
          <cell r="K2943"/>
          <cell r="L2943"/>
        </row>
        <row r="2944">
          <cell r="C2944"/>
          <cell r="D2944"/>
          <cell r="E2944"/>
          <cell r="F2944"/>
          <cell r="G2944"/>
          <cell r="H2944"/>
          <cell r="I2944"/>
          <cell r="J2944"/>
          <cell r="K2944"/>
          <cell r="L2944"/>
        </row>
        <row r="2945">
          <cell r="C2945"/>
          <cell r="D2945"/>
          <cell r="E2945"/>
          <cell r="F2945"/>
          <cell r="G2945"/>
          <cell r="H2945"/>
          <cell r="I2945"/>
          <cell r="J2945"/>
          <cell r="K2945"/>
          <cell r="L2945"/>
        </row>
        <row r="2946">
          <cell r="C2946"/>
          <cell r="D2946"/>
          <cell r="E2946"/>
          <cell r="F2946"/>
          <cell r="G2946"/>
          <cell r="H2946"/>
          <cell r="I2946"/>
          <cell r="J2946"/>
          <cell r="K2946"/>
          <cell r="L2946"/>
        </row>
        <row r="2947">
          <cell r="C2947"/>
          <cell r="D2947"/>
          <cell r="E2947"/>
          <cell r="F2947"/>
          <cell r="G2947"/>
          <cell r="H2947"/>
          <cell r="I2947"/>
          <cell r="J2947"/>
          <cell r="K2947"/>
          <cell r="L2947"/>
        </row>
        <row r="2948">
          <cell r="C2948"/>
          <cell r="D2948"/>
          <cell r="E2948"/>
          <cell r="F2948"/>
          <cell r="G2948"/>
          <cell r="H2948"/>
          <cell r="I2948"/>
          <cell r="J2948"/>
          <cell r="K2948"/>
          <cell r="L2948"/>
        </row>
        <row r="2949">
          <cell r="C2949"/>
          <cell r="D2949"/>
          <cell r="E2949"/>
          <cell r="F2949"/>
          <cell r="G2949"/>
          <cell r="H2949"/>
          <cell r="I2949"/>
          <cell r="J2949"/>
          <cell r="K2949"/>
          <cell r="L2949"/>
        </row>
        <row r="2950">
          <cell r="C2950"/>
          <cell r="D2950"/>
          <cell r="E2950"/>
          <cell r="F2950"/>
          <cell r="G2950"/>
          <cell r="H2950"/>
          <cell r="I2950"/>
          <cell r="J2950"/>
          <cell r="K2950"/>
          <cell r="L2950"/>
        </row>
        <row r="2951">
          <cell r="C2951"/>
          <cell r="D2951"/>
          <cell r="E2951"/>
          <cell r="F2951"/>
          <cell r="G2951"/>
          <cell r="H2951"/>
          <cell r="I2951"/>
          <cell r="J2951"/>
          <cell r="K2951"/>
          <cell r="L2951"/>
        </row>
        <row r="2952">
          <cell r="C2952"/>
          <cell r="D2952"/>
          <cell r="E2952"/>
          <cell r="F2952"/>
          <cell r="G2952"/>
          <cell r="H2952"/>
          <cell r="I2952"/>
          <cell r="J2952"/>
          <cell r="K2952"/>
          <cell r="L2952"/>
        </row>
        <row r="2953">
          <cell r="C2953"/>
          <cell r="D2953"/>
          <cell r="E2953"/>
          <cell r="F2953"/>
          <cell r="G2953"/>
          <cell r="H2953"/>
          <cell r="I2953"/>
          <cell r="J2953"/>
          <cell r="K2953"/>
          <cell r="L2953"/>
        </row>
        <row r="2954">
          <cell r="C2954"/>
          <cell r="D2954"/>
          <cell r="E2954"/>
          <cell r="F2954"/>
          <cell r="G2954"/>
          <cell r="H2954"/>
          <cell r="I2954"/>
          <cell r="J2954"/>
          <cell r="K2954"/>
          <cell r="L2954"/>
        </row>
        <row r="2955">
          <cell r="C2955"/>
          <cell r="D2955"/>
          <cell r="E2955"/>
          <cell r="F2955"/>
          <cell r="G2955"/>
          <cell r="H2955"/>
          <cell r="I2955"/>
          <cell r="J2955"/>
          <cell r="K2955"/>
          <cell r="L2955"/>
        </row>
        <row r="2956">
          <cell r="C2956"/>
          <cell r="D2956"/>
          <cell r="E2956"/>
          <cell r="F2956"/>
          <cell r="G2956"/>
          <cell r="H2956"/>
          <cell r="I2956"/>
          <cell r="J2956"/>
          <cell r="K2956"/>
          <cell r="L2956"/>
        </row>
        <row r="2957">
          <cell r="C2957"/>
          <cell r="D2957"/>
          <cell r="E2957"/>
          <cell r="F2957"/>
          <cell r="G2957"/>
          <cell r="H2957"/>
          <cell r="I2957"/>
          <cell r="J2957"/>
          <cell r="K2957"/>
          <cell r="L2957"/>
        </row>
        <row r="2958">
          <cell r="C2958"/>
          <cell r="D2958"/>
          <cell r="E2958"/>
          <cell r="F2958"/>
          <cell r="G2958"/>
          <cell r="H2958"/>
          <cell r="I2958"/>
          <cell r="J2958"/>
          <cell r="K2958"/>
          <cell r="L2958"/>
        </row>
        <row r="2959">
          <cell r="C2959"/>
          <cell r="D2959"/>
          <cell r="E2959"/>
          <cell r="F2959"/>
          <cell r="G2959"/>
          <cell r="H2959"/>
          <cell r="I2959"/>
          <cell r="J2959"/>
          <cell r="K2959"/>
          <cell r="L2959"/>
        </row>
        <row r="2960">
          <cell r="C2960"/>
          <cell r="D2960"/>
          <cell r="E2960"/>
          <cell r="F2960"/>
          <cell r="G2960"/>
          <cell r="H2960"/>
          <cell r="I2960"/>
          <cell r="J2960"/>
          <cell r="K2960"/>
          <cell r="L2960"/>
        </row>
        <row r="2961">
          <cell r="C2961"/>
          <cell r="D2961"/>
          <cell r="E2961"/>
          <cell r="F2961"/>
          <cell r="G2961"/>
          <cell r="H2961"/>
          <cell r="I2961"/>
          <cell r="J2961"/>
          <cell r="K2961"/>
          <cell r="L2961"/>
        </row>
        <row r="2962">
          <cell r="C2962"/>
          <cell r="D2962"/>
          <cell r="E2962"/>
          <cell r="F2962"/>
          <cell r="G2962"/>
          <cell r="H2962"/>
          <cell r="I2962"/>
          <cell r="J2962"/>
          <cell r="K2962"/>
          <cell r="L2962"/>
        </row>
        <row r="2963">
          <cell r="C2963"/>
          <cell r="D2963"/>
          <cell r="E2963"/>
          <cell r="F2963"/>
          <cell r="G2963"/>
          <cell r="H2963"/>
          <cell r="I2963"/>
          <cell r="J2963"/>
          <cell r="K2963"/>
          <cell r="L2963"/>
        </row>
        <row r="2964">
          <cell r="C2964"/>
          <cell r="D2964"/>
          <cell r="E2964"/>
          <cell r="F2964"/>
          <cell r="G2964"/>
          <cell r="H2964"/>
          <cell r="I2964"/>
          <cell r="J2964"/>
          <cell r="K2964"/>
          <cell r="L2964"/>
        </row>
        <row r="2965">
          <cell r="C2965"/>
          <cell r="D2965"/>
          <cell r="E2965"/>
          <cell r="F2965"/>
          <cell r="G2965"/>
          <cell r="H2965"/>
          <cell r="I2965"/>
          <cell r="J2965"/>
          <cell r="K2965"/>
          <cell r="L2965"/>
        </row>
        <row r="2966">
          <cell r="C2966"/>
          <cell r="D2966"/>
          <cell r="E2966"/>
          <cell r="F2966"/>
          <cell r="G2966"/>
          <cell r="H2966"/>
          <cell r="I2966"/>
          <cell r="J2966"/>
          <cell r="K2966"/>
          <cell r="L2966"/>
        </row>
        <row r="2967">
          <cell r="C2967"/>
          <cell r="D2967"/>
          <cell r="E2967"/>
          <cell r="F2967"/>
          <cell r="G2967"/>
          <cell r="H2967"/>
          <cell r="I2967"/>
          <cell r="J2967"/>
          <cell r="K2967"/>
          <cell r="L2967"/>
        </row>
        <row r="2968">
          <cell r="C2968"/>
          <cell r="D2968"/>
          <cell r="E2968"/>
          <cell r="F2968"/>
          <cell r="G2968"/>
          <cell r="H2968"/>
          <cell r="I2968"/>
          <cell r="J2968"/>
          <cell r="K2968"/>
          <cell r="L2968"/>
        </row>
        <row r="2969">
          <cell r="C2969"/>
          <cell r="D2969"/>
          <cell r="E2969"/>
          <cell r="F2969"/>
          <cell r="G2969"/>
          <cell r="H2969"/>
          <cell r="I2969"/>
          <cell r="J2969"/>
          <cell r="K2969"/>
          <cell r="L2969"/>
        </row>
        <row r="2970">
          <cell r="C2970"/>
          <cell r="D2970"/>
          <cell r="E2970"/>
          <cell r="F2970"/>
          <cell r="G2970"/>
          <cell r="H2970"/>
          <cell r="I2970"/>
          <cell r="J2970"/>
          <cell r="K2970"/>
          <cell r="L2970"/>
        </row>
        <row r="2971">
          <cell r="C2971"/>
          <cell r="D2971"/>
          <cell r="E2971"/>
          <cell r="F2971"/>
          <cell r="G2971"/>
          <cell r="H2971"/>
          <cell r="I2971"/>
          <cell r="J2971"/>
          <cell r="K2971"/>
          <cell r="L2971"/>
        </row>
        <row r="2972">
          <cell r="C2972"/>
          <cell r="D2972"/>
          <cell r="E2972"/>
          <cell r="F2972"/>
          <cell r="G2972"/>
          <cell r="H2972"/>
          <cell r="I2972"/>
          <cell r="J2972"/>
          <cell r="K2972"/>
          <cell r="L2972"/>
        </row>
        <row r="2973">
          <cell r="C2973"/>
          <cell r="D2973"/>
          <cell r="E2973"/>
          <cell r="F2973"/>
          <cell r="G2973"/>
          <cell r="H2973"/>
          <cell r="I2973"/>
          <cell r="J2973"/>
          <cell r="K2973"/>
          <cell r="L2973"/>
        </row>
        <row r="2974">
          <cell r="C2974"/>
          <cell r="D2974"/>
          <cell r="E2974"/>
          <cell r="F2974"/>
          <cell r="G2974"/>
          <cell r="H2974"/>
          <cell r="I2974"/>
          <cell r="J2974"/>
          <cell r="K2974"/>
          <cell r="L2974"/>
        </row>
        <row r="2975">
          <cell r="C2975"/>
          <cell r="D2975"/>
          <cell r="E2975"/>
          <cell r="F2975"/>
          <cell r="G2975"/>
          <cell r="H2975"/>
          <cell r="I2975"/>
          <cell r="J2975"/>
          <cell r="K2975"/>
          <cell r="L2975"/>
        </row>
        <row r="2976">
          <cell r="C2976"/>
          <cell r="D2976"/>
          <cell r="E2976"/>
          <cell r="F2976"/>
          <cell r="G2976"/>
          <cell r="H2976"/>
          <cell r="I2976"/>
          <cell r="J2976"/>
          <cell r="K2976"/>
          <cell r="L2976"/>
        </row>
        <row r="2977">
          <cell r="C2977"/>
          <cell r="D2977"/>
          <cell r="E2977"/>
          <cell r="F2977"/>
          <cell r="G2977"/>
          <cell r="H2977"/>
          <cell r="I2977"/>
          <cell r="J2977"/>
          <cell r="K2977"/>
          <cell r="L2977"/>
        </row>
        <row r="2978">
          <cell r="C2978"/>
          <cell r="D2978"/>
          <cell r="E2978"/>
          <cell r="F2978"/>
          <cell r="G2978"/>
          <cell r="H2978"/>
          <cell r="I2978"/>
          <cell r="J2978"/>
          <cell r="K2978"/>
          <cell r="L2978"/>
        </row>
        <row r="2979">
          <cell r="C2979"/>
          <cell r="D2979"/>
          <cell r="E2979"/>
          <cell r="F2979"/>
          <cell r="G2979"/>
          <cell r="H2979"/>
          <cell r="I2979"/>
          <cell r="J2979"/>
          <cell r="K2979"/>
          <cell r="L2979"/>
        </row>
        <row r="2980">
          <cell r="C2980"/>
          <cell r="D2980"/>
          <cell r="E2980"/>
          <cell r="F2980"/>
          <cell r="G2980"/>
          <cell r="H2980"/>
          <cell r="I2980"/>
          <cell r="J2980"/>
          <cell r="K2980"/>
          <cell r="L2980"/>
        </row>
        <row r="2981">
          <cell r="C2981"/>
          <cell r="D2981"/>
          <cell r="E2981"/>
          <cell r="F2981"/>
          <cell r="G2981"/>
          <cell r="H2981"/>
          <cell r="I2981"/>
          <cell r="J2981"/>
          <cell r="K2981"/>
          <cell r="L2981"/>
        </row>
        <row r="2982">
          <cell r="C2982"/>
          <cell r="D2982"/>
          <cell r="E2982"/>
          <cell r="F2982"/>
          <cell r="G2982"/>
          <cell r="H2982"/>
          <cell r="I2982"/>
          <cell r="J2982"/>
          <cell r="K2982"/>
          <cell r="L2982"/>
        </row>
        <row r="2983">
          <cell r="C2983"/>
          <cell r="D2983"/>
          <cell r="E2983"/>
          <cell r="F2983"/>
          <cell r="G2983"/>
          <cell r="H2983"/>
          <cell r="I2983"/>
          <cell r="J2983"/>
          <cell r="K2983"/>
          <cell r="L2983"/>
        </row>
        <row r="2984">
          <cell r="C2984"/>
          <cell r="D2984"/>
          <cell r="E2984"/>
          <cell r="F2984"/>
          <cell r="G2984"/>
          <cell r="H2984"/>
          <cell r="I2984"/>
          <cell r="J2984"/>
          <cell r="K2984"/>
          <cell r="L2984"/>
        </row>
        <row r="2985">
          <cell r="C2985"/>
          <cell r="D2985"/>
          <cell r="E2985"/>
          <cell r="F2985"/>
          <cell r="G2985"/>
          <cell r="H2985"/>
          <cell r="I2985"/>
          <cell r="J2985"/>
          <cell r="K2985"/>
          <cell r="L2985"/>
        </row>
        <row r="2986">
          <cell r="C2986"/>
          <cell r="D2986"/>
          <cell r="E2986"/>
          <cell r="F2986"/>
          <cell r="G2986"/>
          <cell r="H2986"/>
          <cell r="I2986"/>
          <cell r="J2986"/>
          <cell r="K2986"/>
          <cell r="L2986"/>
        </row>
        <row r="2987">
          <cell r="C2987"/>
          <cell r="D2987"/>
          <cell r="E2987"/>
          <cell r="F2987"/>
          <cell r="G2987"/>
          <cell r="H2987"/>
          <cell r="I2987"/>
          <cell r="J2987"/>
          <cell r="K2987"/>
          <cell r="L2987"/>
        </row>
        <row r="2988">
          <cell r="C2988"/>
          <cell r="D2988"/>
          <cell r="E2988"/>
          <cell r="F2988"/>
          <cell r="G2988"/>
          <cell r="H2988"/>
          <cell r="I2988"/>
          <cell r="J2988"/>
          <cell r="K2988"/>
          <cell r="L2988"/>
        </row>
        <row r="2989">
          <cell r="C2989"/>
          <cell r="D2989"/>
          <cell r="E2989"/>
          <cell r="F2989"/>
          <cell r="G2989"/>
          <cell r="H2989"/>
          <cell r="I2989"/>
          <cell r="J2989"/>
          <cell r="K2989"/>
          <cell r="L2989"/>
        </row>
        <row r="2990">
          <cell r="C2990"/>
          <cell r="D2990"/>
          <cell r="E2990"/>
          <cell r="F2990"/>
          <cell r="G2990"/>
          <cell r="H2990"/>
          <cell r="I2990"/>
          <cell r="J2990"/>
          <cell r="K2990"/>
          <cell r="L2990"/>
        </row>
        <row r="2991">
          <cell r="C2991"/>
          <cell r="D2991"/>
          <cell r="E2991"/>
          <cell r="F2991"/>
          <cell r="G2991"/>
          <cell r="H2991"/>
          <cell r="I2991"/>
          <cell r="J2991"/>
          <cell r="K2991"/>
          <cell r="L2991"/>
        </row>
        <row r="2992">
          <cell r="C2992"/>
          <cell r="D2992"/>
          <cell r="E2992"/>
          <cell r="F2992"/>
          <cell r="G2992"/>
          <cell r="H2992"/>
          <cell r="I2992"/>
          <cell r="J2992"/>
          <cell r="K2992"/>
          <cell r="L2992"/>
        </row>
        <row r="2993">
          <cell r="C2993"/>
          <cell r="D2993"/>
          <cell r="E2993"/>
          <cell r="F2993"/>
          <cell r="G2993"/>
          <cell r="H2993"/>
          <cell r="I2993"/>
          <cell r="J2993"/>
          <cell r="K2993"/>
          <cell r="L2993"/>
        </row>
        <row r="2994">
          <cell r="C2994"/>
          <cell r="D2994"/>
          <cell r="E2994"/>
          <cell r="F2994"/>
          <cell r="G2994"/>
          <cell r="H2994"/>
          <cell r="I2994"/>
          <cell r="J2994"/>
          <cell r="K2994"/>
          <cell r="L2994"/>
        </row>
        <row r="2995">
          <cell r="C2995"/>
          <cell r="D2995"/>
          <cell r="E2995"/>
          <cell r="F2995"/>
          <cell r="G2995"/>
          <cell r="H2995"/>
          <cell r="I2995"/>
          <cell r="J2995"/>
          <cell r="K2995"/>
          <cell r="L2995"/>
        </row>
        <row r="2996">
          <cell r="C2996"/>
          <cell r="D2996"/>
          <cell r="E2996"/>
          <cell r="F2996"/>
          <cell r="G2996"/>
          <cell r="H2996"/>
          <cell r="I2996"/>
          <cell r="J2996"/>
          <cell r="K2996"/>
          <cell r="L2996"/>
        </row>
        <row r="2997">
          <cell r="C2997"/>
          <cell r="D2997"/>
          <cell r="E2997"/>
          <cell r="F2997"/>
          <cell r="G2997"/>
          <cell r="H2997"/>
          <cell r="I2997"/>
          <cell r="J2997"/>
          <cell r="K2997"/>
          <cell r="L2997"/>
        </row>
        <row r="2998">
          <cell r="C2998"/>
          <cell r="D2998"/>
          <cell r="E2998"/>
          <cell r="F2998"/>
          <cell r="G2998"/>
          <cell r="H2998"/>
          <cell r="I2998"/>
          <cell r="J2998"/>
          <cell r="K2998"/>
          <cell r="L2998"/>
        </row>
        <row r="2999">
          <cell r="C2999"/>
          <cell r="D2999"/>
          <cell r="E2999"/>
          <cell r="F2999"/>
          <cell r="G2999"/>
          <cell r="H2999"/>
          <cell r="I2999"/>
          <cell r="J2999"/>
          <cell r="K2999"/>
          <cell r="L2999"/>
        </row>
        <row r="3000">
          <cell r="C3000"/>
          <cell r="D3000"/>
          <cell r="E3000"/>
          <cell r="F3000"/>
          <cell r="G3000"/>
          <cell r="H3000"/>
          <cell r="I3000"/>
          <cell r="J3000"/>
          <cell r="K3000"/>
          <cell r="L3000"/>
        </row>
        <row r="3001">
          <cell r="C3001"/>
          <cell r="D3001"/>
          <cell r="E3001"/>
          <cell r="F3001"/>
          <cell r="G3001"/>
          <cell r="H3001"/>
          <cell r="I3001"/>
          <cell r="J3001"/>
          <cell r="K3001"/>
          <cell r="L3001"/>
        </row>
        <row r="3002">
          <cell r="C3002"/>
          <cell r="D3002"/>
          <cell r="E3002"/>
          <cell r="F3002"/>
          <cell r="G3002"/>
          <cell r="H3002"/>
          <cell r="I3002"/>
          <cell r="J3002"/>
          <cell r="K3002"/>
          <cell r="L3002"/>
        </row>
        <row r="3003">
          <cell r="C3003"/>
          <cell r="D3003"/>
          <cell r="E3003"/>
          <cell r="F3003"/>
          <cell r="G3003"/>
          <cell r="H3003"/>
          <cell r="I3003"/>
          <cell r="J3003"/>
          <cell r="K3003"/>
          <cell r="L3003"/>
        </row>
        <row r="3004">
          <cell r="C3004"/>
          <cell r="D3004"/>
          <cell r="E3004"/>
          <cell r="F3004"/>
          <cell r="G3004"/>
          <cell r="H3004"/>
          <cell r="I3004"/>
          <cell r="J3004"/>
          <cell r="K3004"/>
          <cell r="L3004"/>
        </row>
        <row r="3005">
          <cell r="C3005"/>
          <cell r="D3005"/>
          <cell r="E3005"/>
          <cell r="F3005"/>
          <cell r="G3005"/>
          <cell r="H3005"/>
          <cell r="I3005"/>
          <cell r="J3005"/>
          <cell r="K3005"/>
          <cell r="L3005"/>
        </row>
        <row r="3006">
          <cell r="C3006"/>
          <cell r="D3006"/>
          <cell r="E3006"/>
          <cell r="F3006"/>
          <cell r="G3006"/>
          <cell r="H3006"/>
          <cell r="I3006"/>
          <cell r="J3006"/>
          <cell r="K3006"/>
          <cell r="L3006"/>
        </row>
        <row r="3007">
          <cell r="C3007"/>
          <cell r="D3007"/>
          <cell r="E3007"/>
          <cell r="F3007"/>
          <cell r="G3007"/>
          <cell r="H3007"/>
          <cell r="I3007"/>
          <cell r="J3007"/>
          <cell r="K3007"/>
          <cell r="L3007"/>
        </row>
        <row r="3008">
          <cell r="C3008"/>
          <cell r="D3008"/>
          <cell r="E3008"/>
          <cell r="F3008"/>
          <cell r="G3008"/>
          <cell r="H3008"/>
          <cell r="I3008"/>
          <cell r="J3008"/>
          <cell r="K3008"/>
          <cell r="L3008"/>
        </row>
        <row r="3009">
          <cell r="C3009"/>
          <cell r="D3009"/>
          <cell r="E3009"/>
          <cell r="F3009"/>
          <cell r="G3009"/>
          <cell r="H3009"/>
          <cell r="I3009"/>
          <cell r="J3009"/>
          <cell r="K3009"/>
          <cell r="L3009"/>
        </row>
        <row r="3010">
          <cell r="C3010"/>
          <cell r="D3010"/>
          <cell r="E3010"/>
          <cell r="F3010"/>
          <cell r="G3010"/>
          <cell r="H3010"/>
          <cell r="I3010"/>
          <cell r="J3010"/>
          <cell r="K3010"/>
          <cell r="L3010"/>
        </row>
        <row r="3011">
          <cell r="C3011"/>
          <cell r="D3011"/>
          <cell r="E3011"/>
          <cell r="F3011"/>
          <cell r="G3011"/>
          <cell r="H3011"/>
          <cell r="I3011"/>
          <cell r="J3011"/>
          <cell r="K3011"/>
          <cell r="L3011"/>
        </row>
        <row r="3012">
          <cell r="C3012"/>
          <cell r="D3012"/>
          <cell r="E3012"/>
          <cell r="F3012"/>
          <cell r="G3012"/>
          <cell r="H3012"/>
          <cell r="I3012"/>
          <cell r="J3012"/>
          <cell r="K3012"/>
          <cell r="L3012"/>
        </row>
        <row r="3013">
          <cell r="C3013"/>
          <cell r="D3013"/>
          <cell r="E3013"/>
          <cell r="F3013"/>
          <cell r="G3013"/>
          <cell r="H3013"/>
          <cell r="I3013"/>
          <cell r="J3013"/>
          <cell r="K3013"/>
          <cell r="L3013"/>
        </row>
        <row r="3014">
          <cell r="C3014"/>
          <cell r="D3014"/>
          <cell r="E3014"/>
          <cell r="F3014"/>
          <cell r="G3014"/>
          <cell r="H3014"/>
          <cell r="I3014"/>
          <cell r="J3014"/>
          <cell r="K3014"/>
          <cell r="L3014"/>
        </row>
        <row r="3015">
          <cell r="C3015"/>
          <cell r="D3015"/>
          <cell r="E3015"/>
          <cell r="F3015"/>
          <cell r="G3015"/>
          <cell r="H3015"/>
          <cell r="I3015"/>
          <cell r="J3015"/>
          <cell r="K3015"/>
          <cell r="L3015"/>
        </row>
        <row r="3016">
          <cell r="C3016"/>
          <cell r="D3016"/>
          <cell r="E3016"/>
          <cell r="F3016"/>
          <cell r="G3016"/>
          <cell r="H3016"/>
          <cell r="I3016"/>
          <cell r="J3016"/>
          <cell r="K3016"/>
          <cell r="L3016"/>
        </row>
        <row r="3017">
          <cell r="C3017"/>
          <cell r="D3017"/>
          <cell r="E3017"/>
          <cell r="F3017"/>
          <cell r="G3017"/>
          <cell r="H3017"/>
          <cell r="I3017"/>
          <cell r="J3017"/>
          <cell r="K3017"/>
          <cell r="L3017"/>
        </row>
        <row r="3018">
          <cell r="C3018"/>
          <cell r="D3018"/>
          <cell r="E3018"/>
          <cell r="F3018"/>
          <cell r="G3018"/>
          <cell r="H3018"/>
          <cell r="I3018"/>
          <cell r="J3018"/>
          <cell r="K3018"/>
          <cell r="L3018"/>
        </row>
        <row r="3019">
          <cell r="C3019"/>
          <cell r="D3019"/>
          <cell r="E3019"/>
          <cell r="F3019"/>
          <cell r="G3019"/>
          <cell r="H3019"/>
          <cell r="I3019"/>
          <cell r="J3019"/>
          <cell r="K3019"/>
          <cell r="L3019"/>
        </row>
        <row r="3020">
          <cell r="C3020"/>
          <cell r="D3020"/>
          <cell r="E3020"/>
          <cell r="F3020"/>
          <cell r="G3020"/>
          <cell r="H3020"/>
          <cell r="I3020"/>
          <cell r="J3020"/>
          <cell r="K3020"/>
          <cell r="L3020"/>
        </row>
        <row r="3021">
          <cell r="C3021"/>
          <cell r="D3021"/>
          <cell r="E3021"/>
          <cell r="F3021"/>
          <cell r="G3021"/>
          <cell r="H3021"/>
          <cell r="I3021"/>
          <cell r="J3021"/>
          <cell r="K3021"/>
          <cell r="L3021"/>
        </row>
        <row r="3022">
          <cell r="C3022"/>
          <cell r="D3022"/>
          <cell r="E3022"/>
          <cell r="F3022"/>
          <cell r="G3022"/>
          <cell r="H3022"/>
          <cell r="I3022"/>
          <cell r="J3022"/>
          <cell r="K3022"/>
          <cell r="L3022"/>
        </row>
        <row r="3023">
          <cell r="C3023"/>
          <cell r="D3023"/>
          <cell r="E3023"/>
          <cell r="F3023"/>
          <cell r="G3023"/>
          <cell r="H3023"/>
          <cell r="I3023"/>
          <cell r="J3023"/>
          <cell r="K3023"/>
          <cell r="L3023"/>
        </row>
        <row r="3024">
          <cell r="C3024"/>
          <cell r="D3024"/>
          <cell r="E3024"/>
          <cell r="F3024"/>
          <cell r="G3024"/>
          <cell r="H3024"/>
          <cell r="I3024"/>
          <cell r="J3024"/>
          <cell r="K3024"/>
          <cell r="L3024"/>
        </row>
        <row r="3025">
          <cell r="C3025"/>
          <cell r="D3025"/>
          <cell r="E3025"/>
          <cell r="F3025"/>
          <cell r="G3025"/>
          <cell r="H3025"/>
          <cell r="I3025"/>
          <cell r="J3025"/>
          <cell r="K3025"/>
          <cell r="L3025"/>
        </row>
        <row r="3026">
          <cell r="C3026"/>
          <cell r="D3026"/>
          <cell r="E3026"/>
          <cell r="F3026"/>
          <cell r="G3026"/>
          <cell r="H3026"/>
          <cell r="I3026"/>
          <cell r="J3026"/>
          <cell r="K3026"/>
          <cell r="L3026"/>
        </row>
        <row r="3027">
          <cell r="C3027"/>
          <cell r="D3027"/>
          <cell r="E3027"/>
          <cell r="F3027"/>
          <cell r="G3027"/>
          <cell r="H3027"/>
          <cell r="I3027"/>
          <cell r="J3027"/>
          <cell r="K3027"/>
          <cell r="L3027"/>
        </row>
        <row r="3028">
          <cell r="C3028"/>
          <cell r="D3028"/>
          <cell r="E3028"/>
          <cell r="F3028"/>
          <cell r="G3028"/>
          <cell r="H3028"/>
          <cell r="I3028"/>
          <cell r="J3028"/>
          <cell r="K3028"/>
          <cell r="L3028"/>
        </row>
        <row r="3029">
          <cell r="C3029"/>
          <cell r="D3029"/>
          <cell r="E3029"/>
          <cell r="F3029"/>
          <cell r="G3029"/>
          <cell r="H3029"/>
          <cell r="I3029"/>
          <cell r="J3029"/>
          <cell r="K3029"/>
          <cell r="L3029"/>
        </row>
        <row r="3030">
          <cell r="C3030"/>
          <cell r="D3030"/>
          <cell r="E3030"/>
          <cell r="F3030"/>
          <cell r="G3030"/>
          <cell r="H3030"/>
          <cell r="I3030"/>
          <cell r="J3030"/>
          <cell r="K3030"/>
          <cell r="L3030"/>
        </row>
        <row r="3031">
          <cell r="C3031"/>
          <cell r="D3031"/>
          <cell r="E3031"/>
          <cell r="F3031"/>
          <cell r="G3031"/>
          <cell r="H3031"/>
          <cell r="I3031"/>
          <cell r="J3031"/>
          <cell r="K3031"/>
          <cell r="L3031"/>
        </row>
        <row r="3032">
          <cell r="C3032"/>
          <cell r="D3032"/>
          <cell r="E3032"/>
          <cell r="F3032"/>
          <cell r="G3032"/>
          <cell r="H3032"/>
          <cell r="I3032"/>
          <cell r="J3032"/>
          <cell r="K3032"/>
          <cell r="L3032"/>
        </row>
        <row r="3033">
          <cell r="C3033"/>
          <cell r="D3033"/>
          <cell r="E3033"/>
          <cell r="F3033"/>
          <cell r="G3033"/>
          <cell r="H3033"/>
          <cell r="I3033"/>
          <cell r="J3033"/>
          <cell r="K3033"/>
          <cell r="L3033"/>
        </row>
        <row r="3034">
          <cell r="C3034"/>
          <cell r="D3034"/>
          <cell r="E3034"/>
          <cell r="F3034"/>
          <cell r="G3034"/>
          <cell r="H3034"/>
          <cell r="I3034"/>
          <cell r="J3034"/>
          <cell r="K3034"/>
          <cell r="L3034"/>
        </row>
        <row r="3035">
          <cell r="C3035"/>
          <cell r="D3035"/>
          <cell r="E3035"/>
          <cell r="F3035"/>
          <cell r="G3035"/>
          <cell r="H3035"/>
          <cell r="I3035"/>
          <cell r="J3035"/>
          <cell r="K3035"/>
          <cell r="L3035"/>
        </row>
        <row r="3036">
          <cell r="C3036"/>
          <cell r="D3036"/>
          <cell r="E3036"/>
          <cell r="F3036"/>
          <cell r="G3036"/>
          <cell r="H3036"/>
          <cell r="I3036"/>
          <cell r="J3036"/>
          <cell r="K3036"/>
          <cell r="L3036"/>
        </row>
        <row r="3037">
          <cell r="C3037"/>
          <cell r="D3037"/>
          <cell r="E3037"/>
          <cell r="F3037"/>
          <cell r="G3037"/>
          <cell r="H3037"/>
          <cell r="I3037"/>
          <cell r="J3037"/>
          <cell r="K3037"/>
          <cell r="L3037"/>
        </row>
        <row r="3038">
          <cell r="C3038"/>
          <cell r="D3038"/>
          <cell r="E3038"/>
          <cell r="F3038"/>
          <cell r="G3038"/>
          <cell r="H3038"/>
          <cell r="I3038"/>
          <cell r="J3038"/>
          <cell r="K3038"/>
          <cell r="L3038"/>
        </row>
        <row r="3039">
          <cell r="C3039"/>
          <cell r="D3039"/>
          <cell r="E3039"/>
          <cell r="F3039"/>
          <cell r="G3039"/>
          <cell r="H3039"/>
          <cell r="I3039"/>
          <cell r="J3039"/>
          <cell r="K3039"/>
          <cell r="L3039"/>
        </row>
        <row r="3040">
          <cell r="C3040"/>
          <cell r="D3040"/>
          <cell r="E3040"/>
          <cell r="F3040"/>
          <cell r="G3040"/>
          <cell r="H3040"/>
          <cell r="I3040"/>
          <cell r="J3040"/>
          <cell r="K3040"/>
          <cell r="L3040"/>
        </row>
        <row r="3041">
          <cell r="C3041"/>
          <cell r="D3041"/>
          <cell r="E3041"/>
          <cell r="F3041"/>
          <cell r="G3041"/>
          <cell r="H3041"/>
          <cell r="I3041"/>
          <cell r="J3041"/>
          <cell r="K3041"/>
          <cell r="L3041"/>
        </row>
        <row r="3042">
          <cell r="C3042"/>
          <cell r="D3042"/>
          <cell r="E3042"/>
          <cell r="F3042"/>
          <cell r="G3042"/>
          <cell r="H3042"/>
          <cell r="I3042"/>
          <cell r="J3042"/>
          <cell r="K3042"/>
          <cell r="L3042"/>
        </row>
        <row r="3043">
          <cell r="C3043"/>
          <cell r="D3043"/>
          <cell r="E3043"/>
          <cell r="F3043"/>
          <cell r="G3043"/>
          <cell r="H3043"/>
          <cell r="I3043"/>
          <cell r="J3043"/>
          <cell r="K3043"/>
          <cell r="L3043"/>
        </row>
        <row r="3044">
          <cell r="C3044"/>
          <cell r="D3044"/>
          <cell r="E3044"/>
          <cell r="F3044"/>
          <cell r="G3044"/>
          <cell r="H3044"/>
          <cell r="I3044"/>
          <cell r="J3044"/>
          <cell r="K3044"/>
          <cell r="L3044"/>
        </row>
        <row r="3045">
          <cell r="C3045"/>
          <cell r="D3045"/>
          <cell r="E3045"/>
          <cell r="F3045"/>
          <cell r="G3045"/>
          <cell r="H3045"/>
          <cell r="I3045"/>
          <cell r="J3045"/>
          <cell r="K3045"/>
          <cell r="L3045"/>
        </row>
        <row r="3046">
          <cell r="C3046"/>
          <cell r="D3046"/>
          <cell r="E3046"/>
          <cell r="F3046"/>
          <cell r="G3046"/>
          <cell r="H3046"/>
          <cell r="I3046"/>
          <cell r="J3046"/>
          <cell r="K3046"/>
          <cell r="L3046"/>
        </row>
        <row r="3047">
          <cell r="C3047"/>
          <cell r="D3047"/>
          <cell r="E3047"/>
          <cell r="F3047"/>
          <cell r="G3047"/>
          <cell r="H3047"/>
          <cell r="I3047"/>
          <cell r="J3047"/>
          <cell r="K3047"/>
          <cell r="L3047"/>
        </row>
        <row r="3048">
          <cell r="C3048"/>
          <cell r="D3048"/>
          <cell r="E3048"/>
          <cell r="F3048"/>
          <cell r="G3048"/>
          <cell r="H3048"/>
          <cell r="I3048"/>
          <cell r="J3048"/>
          <cell r="K3048"/>
          <cell r="L3048"/>
        </row>
        <row r="3049">
          <cell r="C3049"/>
          <cell r="D3049"/>
          <cell r="E3049"/>
          <cell r="F3049"/>
          <cell r="G3049"/>
          <cell r="H3049"/>
          <cell r="I3049"/>
          <cell r="J3049"/>
          <cell r="K3049"/>
          <cell r="L3049"/>
        </row>
        <row r="3050">
          <cell r="C3050"/>
          <cell r="D3050"/>
          <cell r="E3050"/>
          <cell r="F3050"/>
          <cell r="G3050"/>
          <cell r="H3050"/>
          <cell r="I3050"/>
          <cell r="J3050"/>
          <cell r="K3050"/>
          <cell r="L3050"/>
        </row>
        <row r="3051">
          <cell r="C3051"/>
          <cell r="D3051"/>
          <cell r="E3051"/>
          <cell r="F3051"/>
          <cell r="G3051"/>
          <cell r="H3051"/>
          <cell r="I3051"/>
          <cell r="J3051"/>
          <cell r="K3051"/>
          <cell r="L3051"/>
        </row>
      </sheetData>
      <sheetData sheetId="3">
        <row r="1">
          <cell r="C1"/>
          <cell r="E1"/>
          <cell r="J1"/>
          <cell r="K1"/>
          <cell r="L1"/>
          <cell r="M1"/>
          <cell r="Q1"/>
          <cell r="R1"/>
          <cell r="S1"/>
        </row>
        <row r="2">
          <cell r="C2"/>
          <cell r="E2"/>
          <cell r="J2"/>
          <cell r="K2"/>
          <cell r="L2" t="str">
            <v>Current year</v>
          </cell>
          <cell r="M2"/>
          <cell r="O2" t="str">
            <v>Last year</v>
          </cell>
          <cell r="P2"/>
          <cell r="Q2"/>
          <cell r="S2"/>
        </row>
        <row r="3">
          <cell r="C3" t="str">
            <v>Only posting accounts from current quarter (YTD) equal to what is specified on the front page, may be copied into the area below! No totals.</v>
          </cell>
          <cell r="E3"/>
          <cell r="J3" t="str">
            <v>GLAccount Income Balance</v>
          </cell>
          <cell r="K3" t="str" vm="1">
            <v>All</v>
          </cell>
          <cell r="L3" t="str">
            <v>Q3 2025</v>
          </cell>
          <cell r="M3" t="e">
            <v>#N/A</v>
          </cell>
          <cell r="O3" t="str">
            <v>Q3 2024</v>
          </cell>
          <cell r="P3">
            <v>12</v>
          </cell>
          <cell r="Q3"/>
          <cell r="R3"/>
          <cell r="S3"/>
        </row>
        <row r="4">
          <cell r="C4"/>
          <cell r="E4"/>
          <cell r="J4" t="str">
            <v>Company Name</v>
          </cell>
          <cell r="K4" t="str" vm="2">
            <v>European Wind Farms Kåre 1 AB</v>
          </cell>
          <cell r="L4"/>
          <cell r="M4"/>
          <cell r="Q4"/>
          <cell r="R4"/>
          <cell r="S4"/>
        </row>
        <row r="5">
          <cell r="C5"/>
          <cell r="E5"/>
          <cell r="G5"/>
          <cell r="H5"/>
          <cell r="I5"/>
          <cell r="J5" t="str">
            <v>Company Active Status</v>
          </cell>
          <cell r="K5" t="str" vm="3">
            <v>True</v>
          </cell>
          <cell r="L5"/>
          <cell r="M5"/>
          <cell r="N5"/>
          <cell r="O5"/>
          <cell r="P5"/>
          <cell r="Q5"/>
          <cell r="R5"/>
          <cell r="S5"/>
        </row>
        <row r="6">
          <cell r="C6"/>
          <cell r="E6"/>
          <cell r="J6" t="str">
            <v>GAAP Code</v>
          </cell>
          <cell r="K6" t="str" vm="4">
            <v>(Multiple Items)</v>
          </cell>
          <cell r="L6"/>
          <cell r="M6"/>
          <cell r="N6"/>
          <cell r="O6"/>
          <cell r="P6"/>
          <cell r="Q6"/>
          <cell r="R6"/>
          <cell r="S6"/>
        </row>
        <row r="7">
          <cell r="C7"/>
          <cell r="E7"/>
          <cell r="J7"/>
          <cell r="K7"/>
          <cell r="L7" t="str">
            <v>Q1 2023</v>
          </cell>
          <cell r="M7" t="str">
            <v>Q2 2023</v>
          </cell>
          <cell r="N7" t="str">
            <v>Q3 2023</v>
          </cell>
          <cell r="O7" t="str">
            <v>Q4 2023</v>
          </cell>
          <cell r="P7" t="str">
            <v>Q1 2024</v>
          </cell>
          <cell r="Q7" t="str">
            <v>Q2 2024</v>
          </cell>
          <cell r="R7" t="str">
            <v>Q3 2024</v>
          </cell>
          <cell r="S7" t="str">
            <v>Q4 2024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</row>
        <row r="8">
          <cell r="C8"/>
          <cell r="E8"/>
          <cell r="J8" t="str">
            <v>Amount Balance LCY</v>
          </cell>
          <cell r="K8"/>
          <cell r="L8" t="str">
            <v>Year</v>
          </cell>
          <cell r="M8" t="str">
            <v>QuarterNameShort</v>
          </cell>
          <cell r="N8"/>
          <cell r="O8"/>
          <cell r="P8"/>
          <cell r="Q8"/>
          <cell r="R8"/>
          <cell r="S8"/>
        </row>
        <row r="9">
          <cell r="C9" t="str">
            <v>Manual Data</v>
          </cell>
          <cell r="E9"/>
          <cell r="J9"/>
          <cell r="K9"/>
          <cell r="L9" t="str">
            <v>2023</v>
          </cell>
          <cell r="M9" t="str">
            <v>2023</v>
          </cell>
          <cell r="N9" t="str">
            <v>2023</v>
          </cell>
          <cell r="O9" t="str">
            <v>2023</v>
          </cell>
          <cell r="P9" t="str">
            <v>2024</v>
          </cell>
          <cell r="Q9" t="str">
            <v>2024</v>
          </cell>
          <cell r="R9" t="str">
            <v>2024</v>
          </cell>
          <cell r="S9" t="str">
            <v>2024</v>
          </cell>
        </row>
        <row r="10">
          <cell r="C10" t="str">
            <v>Account no.</v>
          </cell>
          <cell r="E10" t="str">
            <v>Balance at Date</v>
          </cell>
          <cell r="G10" t="str">
            <v>GLAccount No</v>
          </cell>
          <cell r="H10" t="str">
            <v>Last year</v>
          </cell>
          <cell r="I10" t="str">
            <v>Current year</v>
          </cell>
          <cell r="J10" t="str">
            <v>GLAccount No</v>
          </cell>
          <cell r="K10" t="str">
            <v>GLAccount Name</v>
          </cell>
          <cell r="L10" t="str">
            <v>Q1</v>
          </cell>
          <cell r="M10" t="str">
            <v>Q2</v>
          </cell>
          <cell r="N10" t="str">
            <v>Q3</v>
          </cell>
          <cell r="O10" t="str">
            <v>Q4</v>
          </cell>
          <cell r="P10" t="str">
            <v>Q1</v>
          </cell>
          <cell r="Q10" t="str">
            <v>Q2</v>
          </cell>
          <cell r="R10" t="str">
            <v>Q3</v>
          </cell>
          <cell r="S10" t="str">
            <v>Q4</v>
          </cell>
        </row>
        <row r="11">
          <cell r="C11" t="str">
            <v>102111</v>
          </cell>
          <cell r="E11">
            <v>2765847.92</v>
          </cell>
          <cell r="G11">
            <v>102110</v>
          </cell>
          <cell r="H11">
            <v>0</v>
          </cell>
          <cell r="I11" t="e">
            <v>#REF!</v>
          </cell>
          <cell r="J11" t="str">
            <v>102110</v>
          </cell>
          <cell r="K11" t="str">
            <v>Sale of electricity Spot</v>
          </cell>
          <cell r="L11">
            <v>-10279715.720000001</v>
          </cell>
          <cell r="M11">
            <v>-10279715.720000001</v>
          </cell>
          <cell r="N11">
            <v>-10279715.720000001</v>
          </cell>
          <cell r="O11"/>
          <cell r="P11"/>
          <cell r="Q11"/>
          <cell r="R11"/>
          <cell r="S11"/>
        </row>
        <row r="12">
          <cell r="C12" t="str">
            <v>102120</v>
          </cell>
          <cell r="E12">
            <v>-21145314.239999998</v>
          </cell>
          <cell r="G12">
            <v>102111</v>
          </cell>
          <cell r="H12">
            <v>2046749.63</v>
          </cell>
          <cell r="I12" t="e">
            <v>#REF!</v>
          </cell>
          <cell r="J12" t="str">
            <v>102111</v>
          </cell>
          <cell r="K12" t="str">
            <v>Sale of electricity - Fixed price</v>
          </cell>
          <cell r="L12"/>
          <cell r="M12">
            <v>-1458116.05</v>
          </cell>
          <cell r="N12">
            <v>-1721207.9</v>
          </cell>
          <cell r="O12"/>
          <cell r="P12">
            <v>808089.72</v>
          </cell>
          <cell r="Q12">
            <v>1500770.1</v>
          </cell>
          <cell r="R12">
            <v>2046749.63</v>
          </cell>
          <cell r="S12">
            <v>-756373.63</v>
          </cell>
        </row>
        <row r="13">
          <cell r="C13" t="str">
            <v>103111</v>
          </cell>
          <cell r="E13">
            <v>226920.19</v>
          </cell>
          <cell r="G13">
            <v>102120</v>
          </cell>
          <cell r="H13">
            <v>-23133112.289999999</v>
          </cell>
          <cell r="I13" t="e">
            <v>#REF!</v>
          </cell>
          <cell r="J13" t="str">
            <v>102120</v>
          </cell>
          <cell r="K13" t="str">
            <v>Sale of electricity - Variable</v>
          </cell>
          <cell r="L13"/>
          <cell r="M13"/>
          <cell r="N13">
            <v>-4126329.25</v>
          </cell>
          <cell r="O13"/>
          <cell r="P13">
            <v>-9693027.3399999999</v>
          </cell>
          <cell r="Q13">
            <v>-17246851.050000001</v>
          </cell>
          <cell r="R13">
            <v>-23133112.289999999</v>
          </cell>
          <cell r="S13">
            <v>-29976816.670000002</v>
          </cell>
        </row>
        <row r="14">
          <cell r="C14" t="str">
            <v>103419</v>
          </cell>
          <cell r="E14">
            <v>-4497992.91</v>
          </cell>
          <cell r="G14">
            <v>103130</v>
          </cell>
          <cell r="H14">
            <v>0</v>
          </cell>
          <cell r="I14" t="e">
            <v>#REF!</v>
          </cell>
          <cell r="J14" t="str">
            <v>103130</v>
          </cell>
          <cell r="K14" t="str">
            <v>Other fees</v>
          </cell>
          <cell r="L14">
            <v>-10952.87</v>
          </cell>
          <cell r="M14">
            <v>-10952.87</v>
          </cell>
          <cell r="N14">
            <v>-21905.74</v>
          </cell>
          <cell r="O14"/>
          <cell r="P14"/>
          <cell r="Q14"/>
          <cell r="R14"/>
          <cell r="S14"/>
        </row>
        <row r="15">
          <cell r="C15" t="str">
            <v>112110</v>
          </cell>
          <cell r="E15">
            <v>1743683.58</v>
          </cell>
          <cell r="G15">
            <v>103131</v>
          </cell>
          <cell r="H15">
            <v>-15988028</v>
          </cell>
          <cell r="I15" t="e">
            <v>#REF!</v>
          </cell>
          <cell r="J15" t="str">
            <v>103131</v>
          </cell>
          <cell r="K15" t="str">
            <v>I/C Other fees</v>
          </cell>
          <cell r="L15"/>
          <cell r="M15"/>
          <cell r="N15">
            <v>-3105000</v>
          </cell>
          <cell r="O15"/>
          <cell r="P15">
            <v>-15988028</v>
          </cell>
          <cell r="Q15">
            <v>-15988028</v>
          </cell>
          <cell r="R15">
            <v>-15988028</v>
          </cell>
          <cell r="S15">
            <v>-15988028</v>
          </cell>
        </row>
        <row r="16">
          <cell r="C16" t="str">
            <v>112120</v>
          </cell>
          <cell r="E16">
            <v>1734174</v>
          </cell>
          <cell r="G16">
            <v>112120</v>
          </cell>
          <cell r="H16">
            <v>883807.45</v>
          </cell>
          <cell r="I16" t="e">
            <v>#REF!</v>
          </cell>
          <cell r="J16" t="str">
            <v>112120</v>
          </cell>
          <cell r="K16" t="str">
            <v>Land Lease - variable</v>
          </cell>
          <cell r="L16">
            <v>743253.09</v>
          </cell>
          <cell r="M16">
            <v>743253.09</v>
          </cell>
          <cell r="N16">
            <v>743253.09</v>
          </cell>
          <cell r="O16"/>
          <cell r="P16">
            <v>981740.46</v>
          </cell>
          <cell r="Q16">
            <v>883807.45</v>
          </cell>
          <cell r="R16">
            <v>883807.45</v>
          </cell>
          <cell r="S16">
            <v>883807.45</v>
          </cell>
        </row>
        <row r="17">
          <cell r="C17" t="str">
            <v>112130</v>
          </cell>
          <cell r="E17">
            <v>439296</v>
          </cell>
          <cell r="G17">
            <v>112210</v>
          </cell>
          <cell r="H17">
            <v>2004678.67</v>
          </cell>
          <cell r="I17" t="e">
            <v>#REF!</v>
          </cell>
          <cell r="J17" t="str">
            <v>112210</v>
          </cell>
          <cell r="K17" t="str">
            <v>Other Operation &amp; Maintenance</v>
          </cell>
          <cell r="L17"/>
          <cell r="M17">
            <v>1009306.94</v>
          </cell>
          <cell r="N17">
            <v>1016302.14</v>
          </cell>
          <cell r="O17"/>
          <cell r="P17">
            <v>90480.42</v>
          </cell>
          <cell r="Q17">
            <v>986225.82</v>
          </cell>
          <cell r="R17">
            <v>2004678.67</v>
          </cell>
          <cell r="S17">
            <v>3009142.33</v>
          </cell>
        </row>
        <row r="18">
          <cell r="C18" t="str">
            <v>112210</v>
          </cell>
          <cell r="E18">
            <v>-310116.33</v>
          </cell>
          <cell r="G18">
            <v>112212</v>
          </cell>
          <cell r="H18">
            <v>0</v>
          </cell>
          <cell r="I18" t="e">
            <v>#REF!</v>
          </cell>
          <cell r="J18" t="str">
            <v>112212</v>
          </cell>
          <cell r="K18" t="str">
            <v>High voltage Operation &amp; Maintenance</v>
          </cell>
          <cell r="L18"/>
          <cell r="M18"/>
          <cell r="N18">
            <v>22937</v>
          </cell>
          <cell r="O18"/>
          <cell r="P18"/>
          <cell r="Q18"/>
          <cell r="R18"/>
          <cell r="S18"/>
        </row>
        <row r="19">
          <cell r="C19" t="str">
            <v>112230</v>
          </cell>
          <cell r="E19">
            <v>1363825.38</v>
          </cell>
          <cell r="G19">
            <v>112221</v>
          </cell>
          <cell r="H19">
            <v>0</v>
          </cell>
          <cell r="I19" t="e">
            <v>#REF!</v>
          </cell>
          <cell r="J19" t="str">
            <v>112221</v>
          </cell>
          <cell r="K19" t="str">
            <v>I/C Operational Technology expenses</v>
          </cell>
          <cell r="L19"/>
          <cell r="M19">
            <v>169749.43</v>
          </cell>
          <cell r="N19">
            <v>169749.43</v>
          </cell>
          <cell r="O19"/>
          <cell r="P19"/>
          <cell r="Q19"/>
          <cell r="R19"/>
          <cell r="S19"/>
        </row>
        <row r="20">
          <cell r="C20" t="str">
            <v>112310</v>
          </cell>
          <cell r="E20">
            <v>184421.17</v>
          </cell>
          <cell r="G20">
            <v>112230</v>
          </cell>
          <cell r="H20">
            <v>1860079.72</v>
          </cell>
          <cell r="I20" t="e">
            <v>#REF!</v>
          </cell>
          <cell r="J20" t="str">
            <v>112230</v>
          </cell>
          <cell r="K20" t="str">
            <v>Ordinary Operation &amp; Maintenance</v>
          </cell>
          <cell r="L20"/>
          <cell r="M20">
            <v>971022.4</v>
          </cell>
          <cell r="N20">
            <v>2003937.06</v>
          </cell>
          <cell r="O20"/>
          <cell r="P20">
            <v>1860079.72</v>
          </cell>
          <cell r="Q20">
            <v>1860079.72</v>
          </cell>
          <cell r="R20">
            <v>1860079.72</v>
          </cell>
          <cell r="S20">
            <v>1860079.72</v>
          </cell>
        </row>
        <row r="21">
          <cell r="C21" t="str">
            <v>112410</v>
          </cell>
          <cell r="E21">
            <v>165825.07999999999</v>
          </cell>
          <cell r="G21">
            <v>112310</v>
          </cell>
          <cell r="H21">
            <v>180805.26</v>
          </cell>
          <cell r="I21" t="e">
            <v>#REF!</v>
          </cell>
          <cell r="J21" t="str">
            <v>112310</v>
          </cell>
          <cell r="K21" t="str">
            <v>Insurance premium</v>
          </cell>
          <cell r="L21"/>
          <cell r="M21">
            <v>8165.96</v>
          </cell>
          <cell r="N21">
            <v>148442.89000000001</v>
          </cell>
          <cell r="O21"/>
          <cell r="P21">
            <v>60269.1</v>
          </cell>
          <cell r="Q21">
            <v>120537.18</v>
          </cell>
          <cell r="R21">
            <v>180805.26</v>
          </cell>
          <cell r="S21">
            <v>241073.38</v>
          </cell>
        </row>
        <row r="22">
          <cell r="C22" t="str">
            <v>112520</v>
          </cell>
          <cell r="E22">
            <v>1164620.08</v>
          </cell>
          <cell r="G22">
            <v>112410</v>
          </cell>
          <cell r="H22">
            <v>109159.03</v>
          </cell>
          <cell r="I22" t="e">
            <v>#REF!</v>
          </cell>
          <cell r="J22" t="str">
            <v>112410</v>
          </cell>
          <cell r="K22" t="str">
            <v>Electricity costs</v>
          </cell>
          <cell r="L22">
            <v>-987321.53</v>
          </cell>
          <cell r="M22">
            <v>-620474.48</v>
          </cell>
          <cell r="N22">
            <v>-534933.13</v>
          </cell>
          <cell r="O22"/>
          <cell r="P22">
            <v>-92893.74</v>
          </cell>
          <cell r="Q22">
            <v>-18145.240000000002</v>
          </cell>
          <cell r="R22">
            <v>109159.03</v>
          </cell>
          <cell r="S22">
            <v>39180.660000000003</v>
          </cell>
        </row>
        <row r="23">
          <cell r="C23" t="str">
            <v>112610</v>
          </cell>
          <cell r="E23">
            <v>6644</v>
          </cell>
          <cell r="G23">
            <v>112520</v>
          </cell>
          <cell r="H23">
            <v>334752.8</v>
          </cell>
          <cell r="I23" t="e">
            <v>#REF!</v>
          </cell>
          <cell r="J23" t="str">
            <v>112520</v>
          </cell>
          <cell r="K23" t="str">
            <v>Repairs</v>
          </cell>
          <cell r="L23"/>
          <cell r="M23"/>
          <cell r="N23">
            <v>30142.799999999999</v>
          </cell>
          <cell r="O23"/>
          <cell r="P23"/>
          <cell r="Q23"/>
          <cell r="R23">
            <v>334752.8</v>
          </cell>
          <cell r="S23">
            <v>279816.31</v>
          </cell>
        </row>
        <row r="24">
          <cell r="C24" t="str">
            <v>112630</v>
          </cell>
          <cell r="E24">
            <v>-6835.12</v>
          </cell>
          <cell r="G24">
            <v>112610</v>
          </cell>
          <cell r="H24">
            <v>19912.8</v>
          </cell>
          <cell r="I24" t="e">
            <v>#REF!</v>
          </cell>
          <cell r="J24" t="str">
            <v>112610</v>
          </cell>
          <cell r="K24" t="str">
            <v>Communication &amp; data</v>
          </cell>
          <cell r="L24">
            <v>1760</v>
          </cell>
          <cell r="M24">
            <v>4334.6499999999996</v>
          </cell>
          <cell r="N24">
            <v>23585.35</v>
          </cell>
          <cell r="O24"/>
          <cell r="P24">
            <v>9736.7999999999993</v>
          </cell>
          <cell r="Q24">
            <v>14824.8</v>
          </cell>
          <cell r="R24">
            <v>19912.8</v>
          </cell>
          <cell r="S24">
            <v>19912.8</v>
          </cell>
        </row>
        <row r="25">
          <cell r="C25" t="str">
            <v>132130</v>
          </cell>
          <cell r="E25">
            <v>178310.95</v>
          </cell>
          <cell r="G25">
            <v>112620</v>
          </cell>
          <cell r="H25">
            <v>0</v>
          </cell>
          <cell r="I25" t="e">
            <v>#REF!</v>
          </cell>
          <cell r="J25" t="str">
            <v>112620</v>
          </cell>
          <cell r="K25" t="str">
            <v>Other direct costs</v>
          </cell>
          <cell r="L25">
            <v>2277801.2400000002</v>
          </cell>
          <cell r="M25">
            <v>2383912.77</v>
          </cell>
          <cell r="N25">
            <v>2385200.63</v>
          </cell>
          <cell r="O25"/>
          <cell r="P25"/>
          <cell r="Q25"/>
          <cell r="R25"/>
          <cell r="S25">
            <v>-533296.43000000005</v>
          </cell>
        </row>
        <row r="26">
          <cell r="C26" t="str">
            <v>132210</v>
          </cell>
          <cell r="E26">
            <v>5904</v>
          </cell>
          <cell r="G26">
            <v>112630</v>
          </cell>
          <cell r="H26">
            <v>404264.91</v>
          </cell>
          <cell r="I26" t="e">
            <v>#REF!</v>
          </cell>
          <cell r="J26" t="str">
            <v>112630</v>
          </cell>
          <cell r="K26" t="str">
            <v>Fees to market representatives</v>
          </cell>
          <cell r="L26">
            <v>487870.43</v>
          </cell>
          <cell r="M26">
            <v>487870.43</v>
          </cell>
          <cell r="N26">
            <v>487870.43</v>
          </cell>
          <cell r="O26"/>
          <cell r="P26"/>
          <cell r="Q26">
            <v>247034.22</v>
          </cell>
          <cell r="R26">
            <v>404264.91</v>
          </cell>
          <cell r="S26">
            <v>514067.75</v>
          </cell>
        </row>
        <row r="27">
          <cell r="C27" t="str">
            <v>133110</v>
          </cell>
          <cell r="E27">
            <v>18560.8</v>
          </cell>
          <cell r="G27">
            <v>112651</v>
          </cell>
          <cell r="H27">
            <v>0</v>
          </cell>
          <cell r="I27" t="e">
            <v>#REF!</v>
          </cell>
          <cell r="J27" t="str">
            <v>112651</v>
          </cell>
          <cell r="K27" t="str">
            <v>Other taxes</v>
          </cell>
          <cell r="L27"/>
          <cell r="M27">
            <v>1449</v>
          </cell>
          <cell r="N27">
            <v>1449</v>
          </cell>
          <cell r="O27"/>
          <cell r="P27"/>
          <cell r="Q27"/>
          <cell r="R27"/>
          <cell r="S27"/>
        </row>
        <row r="28">
          <cell r="C28" t="str">
            <v>133140</v>
          </cell>
          <cell r="E28">
            <v>540.77</v>
          </cell>
          <cell r="G28">
            <v>112675</v>
          </cell>
          <cell r="H28">
            <v>0</v>
          </cell>
          <cell r="I28" t="e">
            <v>#REF!</v>
          </cell>
          <cell r="J28" t="str">
            <v>112675</v>
          </cell>
          <cell r="K28" t="str">
            <v>Producer Fee</v>
          </cell>
          <cell r="L28"/>
          <cell r="M28">
            <v>5000</v>
          </cell>
          <cell r="N28">
            <v>5000</v>
          </cell>
          <cell r="O28"/>
          <cell r="P28"/>
          <cell r="Q28"/>
          <cell r="R28"/>
          <cell r="S28"/>
        </row>
        <row r="29">
          <cell r="C29" t="str">
            <v>134111</v>
          </cell>
          <cell r="E29">
            <v>158509.41</v>
          </cell>
          <cell r="G29">
            <v>124120</v>
          </cell>
          <cell r="H29">
            <v>0</v>
          </cell>
          <cell r="I29" t="e">
            <v>#REF!</v>
          </cell>
          <cell r="J29" t="str">
            <v>124120</v>
          </cell>
          <cell r="K29" t="str">
            <v>Communication charges</v>
          </cell>
          <cell r="L29"/>
          <cell r="M29">
            <v>2847.2</v>
          </cell>
          <cell r="N29">
            <v>2847.2</v>
          </cell>
          <cell r="O29"/>
          <cell r="P29"/>
          <cell r="Q29"/>
          <cell r="R29"/>
          <cell r="S29"/>
        </row>
        <row r="30">
          <cell r="C30" t="str">
            <v>134113</v>
          </cell>
          <cell r="E30">
            <v>57513.88</v>
          </cell>
          <cell r="G30">
            <v>133110</v>
          </cell>
          <cell r="H30">
            <v>0</v>
          </cell>
          <cell r="I30" t="e">
            <v>#REF!</v>
          </cell>
          <cell r="J30" t="str">
            <v>133110</v>
          </cell>
          <cell r="K30" t="str">
            <v>Communication charges</v>
          </cell>
          <cell r="L30"/>
          <cell r="M30"/>
          <cell r="N30"/>
          <cell r="O30"/>
          <cell r="P30"/>
          <cell r="Q30"/>
          <cell r="R30"/>
          <cell r="S30">
            <v>7111.2</v>
          </cell>
        </row>
        <row r="31">
          <cell r="C31" t="str">
            <v>134115</v>
          </cell>
          <cell r="E31">
            <v>116915.68</v>
          </cell>
          <cell r="G31">
            <v>134111</v>
          </cell>
          <cell r="H31">
            <v>402148.07</v>
          </cell>
          <cell r="I31" t="e">
            <v>#REF!</v>
          </cell>
          <cell r="J31" t="str">
            <v>134111</v>
          </cell>
          <cell r="K31" t="str">
            <v>I/C Asset management fees</v>
          </cell>
          <cell r="L31"/>
          <cell r="M31">
            <v>169749.43</v>
          </cell>
          <cell r="N31">
            <v>169749.43</v>
          </cell>
          <cell r="O31"/>
          <cell r="P31">
            <v>153745.64000000001</v>
          </cell>
          <cell r="Q31">
            <v>268814.08000000002</v>
          </cell>
          <cell r="R31">
            <v>402148.07</v>
          </cell>
          <cell r="S31">
            <v>355850.36</v>
          </cell>
        </row>
        <row r="32">
          <cell r="C32" t="str">
            <v>134120</v>
          </cell>
          <cell r="E32">
            <v>2243.75</v>
          </cell>
          <cell r="G32">
            <v>134130</v>
          </cell>
          <cell r="H32">
            <v>35250.400000000001</v>
          </cell>
          <cell r="I32" t="e">
            <v>#REF!</v>
          </cell>
          <cell r="J32" t="str">
            <v>134130</v>
          </cell>
          <cell r="K32" t="str">
            <v>Auditing fee</v>
          </cell>
          <cell r="L32">
            <v>6750</v>
          </cell>
          <cell r="M32">
            <v>12980.4</v>
          </cell>
          <cell r="N32">
            <v>33350.400000000001</v>
          </cell>
          <cell r="O32"/>
          <cell r="P32">
            <v>7500</v>
          </cell>
          <cell r="Q32">
            <v>27750.400000000001</v>
          </cell>
          <cell r="R32">
            <v>35250.400000000001</v>
          </cell>
          <cell r="S32">
            <v>42750.400000000001</v>
          </cell>
        </row>
        <row r="33">
          <cell r="C33" t="str">
            <v>134121</v>
          </cell>
          <cell r="E33">
            <v>14559703</v>
          </cell>
          <cell r="G33">
            <v>134140</v>
          </cell>
          <cell r="H33">
            <v>23700</v>
          </cell>
          <cell r="I33" t="e">
            <v>#REF!</v>
          </cell>
          <cell r="J33" t="str">
            <v>134140</v>
          </cell>
          <cell r="K33" t="str">
            <v>Fees from company auditor other than auditing/tax</v>
          </cell>
          <cell r="L33">
            <v>5250</v>
          </cell>
          <cell r="M33">
            <v>4500</v>
          </cell>
          <cell r="N33">
            <v>9750</v>
          </cell>
          <cell r="O33"/>
          <cell r="P33">
            <v>9900</v>
          </cell>
          <cell r="Q33">
            <v>13800</v>
          </cell>
          <cell r="R33">
            <v>23700</v>
          </cell>
          <cell r="S33">
            <v>33600</v>
          </cell>
        </row>
        <row r="34">
          <cell r="C34" t="str">
            <v>134130</v>
          </cell>
          <cell r="E34">
            <v>91355.4</v>
          </cell>
          <cell r="G34">
            <v>134160</v>
          </cell>
          <cell r="H34">
            <v>44600</v>
          </cell>
          <cell r="I34" t="e">
            <v>#REF!</v>
          </cell>
          <cell r="J34" t="str">
            <v>134160</v>
          </cell>
          <cell r="K34" t="str">
            <v>Other consultancy fees</v>
          </cell>
          <cell r="L34"/>
          <cell r="M34"/>
          <cell r="N34"/>
          <cell r="O34"/>
          <cell r="P34">
            <v>44600</v>
          </cell>
          <cell r="Q34">
            <v>44600</v>
          </cell>
          <cell r="R34">
            <v>44600</v>
          </cell>
          <cell r="S34">
            <v>44600</v>
          </cell>
        </row>
        <row r="35">
          <cell r="C35" t="str">
            <v>134140</v>
          </cell>
          <cell r="E35">
            <v>21262.5</v>
          </cell>
          <cell r="G35">
            <v>134170</v>
          </cell>
          <cell r="H35">
            <v>123425.60000000001</v>
          </cell>
          <cell r="I35" t="e">
            <v>#REF!</v>
          </cell>
          <cell r="J35" t="str">
            <v>134170</v>
          </cell>
          <cell r="K35" t="str">
            <v>Local Tax and Compliance</v>
          </cell>
          <cell r="L35"/>
          <cell r="M35">
            <v>3400</v>
          </cell>
          <cell r="N35">
            <v>18400</v>
          </cell>
          <cell r="O35"/>
          <cell r="P35">
            <v>34300</v>
          </cell>
          <cell r="Q35">
            <v>93550.399999999994</v>
          </cell>
          <cell r="R35">
            <v>123425.60000000001</v>
          </cell>
          <cell r="S35">
            <v>134025.60000000001</v>
          </cell>
        </row>
        <row r="36">
          <cell r="C36" t="str">
            <v>134160</v>
          </cell>
          <cell r="E36">
            <v>516493.99</v>
          </cell>
          <cell r="G36">
            <v>134171</v>
          </cell>
          <cell r="H36">
            <v>0</v>
          </cell>
          <cell r="I36" t="e">
            <v>#REF!</v>
          </cell>
          <cell r="J36" t="str">
            <v>134171</v>
          </cell>
          <cell r="K36" t="str">
            <v>Bookkeeping fee</v>
          </cell>
          <cell r="L36">
            <v>32750.400000000001</v>
          </cell>
          <cell r="M36">
            <v>52900.4</v>
          </cell>
          <cell r="N36">
            <v>52900.4</v>
          </cell>
          <cell r="O36"/>
          <cell r="P36"/>
          <cell r="Q36"/>
          <cell r="R36"/>
          <cell r="S36"/>
        </row>
        <row r="37">
          <cell r="C37" t="str">
            <v>134170</v>
          </cell>
          <cell r="E37">
            <v>77536.600000000006</v>
          </cell>
          <cell r="G37">
            <v>134220</v>
          </cell>
          <cell r="H37">
            <v>20359.62</v>
          </cell>
          <cell r="I37" t="e">
            <v>#REF!</v>
          </cell>
          <cell r="J37" t="str">
            <v>134220</v>
          </cell>
          <cell r="K37" t="str">
            <v>Bank charges</v>
          </cell>
          <cell r="L37">
            <v>1205.25</v>
          </cell>
          <cell r="M37">
            <v>47542.74</v>
          </cell>
          <cell r="N37">
            <v>51582.82</v>
          </cell>
          <cell r="O37"/>
          <cell r="P37">
            <v>6797.19</v>
          </cell>
          <cell r="Q37">
            <v>15393.34</v>
          </cell>
          <cell r="R37">
            <v>20359.62</v>
          </cell>
          <cell r="S37">
            <v>25588.85</v>
          </cell>
        </row>
        <row r="38">
          <cell r="C38" t="str">
            <v>134171</v>
          </cell>
          <cell r="E38">
            <v>38100</v>
          </cell>
          <cell r="G38">
            <v>134230</v>
          </cell>
          <cell r="H38">
            <v>2039</v>
          </cell>
          <cell r="I38" t="e">
            <v>#REF!</v>
          </cell>
          <cell r="J38" t="str">
            <v>134230</v>
          </cell>
          <cell r="K38" t="str">
            <v>Other fees</v>
          </cell>
          <cell r="L38">
            <v>59.72</v>
          </cell>
          <cell r="M38">
            <v>1769.72</v>
          </cell>
          <cell r="N38">
            <v>1769.72</v>
          </cell>
          <cell r="O38"/>
          <cell r="P38"/>
          <cell r="Q38">
            <v>1789</v>
          </cell>
          <cell r="R38">
            <v>2039</v>
          </cell>
          <cell r="S38">
            <v>5407</v>
          </cell>
        </row>
        <row r="39">
          <cell r="C39" t="str">
            <v>134220</v>
          </cell>
          <cell r="E39">
            <v>23760.27</v>
          </cell>
          <cell r="G39">
            <v>139140</v>
          </cell>
          <cell r="H39">
            <v>-1.66</v>
          </cell>
          <cell r="I39" t="e">
            <v>#REF!</v>
          </cell>
          <cell r="J39" t="str">
            <v>139140</v>
          </cell>
          <cell r="K39" t="str">
            <v>Rounding differences</v>
          </cell>
          <cell r="L39">
            <v>0.27</v>
          </cell>
          <cell r="M39">
            <v>1.28</v>
          </cell>
          <cell r="N39">
            <v>2.29</v>
          </cell>
          <cell r="O39"/>
          <cell r="P39">
            <v>-0.67</v>
          </cell>
          <cell r="Q39">
            <v>-1.4</v>
          </cell>
          <cell r="R39">
            <v>-1.66</v>
          </cell>
          <cell r="S39">
            <v>-1.7</v>
          </cell>
        </row>
        <row r="40">
          <cell r="C40" t="str">
            <v>134230</v>
          </cell>
          <cell r="E40">
            <v>4278.21</v>
          </cell>
          <cell r="G40">
            <v>139170</v>
          </cell>
          <cell r="H40">
            <v>0</v>
          </cell>
          <cell r="I40" t="e">
            <v>#REF!</v>
          </cell>
          <cell r="J40" t="str">
            <v>139170</v>
          </cell>
          <cell r="K40" t="str">
            <v>Non tax deductable expenses</v>
          </cell>
          <cell r="L40"/>
          <cell r="M40"/>
          <cell r="N40"/>
          <cell r="O40"/>
          <cell r="P40"/>
          <cell r="Q40"/>
          <cell r="R40"/>
          <cell r="S40">
            <v>31736</v>
          </cell>
        </row>
        <row r="41">
          <cell r="C41" t="str">
            <v>139140</v>
          </cell>
          <cell r="E41">
            <v>10.94</v>
          </cell>
          <cell r="G41">
            <v>145110</v>
          </cell>
          <cell r="H41">
            <v>-13820404.529999999</v>
          </cell>
          <cell r="I41" t="e">
            <v>#REF!</v>
          </cell>
          <cell r="J41" t="str">
            <v>145110</v>
          </cell>
          <cell r="K41" t="str">
            <v>DO NOT USE Nonrecurring income</v>
          </cell>
          <cell r="L41"/>
          <cell r="M41"/>
          <cell r="N41"/>
          <cell r="O41"/>
          <cell r="P41"/>
          <cell r="Q41"/>
          <cell r="R41">
            <v>-13820404.529999999</v>
          </cell>
          <cell r="S41">
            <v>-13820404.529999999</v>
          </cell>
        </row>
        <row r="42">
          <cell r="C42" t="str">
            <v>139150</v>
          </cell>
          <cell r="E42">
            <v>8131.2</v>
          </cell>
          <cell r="G42">
            <v>153110</v>
          </cell>
          <cell r="H42">
            <v>-3303.9</v>
          </cell>
          <cell r="I42" t="e">
            <v>#REF!</v>
          </cell>
          <cell r="J42" t="str">
            <v>153110</v>
          </cell>
          <cell r="K42" t="str">
            <v>Interest income from bank accounts</v>
          </cell>
          <cell r="L42">
            <v>-0.31</v>
          </cell>
          <cell r="M42">
            <v>-693.18</v>
          </cell>
          <cell r="N42">
            <v>-699.87</v>
          </cell>
          <cell r="O42"/>
          <cell r="P42">
            <v>-2572.31</v>
          </cell>
          <cell r="Q42">
            <v>-2960.58</v>
          </cell>
          <cell r="R42">
            <v>-3303.9</v>
          </cell>
          <cell r="S42">
            <v>-7567.18</v>
          </cell>
        </row>
        <row r="43">
          <cell r="C43" t="str">
            <v>145110</v>
          </cell>
          <cell r="E43">
            <v>-6031958</v>
          </cell>
          <cell r="G43">
            <v>153130</v>
          </cell>
          <cell r="H43">
            <v>0</v>
          </cell>
          <cell r="I43" t="e">
            <v>#REF!</v>
          </cell>
          <cell r="J43" t="str">
            <v>153130</v>
          </cell>
          <cell r="K43" t="str">
            <v>Other interest income</v>
          </cell>
          <cell r="L43">
            <v>-217.68</v>
          </cell>
          <cell r="M43">
            <v>-217.68</v>
          </cell>
          <cell r="N43">
            <v>-217.68</v>
          </cell>
          <cell r="O43"/>
          <cell r="P43"/>
          <cell r="Q43"/>
          <cell r="R43"/>
          <cell r="S43">
            <v>-13880728.380000001</v>
          </cell>
        </row>
        <row r="44">
          <cell r="C44" t="str">
            <v>153110</v>
          </cell>
          <cell r="E44">
            <v>-1228.48</v>
          </cell>
          <cell r="G44">
            <v>153140</v>
          </cell>
          <cell r="H44">
            <v>-35981</v>
          </cell>
          <cell r="I44" t="e">
            <v>#REF!</v>
          </cell>
          <cell r="J44" t="str">
            <v>153140</v>
          </cell>
          <cell r="K44" t="str">
            <v>Non-taxable interest income</v>
          </cell>
          <cell r="L44">
            <v>-585</v>
          </cell>
          <cell r="M44">
            <v>-18728</v>
          </cell>
          <cell r="N44">
            <v>-16583</v>
          </cell>
          <cell r="O44"/>
          <cell r="P44">
            <v>-2004</v>
          </cell>
          <cell r="Q44">
            <v>-1888</v>
          </cell>
          <cell r="R44">
            <v>-35981</v>
          </cell>
          <cell r="S44">
            <v>-35981</v>
          </cell>
        </row>
        <row r="45">
          <cell r="C45" t="str">
            <v>153140</v>
          </cell>
          <cell r="E45">
            <v>981</v>
          </cell>
          <cell r="G45">
            <v>153210</v>
          </cell>
          <cell r="H45">
            <v>-723662.73</v>
          </cell>
          <cell r="I45" t="e">
            <v>#REF!</v>
          </cell>
          <cell r="J45" t="str">
            <v>153210</v>
          </cell>
          <cell r="K45" t="str">
            <v>I/C Interest income</v>
          </cell>
          <cell r="L45"/>
          <cell r="M45"/>
          <cell r="N45"/>
          <cell r="O45"/>
          <cell r="P45">
            <v>-723662.73</v>
          </cell>
          <cell r="Q45">
            <v>-723662.73</v>
          </cell>
          <cell r="R45">
            <v>-723662.73</v>
          </cell>
          <cell r="S45">
            <v>-723662.73</v>
          </cell>
        </row>
        <row r="46">
          <cell r="C46" t="str">
            <v>153410</v>
          </cell>
          <cell r="E46">
            <v>-423654.94</v>
          </cell>
          <cell r="G46">
            <v>153410</v>
          </cell>
          <cell r="H46">
            <v>-366144.06</v>
          </cell>
          <cell r="I46" t="e">
            <v>#REF!</v>
          </cell>
          <cell r="J46" t="str">
            <v>153410</v>
          </cell>
          <cell r="K46" t="str">
            <v>Income from currency gains - r</v>
          </cell>
          <cell r="L46">
            <v>-196976.94</v>
          </cell>
          <cell r="M46">
            <v>-300583.95</v>
          </cell>
          <cell r="N46">
            <v>3376753.06</v>
          </cell>
          <cell r="O46"/>
          <cell r="P46">
            <v>-125187.28</v>
          </cell>
          <cell r="Q46">
            <v>-276096.92</v>
          </cell>
          <cell r="R46">
            <v>-366144.06</v>
          </cell>
          <cell r="S46">
            <v>-393104.09</v>
          </cell>
        </row>
        <row r="47">
          <cell r="C47" t="str">
            <v>153411</v>
          </cell>
          <cell r="E47">
            <v>-1898823.97</v>
          </cell>
          <cell r="G47">
            <v>153411</v>
          </cell>
          <cell r="H47">
            <v>659021.68999999994</v>
          </cell>
          <cell r="I47" t="e">
            <v>#REF!</v>
          </cell>
          <cell r="J47" t="str">
            <v>153411</v>
          </cell>
          <cell r="K47" t="str">
            <v>Income from currency gains - u</v>
          </cell>
          <cell r="L47">
            <v>-327304.33</v>
          </cell>
          <cell r="M47">
            <v>-704696.93</v>
          </cell>
          <cell r="N47">
            <v>-23540010.82</v>
          </cell>
          <cell r="O47"/>
          <cell r="P47">
            <v>-1212741.3700000001</v>
          </cell>
          <cell r="Q47">
            <v>807937.62</v>
          </cell>
          <cell r="R47">
            <v>659021.68999999994</v>
          </cell>
          <cell r="S47">
            <v>659021.68999999994</v>
          </cell>
        </row>
        <row r="48">
          <cell r="C48" t="str">
            <v>154120</v>
          </cell>
          <cell r="E48">
            <v>10711132.880000001</v>
          </cell>
          <cell r="G48">
            <v>154120</v>
          </cell>
          <cell r="H48">
            <v>16162995.49</v>
          </cell>
          <cell r="I48" t="e">
            <v>#REF!</v>
          </cell>
          <cell r="J48" t="str">
            <v>154120</v>
          </cell>
          <cell r="K48" t="str">
            <v>Interest expenses from bank acccounts</v>
          </cell>
          <cell r="L48"/>
          <cell r="M48">
            <v>8517344.4000000004</v>
          </cell>
          <cell r="N48">
            <v>14091497.01</v>
          </cell>
          <cell r="O48"/>
          <cell r="P48">
            <v>5289014.17</v>
          </cell>
          <cell r="Q48">
            <v>10901783.890000001</v>
          </cell>
          <cell r="R48">
            <v>16162995.49</v>
          </cell>
          <cell r="S48">
            <v>18163575.780000001</v>
          </cell>
        </row>
        <row r="49">
          <cell r="C49" t="str">
            <v>154140</v>
          </cell>
          <cell r="E49">
            <v>463651.87</v>
          </cell>
          <cell r="G49">
            <v>154131</v>
          </cell>
          <cell r="H49">
            <v>0</v>
          </cell>
          <cell r="I49" t="e">
            <v>#REF!</v>
          </cell>
          <cell r="J49" t="str">
            <v>154131</v>
          </cell>
          <cell r="K49" t="str">
            <v>Capitalised Interest Expence</v>
          </cell>
          <cell r="L49">
            <v>-2707137.85</v>
          </cell>
          <cell r="M49">
            <v>-6513627.3899999997</v>
          </cell>
          <cell r="N49"/>
          <cell r="O49"/>
          <cell r="P49"/>
          <cell r="Q49"/>
          <cell r="R49"/>
          <cell r="S49"/>
        </row>
        <row r="50">
          <cell r="C50" t="str">
            <v>154141</v>
          </cell>
          <cell r="E50">
            <v>1856957.71</v>
          </cell>
          <cell r="G50">
            <v>154140</v>
          </cell>
          <cell r="H50">
            <v>318192.45</v>
          </cell>
          <cell r="I50" t="e">
            <v>#REF!</v>
          </cell>
          <cell r="J50" t="str">
            <v>154140</v>
          </cell>
          <cell r="K50" t="str">
            <v>Guarantee provisions</v>
          </cell>
          <cell r="L50"/>
          <cell r="M50"/>
          <cell r="N50">
            <v>160050.19</v>
          </cell>
          <cell r="O50"/>
          <cell r="P50">
            <v>156826.18</v>
          </cell>
          <cell r="Q50">
            <v>318192.45</v>
          </cell>
          <cell r="R50">
            <v>318192.45</v>
          </cell>
          <cell r="S50">
            <v>318192.45</v>
          </cell>
        </row>
        <row r="51">
          <cell r="C51" t="str">
            <v>154160</v>
          </cell>
          <cell r="E51">
            <v>3939</v>
          </cell>
          <cell r="G51">
            <v>154141</v>
          </cell>
          <cell r="H51">
            <v>1337513.52</v>
          </cell>
          <cell r="I51" t="e">
            <v>#REF!</v>
          </cell>
          <cell r="J51" t="str">
            <v>154141</v>
          </cell>
          <cell r="K51" t="str">
            <v>I/C Parent Company Guarantee expense</v>
          </cell>
          <cell r="L51"/>
          <cell r="M51">
            <v>1195464.02</v>
          </cell>
          <cell r="N51">
            <v>1195464.02</v>
          </cell>
          <cell r="O51"/>
          <cell r="P51"/>
          <cell r="Q51">
            <v>671302.64</v>
          </cell>
          <cell r="R51">
            <v>1337513.52</v>
          </cell>
          <cell r="S51">
            <v>1337513.52</v>
          </cell>
        </row>
        <row r="52">
          <cell r="C52" t="str">
            <v>154310</v>
          </cell>
          <cell r="E52">
            <v>446301.51</v>
          </cell>
          <cell r="G52">
            <v>154150</v>
          </cell>
          <cell r="H52">
            <v>2365.0500000000002</v>
          </cell>
          <cell r="I52" t="e">
            <v>#REF!</v>
          </cell>
          <cell r="J52" t="str">
            <v>154150</v>
          </cell>
          <cell r="K52" t="str">
            <v>Other interest expenses</v>
          </cell>
          <cell r="L52">
            <v>605.83000000000004</v>
          </cell>
          <cell r="M52">
            <v>605.83000000000004</v>
          </cell>
          <cell r="N52">
            <v>943.83</v>
          </cell>
          <cell r="O52"/>
          <cell r="P52">
            <v>1115.05</v>
          </cell>
          <cell r="Q52">
            <v>2365.0500000000002</v>
          </cell>
          <cell r="R52">
            <v>2365.0500000000002</v>
          </cell>
          <cell r="S52">
            <v>2365.0500000000002</v>
          </cell>
        </row>
        <row r="53">
          <cell r="C53" t="str">
            <v>154311</v>
          </cell>
          <cell r="E53">
            <v>2751632.95</v>
          </cell>
          <cell r="G53">
            <v>154160</v>
          </cell>
          <cell r="H53">
            <v>105</v>
          </cell>
          <cell r="I53" t="e">
            <v>#REF!</v>
          </cell>
          <cell r="J53" t="str">
            <v>154160</v>
          </cell>
          <cell r="K53" t="str">
            <v>Non-deductible interest expenses</v>
          </cell>
          <cell r="L53"/>
          <cell r="M53"/>
          <cell r="N53">
            <v>4</v>
          </cell>
          <cell r="O53"/>
          <cell r="P53"/>
          <cell r="Q53">
            <v>628</v>
          </cell>
          <cell r="R53">
            <v>105</v>
          </cell>
          <cell r="S53">
            <v>105</v>
          </cell>
        </row>
        <row r="54">
          <cell r="C54" t="str">
            <v>161221</v>
          </cell>
          <cell r="E54">
            <v>-2642195.3199999998</v>
          </cell>
          <cell r="G54">
            <v>154210</v>
          </cell>
          <cell r="H54">
            <v>6084623.1500000004</v>
          </cell>
          <cell r="I54" t="e">
            <v>#REF!</v>
          </cell>
          <cell r="J54" t="str">
            <v>154210</v>
          </cell>
          <cell r="K54" t="str">
            <v>I/C Interest expenses</v>
          </cell>
          <cell r="L54">
            <v>2437772.5299999998</v>
          </cell>
          <cell r="M54">
            <v>4659986.5999999996</v>
          </cell>
          <cell r="N54">
            <v>5676355.6600000001</v>
          </cell>
          <cell r="O54"/>
          <cell r="P54">
            <v>2399744.2999999998</v>
          </cell>
          <cell r="Q54">
            <v>4279951.6900000004</v>
          </cell>
          <cell r="R54">
            <v>6084623.1500000004</v>
          </cell>
          <cell r="S54">
            <v>6084623.1500000004</v>
          </cell>
        </row>
        <row r="55">
          <cell r="C55" t="str">
            <v>161311</v>
          </cell>
          <cell r="E55">
            <v>-417009.65</v>
          </cell>
          <cell r="G55">
            <v>154310</v>
          </cell>
          <cell r="H55">
            <v>153829.9</v>
          </cell>
          <cell r="I55" t="e">
            <v>#REF!</v>
          </cell>
          <cell r="J55" t="str">
            <v>154310</v>
          </cell>
          <cell r="K55" t="str">
            <v>Costs from currency losses - r</v>
          </cell>
          <cell r="L55">
            <v>96659.68</v>
          </cell>
          <cell r="M55">
            <v>171804.44</v>
          </cell>
          <cell r="N55">
            <v>-959463.39</v>
          </cell>
          <cell r="O55"/>
          <cell r="P55">
            <v>37097.83</v>
          </cell>
          <cell r="Q55">
            <v>128027.9</v>
          </cell>
          <cell r="R55">
            <v>153829.9</v>
          </cell>
          <cell r="S55">
            <v>153829.9</v>
          </cell>
        </row>
        <row r="56">
          <cell r="C56" t="str">
            <v>212110</v>
          </cell>
          <cell r="E56">
            <v>475157722.20999998</v>
          </cell>
          <cell r="G56">
            <v>154311</v>
          </cell>
          <cell r="H56">
            <v>-447790.13</v>
          </cell>
          <cell r="I56" t="e">
            <v>#REF!</v>
          </cell>
          <cell r="J56" t="str">
            <v>154311</v>
          </cell>
          <cell r="K56" t="str">
            <v>Costs from currency losses - u</v>
          </cell>
          <cell r="L56">
            <v>269365.33</v>
          </cell>
          <cell r="M56">
            <v>5649806.5</v>
          </cell>
          <cell r="N56">
            <v>8816430.1799999997</v>
          </cell>
          <cell r="O56"/>
          <cell r="P56">
            <v>-730305.76</v>
          </cell>
          <cell r="Q56">
            <v>-448094.65</v>
          </cell>
          <cell r="R56">
            <v>-447790.13</v>
          </cell>
          <cell r="S56">
            <v>-447790.13</v>
          </cell>
        </row>
        <row r="57">
          <cell r="C57" t="str">
            <v>212120</v>
          </cell>
          <cell r="E57">
            <v>-14744241.199999999</v>
          </cell>
          <cell r="G57">
            <v>161220</v>
          </cell>
          <cell r="H57">
            <v>0</v>
          </cell>
          <cell r="I57" t="e">
            <v>#REF!</v>
          </cell>
          <cell r="J57" t="str">
            <v>161220</v>
          </cell>
          <cell r="K57" t="str">
            <v>Change in deferred tax - other</v>
          </cell>
          <cell r="L57">
            <v>2278503</v>
          </cell>
          <cell r="M57"/>
          <cell r="N57"/>
          <cell r="O57"/>
          <cell r="P57"/>
          <cell r="Q57"/>
          <cell r="R57"/>
          <cell r="S57"/>
        </row>
        <row r="58">
          <cell r="C58" t="str">
            <v>311000</v>
          </cell>
          <cell r="E58">
            <v>1320012.68</v>
          </cell>
          <cell r="G58">
            <v>212110</v>
          </cell>
          <cell r="H58">
            <v>453520285.05000001</v>
          </cell>
          <cell r="I58" t="e">
            <v>#REF!</v>
          </cell>
          <cell r="J58" t="str">
            <v>212110</v>
          </cell>
          <cell r="K58" t="str">
            <v>Cost at beginning of the year</v>
          </cell>
          <cell r="L58">
            <v>439350826.92000002</v>
          </cell>
          <cell r="M58">
            <v>439350826.92000002</v>
          </cell>
          <cell r="N58">
            <v>439350826.92000002</v>
          </cell>
          <cell r="O58">
            <v>453520285.05000001</v>
          </cell>
          <cell r="P58">
            <v>453520285.05000001</v>
          </cell>
          <cell r="Q58">
            <v>453520285.05000001</v>
          </cell>
          <cell r="R58">
            <v>453520285.05000001</v>
          </cell>
          <cell r="S58">
            <v>453520285.05000001</v>
          </cell>
        </row>
        <row r="59">
          <cell r="C59" t="str">
            <v>311030</v>
          </cell>
          <cell r="E59">
            <v>-5773.93</v>
          </cell>
          <cell r="G59">
            <v>212120</v>
          </cell>
          <cell r="H59">
            <v>13022299.59</v>
          </cell>
          <cell r="I59" t="e">
            <v>#REF!</v>
          </cell>
          <cell r="J59" t="str">
            <v>212120</v>
          </cell>
          <cell r="K59" t="str">
            <v>Additions during the year</v>
          </cell>
          <cell r="L59">
            <v>8507849.5999999996</v>
          </cell>
          <cell r="M59">
            <v>13794841.92</v>
          </cell>
          <cell r="N59">
            <v>22009485.390000001</v>
          </cell>
          <cell r="O59"/>
          <cell r="P59">
            <v>21389852.68</v>
          </cell>
          <cell r="Q59">
            <v>15456730.689999999</v>
          </cell>
          <cell r="R59">
            <v>13022299.59</v>
          </cell>
          <cell r="S59">
            <v>13588339.449999999</v>
          </cell>
        </row>
        <row r="60">
          <cell r="C60" t="str">
            <v>312000</v>
          </cell>
          <cell r="E60">
            <v>5822990.6500000004</v>
          </cell>
          <cell r="G60">
            <v>311000</v>
          </cell>
          <cell r="H60">
            <v>1917279.16</v>
          </cell>
          <cell r="I60" t="e">
            <v>#REF!</v>
          </cell>
          <cell r="J60" t="str">
            <v>311000</v>
          </cell>
          <cell r="K60" t="str">
            <v>Trade receivables</v>
          </cell>
          <cell r="L60">
            <v>2449244.13</v>
          </cell>
          <cell r="M60"/>
          <cell r="N60">
            <v>981135</v>
          </cell>
          <cell r="O60">
            <v>2164668.02</v>
          </cell>
          <cell r="P60">
            <v>1905042.79</v>
          </cell>
          <cell r="Q60">
            <v>2008815.72</v>
          </cell>
          <cell r="R60">
            <v>1917279.16</v>
          </cell>
          <cell r="S60">
            <v>19180861.98</v>
          </cell>
        </row>
        <row r="61">
          <cell r="C61" t="str">
            <v>321000</v>
          </cell>
          <cell r="E61">
            <v>95800000</v>
          </cell>
          <cell r="G61">
            <v>312000</v>
          </cell>
          <cell r="H61">
            <v>15112389.66</v>
          </cell>
          <cell r="I61" t="e">
            <v>#REF!</v>
          </cell>
          <cell r="J61" t="str">
            <v>312000</v>
          </cell>
          <cell r="K61" t="str">
            <v>Accrued income from sale of el</v>
          </cell>
          <cell r="L61"/>
          <cell r="M61">
            <v>1458116.05</v>
          </cell>
          <cell r="N61">
            <v>1732160.77</v>
          </cell>
          <cell r="O61">
            <v>3338734.76</v>
          </cell>
          <cell r="P61">
            <v>2534264.7200000002</v>
          </cell>
          <cell r="Q61">
            <v>1837964.66</v>
          </cell>
          <cell r="R61">
            <v>15112389.66</v>
          </cell>
          <cell r="S61">
            <v>17915512.920000002</v>
          </cell>
        </row>
        <row r="62">
          <cell r="C62" t="str">
            <v>354500</v>
          </cell>
          <cell r="E62">
            <v>592639.18000000005</v>
          </cell>
          <cell r="G62">
            <v>321000</v>
          </cell>
          <cell r="H62">
            <v>0</v>
          </cell>
          <cell r="I62" t="e">
            <v>#REF!</v>
          </cell>
          <cell r="J62" t="str">
            <v>321000</v>
          </cell>
          <cell r="K62" t="str">
            <v>I/C Amounts owed by affiliated com</v>
          </cell>
          <cell r="L62">
            <v>-0.01</v>
          </cell>
          <cell r="M62">
            <v>26154245.190000001</v>
          </cell>
          <cell r="N62">
            <v>58884823.039999999</v>
          </cell>
          <cell r="O62">
            <v>30027174.550000001</v>
          </cell>
          <cell r="P62">
            <v>47240060.07</v>
          </cell>
          <cell r="Q62">
            <v>1500000</v>
          </cell>
          <cell r="R62"/>
          <cell r="S62"/>
        </row>
        <row r="63">
          <cell r="C63" t="str">
            <v>361200</v>
          </cell>
          <cell r="E63">
            <v>93364.24</v>
          </cell>
          <cell r="G63">
            <v>351020</v>
          </cell>
          <cell r="H63">
            <v>0</v>
          </cell>
          <cell r="I63" t="e">
            <v>#REF!</v>
          </cell>
          <cell r="J63" t="str">
            <v>351020</v>
          </cell>
          <cell r="K63" t="str">
            <v>Project costs to be reimbursed</v>
          </cell>
          <cell r="L63">
            <v>1881</v>
          </cell>
          <cell r="M63">
            <v>5643</v>
          </cell>
          <cell r="N63"/>
          <cell r="O63"/>
          <cell r="P63"/>
          <cell r="Q63"/>
          <cell r="R63"/>
          <cell r="S63"/>
        </row>
        <row r="64">
          <cell r="C64" t="str">
            <v>362000</v>
          </cell>
          <cell r="E64">
            <v>6760551</v>
          </cell>
          <cell r="G64">
            <v>351030</v>
          </cell>
          <cell r="H64">
            <v>0</v>
          </cell>
          <cell r="I64" t="e">
            <v>#REF!</v>
          </cell>
          <cell r="J64" t="str">
            <v>351030</v>
          </cell>
          <cell r="K64" t="str">
            <v>Other costs to be reimbursed</v>
          </cell>
          <cell r="L64">
            <v>3762</v>
          </cell>
          <cell r="M64">
            <v>3762</v>
          </cell>
          <cell r="N64">
            <v>2103.1999999999998</v>
          </cell>
          <cell r="O64"/>
          <cell r="P64"/>
          <cell r="Q64"/>
          <cell r="R64"/>
          <cell r="S64"/>
        </row>
        <row r="65">
          <cell r="C65" t="str">
            <v>391010</v>
          </cell>
          <cell r="E65">
            <v>134.05000000000001</v>
          </cell>
          <cell r="G65">
            <v>354500</v>
          </cell>
          <cell r="H65">
            <v>566508.68000000005</v>
          </cell>
          <cell r="I65" t="e">
            <v>#REF!</v>
          </cell>
          <cell r="J65" t="str">
            <v>354500</v>
          </cell>
          <cell r="K65" t="str">
            <v>Other receivables</v>
          </cell>
          <cell r="L65">
            <v>4665553.55</v>
          </cell>
          <cell r="M65">
            <v>1178495.55</v>
          </cell>
          <cell r="N65">
            <v>786405</v>
          </cell>
          <cell r="O65">
            <v>3198772.68</v>
          </cell>
          <cell r="P65">
            <v>2548940.23</v>
          </cell>
          <cell r="Q65">
            <v>2677190.23</v>
          </cell>
          <cell r="R65">
            <v>566508.68000000005</v>
          </cell>
          <cell r="S65">
            <v>583418.68000000005</v>
          </cell>
        </row>
        <row r="66">
          <cell r="C66" t="str">
            <v>393015</v>
          </cell>
          <cell r="E66">
            <v>21724.94</v>
          </cell>
          <cell r="G66">
            <v>361200</v>
          </cell>
          <cell r="H66">
            <v>112768.12</v>
          </cell>
          <cell r="I66" t="e">
            <v>#REF!</v>
          </cell>
          <cell r="J66" t="str">
            <v>361200</v>
          </cell>
          <cell r="K66" t="str">
            <v>Prepaid insurance premium</v>
          </cell>
          <cell r="L66"/>
          <cell r="M66"/>
          <cell r="N66">
            <v>130618.7</v>
          </cell>
          <cell r="O66">
            <v>66000</v>
          </cell>
          <cell r="P66">
            <v>242304.28</v>
          </cell>
          <cell r="Q66">
            <v>177536.2</v>
          </cell>
          <cell r="R66">
            <v>112768.12</v>
          </cell>
          <cell r="S66">
            <v>48000</v>
          </cell>
        </row>
        <row r="67">
          <cell r="C67" t="str">
            <v>393020</v>
          </cell>
          <cell r="E67">
            <v>610286.17000000004</v>
          </cell>
          <cell r="G67">
            <v>362000</v>
          </cell>
          <cell r="H67">
            <v>0</v>
          </cell>
          <cell r="I67" t="e">
            <v>#REF!</v>
          </cell>
          <cell r="J67" t="str">
            <v>362000</v>
          </cell>
          <cell r="K67" t="str">
            <v>Other prepaid expenses</v>
          </cell>
          <cell r="L67"/>
          <cell r="M67"/>
          <cell r="N67"/>
          <cell r="O67">
            <v>54000</v>
          </cell>
          <cell r="P67"/>
          <cell r="Q67"/>
          <cell r="R67"/>
          <cell r="S67"/>
        </row>
        <row r="68">
          <cell r="C68" t="str">
            <v>393025</v>
          </cell>
          <cell r="E68">
            <v>4844093.6500000004</v>
          </cell>
          <cell r="G68">
            <v>391010</v>
          </cell>
          <cell r="H68">
            <v>130.4</v>
          </cell>
          <cell r="I68" t="e">
            <v>#REF!</v>
          </cell>
          <cell r="J68" t="str">
            <v>391010</v>
          </cell>
          <cell r="K68" t="str">
            <v>Nordea 5036626927</v>
          </cell>
          <cell r="L68">
            <v>124.6</v>
          </cell>
          <cell r="M68">
            <v>125.52</v>
          </cell>
          <cell r="N68">
            <v>126.44</v>
          </cell>
          <cell r="O68">
            <v>127.35</v>
          </cell>
          <cell r="P68">
            <v>128.57</v>
          </cell>
          <cell r="Q68">
            <v>129.47999999999999</v>
          </cell>
          <cell r="R68">
            <v>130.4</v>
          </cell>
          <cell r="S68">
            <v>131.32</v>
          </cell>
        </row>
        <row r="69">
          <cell r="C69" t="str">
            <v>393030</v>
          </cell>
          <cell r="E69">
            <v>24430.080000000002</v>
          </cell>
          <cell r="G69">
            <v>393015</v>
          </cell>
          <cell r="H69">
            <v>325421.40999999997</v>
          </cell>
          <cell r="I69" t="e">
            <v>#REF!</v>
          </cell>
          <cell r="J69" t="str">
            <v>393015</v>
          </cell>
          <cell r="K69" t="str">
            <v>Danske Bank 4316130860 EUR</v>
          </cell>
          <cell r="L69">
            <v>96541.43</v>
          </cell>
          <cell r="M69">
            <v>-1230.33</v>
          </cell>
          <cell r="N69">
            <v>-2342.66</v>
          </cell>
          <cell r="O69">
            <v>30195.62</v>
          </cell>
          <cell r="P69">
            <v>42149.3</v>
          </cell>
          <cell r="Q69">
            <v>38983.47</v>
          </cell>
          <cell r="R69">
            <v>325421.40999999997</v>
          </cell>
          <cell r="S69">
            <v>163624.04999999999</v>
          </cell>
        </row>
        <row r="70">
          <cell r="C70" t="str">
            <v>393031</v>
          </cell>
          <cell r="E70">
            <v>275.52999999999997</v>
          </cell>
          <cell r="G70">
            <v>393020</v>
          </cell>
          <cell r="H70">
            <v>2321371.2999999998</v>
          </cell>
          <cell r="I70" t="e">
            <v>#REF!</v>
          </cell>
          <cell r="J70" t="str">
            <v>393020</v>
          </cell>
          <cell r="K70" t="str">
            <v>Nordea 92 19 19-7 SEK</v>
          </cell>
          <cell r="L70">
            <v>324636.23</v>
          </cell>
          <cell r="M70">
            <v>5125579.42</v>
          </cell>
          <cell r="N70">
            <v>5164873.28</v>
          </cell>
          <cell r="O70">
            <v>7524114.96</v>
          </cell>
          <cell r="P70">
            <v>7550930.4800000004</v>
          </cell>
          <cell r="Q70">
            <v>397610.68</v>
          </cell>
          <cell r="R70">
            <v>2321371.2999999998</v>
          </cell>
          <cell r="S70">
            <v>723223.77</v>
          </cell>
        </row>
        <row r="71">
          <cell r="C71" t="str">
            <v>411100</v>
          </cell>
          <cell r="E71">
            <v>-50000</v>
          </cell>
          <cell r="G71">
            <v>393025</v>
          </cell>
          <cell r="H71">
            <v>49785.47</v>
          </cell>
          <cell r="I71" t="e">
            <v>#REF!</v>
          </cell>
          <cell r="J71" t="str">
            <v>393025</v>
          </cell>
          <cell r="K71" t="str">
            <v>Nordea 92 19 19-7 EUR</v>
          </cell>
          <cell r="L71">
            <v>37444.379999999997</v>
          </cell>
          <cell r="M71">
            <v>777510.09</v>
          </cell>
          <cell r="N71">
            <v>662003.88</v>
          </cell>
          <cell r="O71">
            <v>163394.37</v>
          </cell>
          <cell r="P71">
            <v>66814.17</v>
          </cell>
          <cell r="Q71">
            <v>54958.76</v>
          </cell>
          <cell r="R71">
            <v>49785.47</v>
          </cell>
          <cell r="S71">
            <v>14432989.17</v>
          </cell>
        </row>
        <row r="72">
          <cell r="C72" t="str">
            <v>451000</v>
          </cell>
          <cell r="E72">
            <v>-51476818.890000001</v>
          </cell>
          <cell r="G72">
            <v>393030</v>
          </cell>
          <cell r="H72">
            <v>23835.360000000001</v>
          </cell>
          <cell r="I72" t="e">
            <v>#REF!</v>
          </cell>
          <cell r="J72" t="str">
            <v>393030</v>
          </cell>
          <cell r="K72" t="str">
            <v>Sparekassen Kronjylland 6680 0017902504</v>
          </cell>
          <cell r="L72">
            <v>3371280.56</v>
          </cell>
          <cell r="M72">
            <v>6027898.1699999999</v>
          </cell>
          <cell r="N72">
            <v>121869.27</v>
          </cell>
          <cell r="O72">
            <v>134359.13</v>
          </cell>
          <cell r="P72">
            <v>24269.07</v>
          </cell>
          <cell r="Q72">
            <v>23959.99</v>
          </cell>
          <cell r="R72">
            <v>23835.360000000001</v>
          </cell>
          <cell r="S72">
            <v>27289.47</v>
          </cell>
        </row>
        <row r="73">
          <cell r="C73" t="str">
            <v>456000</v>
          </cell>
          <cell r="E73">
            <v>-94281334.120000005</v>
          </cell>
          <cell r="G73">
            <v>411100</v>
          </cell>
          <cell r="H73">
            <v>-50000</v>
          </cell>
          <cell r="I73" t="e">
            <v>#REF!</v>
          </cell>
          <cell r="J73" t="str">
            <v>411100</v>
          </cell>
          <cell r="K73" t="str">
            <v>Share capital - registered at beginning of year</v>
          </cell>
          <cell r="L73">
            <v>-50000</v>
          </cell>
          <cell r="M73">
            <v>-50000</v>
          </cell>
          <cell r="N73">
            <v>-50000</v>
          </cell>
          <cell r="O73">
            <v>-50000</v>
          </cell>
          <cell r="P73">
            <v>-50000</v>
          </cell>
          <cell r="Q73">
            <v>-50000</v>
          </cell>
          <cell r="R73">
            <v>-50000</v>
          </cell>
          <cell r="S73">
            <v>-50000</v>
          </cell>
        </row>
        <row r="74">
          <cell r="C74" t="str">
            <v>500110</v>
          </cell>
          <cell r="E74">
            <v>-4535209.3499999996</v>
          </cell>
          <cell r="G74">
            <v>451000</v>
          </cell>
          <cell r="H74">
            <v>-22452912.75</v>
          </cell>
          <cell r="I74" t="e">
            <v>#REF!</v>
          </cell>
          <cell r="J74" t="str">
            <v>451000</v>
          </cell>
          <cell r="K74" t="str">
            <v>Retained earnings at beginning</v>
          </cell>
          <cell r="L74">
            <v>-10694630.74</v>
          </cell>
          <cell r="M74">
            <v>-10694630.74</v>
          </cell>
          <cell r="N74">
            <v>-10694630.74</v>
          </cell>
          <cell r="O74">
            <v>-22452912.75</v>
          </cell>
          <cell r="P74">
            <v>-22452912.75</v>
          </cell>
          <cell r="Q74">
            <v>-22452912.75</v>
          </cell>
          <cell r="R74">
            <v>-22452912.75</v>
          </cell>
          <cell r="S74">
            <v>-22452912.75</v>
          </cell>
        </row>
        <row r="75">
          <cell r="C75" t="str">
            <v>500120</v>
          </cell>
          <cell r="E75">
            <v>-748563.72</v>
          </cell>
          <cell r="G75">
            <v>456000</v>
          </cell>
          <cell r="H75">
            <v>-1943212.44</v>
          </cell>
          <cell r="I75" t="e">
            <v>#REF!</v>
          </cell>
          <cell r="J75" t="str">
            <v>456000</v>
          </cell>
          <cell r="K75" t="str">
            <v>Other movements on retained earning</v>
          </cell>
          <cell r="L75">
            <v>-152604.41</v>
          </cell>
          <cell r="M75">
            <v>-660535.66</v>
          </cell>
          <cell r="N75">
            <v>-26018748.489999998</v>
          </cell>
          <cell r="O75"/>
          <cell r="P75">
            <v>-2332424.7799999998</v>
          </cell>
          <cell r="Q75">
            <v>-2035272.46</v>
          </cell>
          <cell r="R75">
            <v>-1943212.44</v>
          </cell>
          <cell r="S75">
            <v>-1943212.44</v>
          </cell>
        </row>
        <row r="76">
          <cell r="C76" t="str">
            <v>512000</v>
          </cell>
          <cell r="E76">
            <v>-9476845.5399999991</v>
          </cell>
          <cell r="G76">
            <v>500120</v>
          </cell>
          <cell r="H76">
            <v>-4535209.3499999996</v>
          </cell>
          <cell r="I76" t="e">
            <v>#REF!</v>
          </cell>
          <cell r="J76" t="str">
            <v>500120</v>
          </cell>
          <cell r="K76" t="str">
            <v>Additions during the year</v>
          </cell>
          <cell r="L76"/>
          <cell r="M76"/>
          <cell r="N76"/>
          <cell r="O76"/>
          <cell r="P76"/>
          <cell r="Q76"/>
          <cell r="R76">
            <v>-4535209.3499999996</v>
          </cell>
          <cell r="S76">
            <v>-4535209.3499999996</v>
          </cell>
        </row>
        <row r="77">
          <cell r="C77" t="str">
            <v>512005</v>
          </cell>
          <cell r="E77">
            <v>2642195.3199999998</v>
          </cell>
          <cell r="G77">
            <v>500150</v>
          </cell>
          <cell r="H77">
            <v>0</v>
          </cell>
          <cell r="I77" t="e">
            <v>#REF!</v>
          </cell>
          <cell r="J77" t="str">
            <v>500150</v>
          </cell>
          <cell r="K77" t="str">
            <v>Reclassifications/transfer</v>
          </cell>
          <cell r="L77"/>
          <cell r="M77"/>
          <cell r="N77"/>
          <cell r="O77"/>
          <cell r="P77">
            <v>-4535209.3499999996</v>
          </cell>
          <cell r="Q77">
            <v>-4535209.3499999996</v>
          </cell>
          <cell r="R77"/>
          <cell r="S77"/>
        </row>
        <row r="78">
          <cell r="C78" t="str">
            <v>621000</v>
          </cell>
          <cell r="E78">
            <v>-172670334.84</v>
          </cell>
          <cell r="G78">
            <v>512000</v>
          </cell>
          <cell r="H78">
            <v>-9476845.5399999991</v>
          </cell>
          <cell r="I78" t="e">
            <v>#REF!</v>
          </cell>
          <cell r="J78" t="str">
            <v>512000</v>
          </cell>
          <cell r="K78" t="str">
            <v>Deferred tax liability at begi</v>
          </cell>
          <cell r="L78">
            <v>-8994349.9800000004</v>
          </cell>
          <cell r="M78">
            <v>-8994349.9800000004</v>
          </cell>
          <cell r="N78">
            <v>-8994349.9800000004</v>
          </cell>
          <cell r="O78">
            <v>-9476845.5399999991</v>
          </cell>
          <cell r="P78">
            <v>-9476845.5399999991</v>
          </cell>
          <cell r="Q78">
            <v>-9476845.5399999991</v>
          </cell>
          <cell r="R78">
            <v>-9476845.5399999991</v>
          </cell>
          <cell r="S78">
            <v>-9476845.5399999991</v>
          </cell>
        </row>
        <row r="79">
          <cell r="C79" t="str">
            <v>621030</v>
          </cell>
          <cell r="E79">
            <v>-149328528.40000001</v>
          </cell>
          <cell r="G79">
            <v>512020</v>
          </cell>
          <cell r="H79">
            <v>0</v>
          </cell>
          <cell r="I79" t="e">
            <v>#REF!</v>
          </cell>
          <cell r="J79" t="str">
            <v>512020</v>
          </cell>
          <cell r="K79" t="str">
            <v>Other changes in deferred tax - other jurisdiction</v>
          </cell>
          <cell r="L79">
            <v>-2278503</v>
          </cell>
          <cell r="M79"/>
          <cell r="N79"/>
          <cell r="O79"/>
          <cell r="P79"/>
          <cell r="Q79"/>
          <cell r="R79"/>
          <cell r="S79"/>
        </row>
        <row r="80">
          <cell r="C80" t="str">
            <v>721000</v>
          </cell>
          <cell r="E80">
            <v>-219067.07</v>
          </cell>
          <cell r="G80">
            <v>621000</v>
          </cell>
          <cell r="H80">
            <v>-195646954.25</v>
          </cell>
          <cell r="I80" t="e">
            <v>#REF!</v>
          </cell>
          <cell r="J80" t="str">
            <v>621000</v>
          </cell>
          <cell r="K80" t="str">
            <v>Long-term project financing</v>
          </cell>
          <cell r="L80">
            <v>-300307425.72000003</v>
          </cell>
          <cell r="M80">
            <v>-349203419.08999997</v>
          </cell>
          <cell r="N80">
            <v>-350408760.27999997</v>
          </cell>
          <cell r="O80">
            <v>-343515057.41000003</v>
          </cell>
          <cell r="P80">
            <v>-214562670.94</v>
          </cell>
          <cell r="Q80">
            <v>-202849249.22</v>
          </cell>
          <cell r="R80">
            <v>-195646954.25</v>
          </cell>
          <cell r="S80">
            <v>-192216375.03999999</v>
          </cell>
        </row>
        <row r="81">
          <cell r="C81" t="str">
            <v>721030</v>
          </cell>
          <cell r="E81">
            <v>9380.89</v>
          </cell>
          <cell r="G81">
            <v>621030</v>
          </cell>
          <cell r="H81">
            <v>-151388333.22</v>
          </cell>
          <cell r="I81" t="e">
            <v>#REF!</v>
          </cell>
          <cell r="J81" t="str">
            <v>621030</v>
          </cell>
          <cell r="K81" t="str">
            <v>Sparekassen Thy Erhvervskredit DKK 100.000.000</v>
          </cell>
          <cell r="L81"/>
          <cell r="M81"/>
          <cell r="N81"/>
          <cell r="O81"/>
          <cell r="P81">
            <v>-151815834.63</v>
          </cell>
          <cell r="Q81">
            <v>-152195084.34</v>
          </cell>
          <cell r="R81">
            <v>-151388333.22</v>
          </cell>
          <cell r="S81">
            <v>-151405261.53</v>
          </cell>
        </row>
        <row r="82">
          <cell r="C82" t="str">
            <v>722055</v>
          </cell>
          <cell r="E82">
            <v>-43734.91</v>
          </cell>
          <cell r="G82">
            <v>634010</v>
          </cell>
          <cell r="H82">
            <v>0</v>
          </cell>
          <cell r="I82" t="e">
            <v>#REF!</v>
          </cell>
          <cell r="J82" t="str">
            <v>634010</v>
          </cell>
          <cell r="K82" t="str">
            <v>I/C Other long term liabilities</v>
          </cell>
          <cell r="L82">
            <v>-115239197.58</v>
          </cell>
          <cell r="M82">
            <v>-122835844.77</v>
          </cell>
          <cell r="N82">
            <v>-122349412.28</v>
          </cell>
          <cell r="O82">
            <v>-120084712.78</v>
          </cell>
          <cell r="P82">
            <v>-126948404.75</v>
          </cell>
          <cell r="Q82"/>
          <cell r="R82"/>
          <cell r="S82"/>
        </row>
        <row r="83">
          <cell r="C83" t="str">
            <v>722057</v>
          </cell>
          <cell r="E83">
            <v>-1856957.71</v>
          </cell>
          <cell r="G83">
            <v>721000</v>
          </cell>
          <cell r="H83">
            <v>-4313</v>
          </cell>
          <cell r="I83" t="e">
            <v>#REF!</v>
          </cell>
          <cell r="J83" t="str">
            <v>721000</v>
          </cell>
          <cell r="K83" t="str">
            <v>Trade payables</v>
          </cell>
          <cell r="L83">
            <v>-80393.8</v>
          </cell>
          <cell r="M83">
            <v>-123696.19</v>
          </cell>
          <cell r="N83">
            <v>-4331</v>
          </cell>
          <cell r="O83">
            <v>-226268.28</v>
          </cell>
          <cell r="P83">
            <v>1937</v>
          </cell>
          <cell r="Q83">
            <v>-6196.05</v>
          </cell>
          <cell r="R83">
            <v>-4313</v>
          </cell>
          <cell r="S83">
            <v>-14382161.34</v>
          </cell>
        </row>
        <row r="84">
          <cell r="C84" t="str">
            <v>722070</v>
          </cell>
          <cell r="E84">
            <v>-53625</v>
          </cell>
          <cell r="G84">
            <v>722000</v>
          </cell>
          <cell r="H84">
            <v>0</v>
          </cell>
          <cell r="I84" t="e">
            <v>#REF!</v>
          </cell>
          <cell r="J84" t="str">
            <v>722000</v>
          </cell>
          <cell r="K84" t="str">
            <v>Accrued rent of land</v>
          </cell>
          <cell r="L84"/>
          <cell r="M84"/>
          <cell r="N84"/>
          <cell r="O84"/>
          <cell r="P84">
            <v>-388263.28</v>
          </cell>
          <cell r="Q84"/>
          <cell r="R84"/>
          <cell r="S84"/>
        </row>
        <row r="85">
          <cell r="C85" t="str">
            <v>722110</v>
          </cell>
          <cell r="E85">
            <v>-60862.5</v>
          </cell>
          <cell r="G85">
            <v>722040</v>
          </cell>
          <cell r="H85">
            <v>-2382624.91</v>
          </cell>
          <cell r="I85" t="e">
            <v>#REF!</v>
          </cell>
          <cell r="J85" t="str">
            <v>722040</v>
          </cell>
          <cell r="K85" t="str">
            <v>Accrued electricity costs</v>
          </cell>
          <cell r="L85">
            <v>-6161793.3799999999</v>
          </cell>
          <cell r="M85">
            <v>-2382624.91</v>
          </cell>
          <cell r="N85">
            <v>-2383912.77</v>
          </cell>
          <cell r="O85">
            <v>-2382624.91</v>
          </cell>
          <cell r="P85">
            <v>-2382624.91</v>
          </cell>
          <cell r="Q85">
            <v>-2382624.91</v>
          </cell>
          <cell r="R85">
            <v>-2382624.91</v>
          </cell>
          <cell r="S85"/>
        </row>
        <row r="86">
          <cell r="C86" t="str">
            <v>722130</v>
          </cell>
          <cell r="E86">
            <v>-2045320</v>
          </cell>
          <cell r="G86">
            <v>722055</v>
          </cell>
          <cell r="H86">
            <v>-46297.71</v>
          </cell>
          <cell r="I86" t="e">
            <v>#REF!</v>
          </cell>
          <cell r="J86" t="str">
            <v>722055</v>
          </cell>
          <cell r="K86" t="str">
            <v>I/C Accrued commercial mgmt fees</v>
          </cell>
          <cell r="L86"/>
          <cell r="M86"/>
          <cell r="N86"/>
          <cell r="O86"/>
          <cell r="P86">
            <v>-153745.64000000001</v>
          </cell>
          <cell r="Q86">
            <v>-32090.54</v>
          </cell>
          <cell r="R86">
            <v>-46297.71</v>
          </cell>
          <cell r="S86"/>
        </row>
        <row r="87">
          <cell r="C87" t="str">
            <v>731000</v>
          </cell>
          <cell r="E87">
            <v>-96414355.370000005</v>
          </cell>
          <cell r="G87">
            <v>722057</v>
          </cell>
          <cell r="H87">
            <v>-2624221.48</v>
          </cell>
          <cell r="I87" t="e">
            <v>#REF!</v>
          </cell>
          <cell r="J87" t="str">
            <v>722057</v>
          </cell>
          <cell r="K87" t="str">
            <v>IC FMA fees expense accrued</v>
          </cell>
          <cell r="L87"/>
          <cell r="M87"/>
          <cell r="N87"/>
          <cell r="O87">
            <v>-1286707.96</v>
          </cell>
          <cell r="P87">
            <v>-1286707.96</v>
          </cell>
          <cell r="Q87">
            <v>-1958010.6</v>
          </cell>
          <cell r="R87">
            <v>-2624221.48</v>
          </cell>
          <cell r="S87">
            <v>-2624221.48</v>
          </cell>
        </row>
        <row r="88">
          <cell r="C88" t="str">
            <v>743100</v>
          </cell>
          <cell r="E88">
            <v>-424917.4</v>
          </cell>
          <cell r="G88">
            <v>722070</v>
          </cell>
          <cell r="H88">
            <v>-22500</v>
          </cell>
          <cell r="I88" t="e">
            <v>#REF!</v>
          </cell>
          <cell r="J88" t="str">
            <v>722070</v>
          </cell>
          <cell r="K88" t="str">
            <v>Accrued auditing fee</v>
          </cell>
          <cell r="L88">
            <v>-31750</v>
          </cell>
          <cell r="M88">
            <v>-13500</v>
          </cell>
          <cell r="N88">
            <v>-20250</v>
          </cell>
          <cell r="O88">
            <v>-27000</v>
          </cell>
          <cell r="P88">
            <v>-34500</v>
          </cell>
          <cell r="Q88">
            <v>-15000</v>
          </cell>
          <cell r="R88">
            <v>-22500</v>
          </cell>
          <cell r="S88">
            <v>-30000</v>
          </cell>
        </row>
        <row r="89">
          <cell r="C89" t="str">
            <v>743110</v>
          </cell>
          <cell r="E89">
            <v>417009.65</v>
          </cell>
          <cell r="G89">
            <v>722110</v>
          </cell>
          <cell r="H89">
            <v>-29700</v>
          </cell>
          <cell r="I89" t="e">
            <v>#REF!</v>
          </cell>
          <cell r="J89" t="str">
            <v>722110</v>
          </cell>
          <cell r="K89" t="str">
            <v>Accrued administrative service</v>
          </cell>
          <cell r="L89">
            <v>-11250</v>
          </cell>
          <cell r="M89">
            <v>-10500</v>
          </cell>
          <cell r="N89">
            <v>-15750</v>
          </cell>
          <cell r="O89">
            <v>-21000</v>
          </cell>
          <cell r="P89">
            <v>-15900</v>
          </cell>
          <cell r="Q89">
            <v>-19800</v>
          </cell>
          <cell r="R89">
            <v>-29700</v>
          </cell>
          <cell r="S89">
            <v>-39600</v>
          </cell>
        </row>
        <row r="90">
          <cell r="C90" t="str">
            <v>752200</v>
          </cell>
          <cell r="E90">
            <v>36461.18</v>
          </cell>
          <cell r="G90">
            <v>722130</v>
          </cell>
          <cell r="H90">
            <v>0</v>
          </cell>
          <cell r="I90" t="e">
            <v>#REF!</v>
          </cell>
          <cell r="J90" t="str">
            <v>722130</v>
          </cell>
          <cell r="K90" t="str">
            <v>Accrued construction costs</v>
          </cell>
          <cell r="L90">
            <v>-371001.59999999998</v>
          </cell>
          <cell r="M90">
            <v>-332584</v>
          </cell>
          <cell r="N90">
            <v>-332583.8</v>
          </cell>
          <cell r="O90">
            <v>-273779</v>
          </cell>
          <cell r="P90">
            <v>-108923.31</v>
          </cell>
          <cell r="Q90"/>
          <cell r="R90"/>
          <cell r="S90"/>
        </row>
        <row r="91">
          <cell r="C91" t="str">
            <v>752500</v>
          </cell>
          <cell r="E91">
            <v>-36461.18</v>
          </cell>
          <cell r="G91">
            <v>731000</v>
          </cell>
          <cell r="H91">
            <v>-74639983.060000002</v>
          </cell>
          <cell r="I91" t="e">
            <v>#REF!</v>
          </cell>
          <cell r="J91" t="str">
            <v>731000</v>
          </cell>
          <cell r="K91" t="str">
            <v>I/C Shareholder loans</v>
          </cell>
          <cell r="L91">
            <v>-3302223.16</v>
          </cell>
          <cell r="M91">
            <v>-0.01</v>
          </cell>
          <cell r="N91">
            <v>-0.01</v>
          </cell>
          <cell r="O91">
            <v>-0.01</v>
          </cell>
          <cell r="P91">
            <v>15988028</v>
          </cell>
          <cell r="Q91">
            <v>-67741325.420000002</v>
          </cell>
          <cell r="R91">
            <v>-74639983.060000002</v>
          </cell>
          <cell r="S91">
            <v>-78235046.450000003</v>
          </cell>
        </row>
        <row r="92">
          <cell r="C92" t="str">
            <v>753400</v>
          </cell>
          <cell r="E92">
            <v>-214177</v>
          </cell>
          <cell r="G92">
            <v>743100</v>
          </cell>
          <cell r="H92">
            <v>-424917.4</v>
          </cell>
          <cell r="I92" t="e">
            <v>#REF!</v>
          </cell>
          <cell r="J92" t="str">
            <v>743100</v>
          </cell>
          <cell r="K92" t="str">
            <v>Corp tax payble. prior years-o</v>
          </cell>
          <cell r="L92">
            <v>-1074455.24</v>
          </cell>
          <cell r="M92">
            <v>-1074455.24</v>
          </cell>
          <cell r="N92">
            <v>-1074455.24</v>
          </cell>
          <cell r="O92">
            <v>-424917.4</v>
          </cell>
          <cell r="P92">
            <v>-424917.4</v>
          </cell>
          <cell r="Q92">
            <v>-424917.4</v>
          </cell>
          <cell r="R92">
            <v>-424917.4</v>
          </cell>
          <cell r="S92">
            <v>-424917.4</v>
          </cell>
        </row>
        <row r="93">
          <cell r="C93"/>
          <cell r="G93">
            <v>752100</v>
          </cell>
          <cell r="H93">
            <v>0</v>
          </cell>
          <cell r="I93" t="e">
            <v>#REF!</v>
          </cell>
          <cell r="J93" t="str">
            <v>752100</v>
          </cell>
          <cell r="K93" t="str">
            <v>Output taxes.</v>
          </cell>
          <cell r="L93"/>
          <cell r="M93"/>
          <cell r="N93"/>
          <cell r="O93"/>
          <cell r="P93"/>
          <cell r="Q93">
            <v>-25941.03</v>
          </cell>
          <cell r="R93"/>
          <cell r="S93">
            <v>-33416.5</v>
          </cell>
        </row>
        <row r="94">
          <cell r="C94"/>
          <cell r="G94">
            <v>752120</v>
          </cell>
          <cell r="H94">
            <v>0</v>
          </cell>
          <cell r="I94" t="e">
            <v>#REF!</v>
          </cell>
          <cell r="J94" t="str">
            <v>752120</v>
          </cell>
          <cell r="K94" t="str">
            <v>EU Acquisition/purchase VAT - Service</v>
          </cell>
          <cell r="L94"/>
          <cell r="M94"/>
          <cell r="N94"/>
          <cell r="O94"/>
          <cell r="P94"/>
          <cell r="Q94"/>
          <cell r="R94"/>
          <cell r="S94">
            <v>69954.080000000002</v>
          </cell>
        </row>
        <row r="95">
          <cell r="C95"/>
          <cell r="G95">
            <v>752200</v>
          </cell>
          <cell r="H95">
            <v>0</v>
          </cell>
          <cell r="I95" t="e">
            <v>#REF!</v>
          </cell>
          <cell r="J95" t="str">
            <v>752200</v>
          </cell>
          <cell r="K95" t="str">
            <v>Input taxes</v>
          </cell>
          <cell r="L95">
            <v>-25558.25</v>
          </cell>
          <cell r="M95">
            <v>-25687.08</v>
          </cell>
          <cell r="N95">
            <v>-25609.22</v>
          </cell>
          <cell r="O95">
            <v>0.45</v>
          </cell>
          <cell r="P95">
            <v>0.45</v>
          </cell>
          <cell r="Q95">
            <v>22877.5</v>
          </cell>
          <cell r="R95"/>
          <cell r="S95">
            <v>290851.08</v>
          </cell>
        </row>
        <row r="96">
          <cell r="C96"/>
          <cell r="G96">
            <v>752220</v>
          </cell>
          <cell r="H96">
            <v>0</v>
          </cell>
          <cell r="I96" t="e">
            <v>#REF!</v>
          </cell>
          <cell r="J96" t="str">
            <v>752220</v>
          </cell>
          <cell r="K96" t="str">
            <v>EU acqusition/purhase VAT - Services</v>
          </cell>
          <cell r="L96"/>
          <cell r="M96"/>
          <cell r="N96"/>
          <cell r="O96"/>
          <cell r="P96"/>
          <cell r="Q96"/>
          <cell r="R96"/>
          <cell r="S96">
            <v>-69954.080000000002</v>
          </cell>
        </row>
        <row r="97">
          <cell r="C97"/>
          <cell r="G97">
            <v>752300</v>
          </cell>
          <cell r="H97">
            <v>0</v>
          </cell>
          <cell r="I97" t="e">
            <v>#REF!</v>
          </cell>
          <cell r="J97" t="str">
            <v>752300</v>
          </cell>
          <cell r="K97" t="str">
            <v>Refundable electricity tax</v>
          </cell>
          <cell r="L97"/>
          <cell r="M97"/>
          <cell r="N97">
            <v>-0.45</v>
          </cell>
          <cell r="O97">
            <v>-0.9</v>
          </cell>
          <cell r="P97">
            <v>536678</v>
          </cell>
          <cell r="Q97"/>
          <cell r="R97"/>
          <cell r="S97">
            <v>-308569</v>
          </cell>
        </row>
        <row r="98">
          <cell r="C98"/>
          <cell r="G98">
            <v>752400</v>
          </cell>
          <cell r="H98">
            <v>0</v>
          </cell>
          <cell r="I98" t="e">
            <v>#REF!</v>
          </cell>
          <cell r="J98" t="str">
            <v>752400</v>
          </cell>
          <cell r="K98" t="str">
            <v>VAT settlement</v>
          </cell>
          <cell r="L98">
            <v>803250</v>
          </cell>
          <cell r="M98"/>
          <cell r="N98"/>
          <cell r="O98"/>
          <cell r="P98"/>
          <cell r="Q98"/>
          <cell r="R98"/>
          <cell r="S98"/>
        </row>
        <row r="99">
          <cell r="C99"/>
          <cell r="G99">
            <v>752500</v>
          </cell>
          <cell r="H99">
            <v>0</v>
          </cell>
          <cell r="I99" t="e">
            <v>#REF!</v>
          </cell>
          <cell r="J99" t="str">
            <v>752500</v>
          </cell>
          <cell r="K99" t="str">
            <v>VAT payable/receivable</v>
          </cell>
          <cell r="L99">
            <v>-1127153.8600000001</v>
          </cell>
          <cell r="M99"/>
          <cell r="N99">
            <v>-0.28999999999999998</v>
          </cell>
          <cell r="O99"/>
          <cell r="P99">
            <v>-2413</v>
          </cell>
          <cell r="Q99"/>
          <cell r="R99"/>
          <cell r="S99"/>
        </row>
        <row r="100">
          <cell r="C100"/>
          <cell r="G100">
            <v>752730</v>
          </cell>
          <cell r="H100">
            <v>0</v>
          </cell>
          <cell r="I100" t="e">
            <v>#REF!</v>
          </cell>
          <cell r="J100" t="str">
            <v>752730</v>
          </cell>
          <cell r="K100" t="str">
            <v>Other taxes addition</v>
          </cell>
          <cell r="L100"/>
          <cell r="M100">
            <v>-1449</v>
          </cell>
          <cell r="N100">
            <v>-1449</v>
          </cell>
          <cell r="O100"/>
          <cell r="P100"/>
          <cell r="Q100"/>
          <cell r="R100"/>
          <cell r="S100"/>
        </row>
        <row r="101">
          <cell r="C101"/>
          <cell r="G101">
            <v>753400</v>
          </cell>
          <cell r="H101">
            <v>0</v>
          </cell>
          <cell r="I101" t="e">
            <v>#REF!</v>
          </cell>
          <cell r="J101" t="str">
            <v>753400</v>
          </cell>
          <cell r="K101" t="str">
            <v>Other payables</v>
          </cell>
          <cell r="L101">
            <v>-3839498.21</v>
          </cell>
          <cell r="M101">
            <v>-3839498.21</v>
          </cell>
          <cell r="N101">
            <v>-3839498.21</v>
          </cell>
          <cell r="O101"/>
          <cell r="P101"/>
          <cell r="Q101"/>
          <cell r="R101"/>
          <cell r="S101"/>
        </row>
        <row r="102">
          <cell r="C102"/>
          <cell r="G102">
            <v>0</v>
          </cell>
          <cell r="H102">
            <v>0</v>
          </cell>
          <cell r="I102" t="e">
            <v>#REF!</v>
          </cell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</row>
        <row r="103">
          <cell r="C103"/>
          <cell r="G103">
            <v>0</v>
          </cell>
          <cell r="H103">
            <v>0</v>
          </cell>
          <cell r="I103" t="e">
            <v>#REF!</v>
          </cell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</row>
        <row r="104">
          <cell r="C104"/>
          <cell r="G104">
            <v>0</v>
          </cell>
          <cell r="H104">
            <v>0</v>
          </cell>
          <cell r="I104" t="e">
            <v>#REF!</v>
          </cell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</row>
        <row r="105">
          <cell r="C105"/>
          <cell r="G105">
            <v>0</v>
          </cell>
          <cell r="H105">
            <v>0</v>
          </cell>
          <cell r="I105" t="e">
            <v>#REF!</v>
          </cell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</row>
        <row r="106">
          <cell r="C106"/>
          <cell r="G106">
            <v>0</v>
          </cell>
          <cell r="H106">
            <v>0</v>
          </cell>
          <cell r="I106" t="e">
            <v>#REF!</v>
          </cell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</row>
        <row r="107">
          <cell r="C107"/>
          <cell r="G107">
            <v>0</v>
          </cell>
          <cell r="H107">
            <v>0</v>
          </cell>
          <cell r="I107" t="e">
            <v>#REF!</v>
          </cell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</row>
        <row r="108">
          <cell r="C108"/>
          <cell r="G108">
            <v>0</v>
          </cell>
          <cell r="H108">
            <v>0</v>
          </cell>
          <cell r="I108" t="e">
            <v>#REF!</v>
          </cell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</row>
        <row r="109">
          <cell r="C109"/>
          <cell r="G109">
            <v>0</v>
          </cell>
          <cell r="H109">
            <v>0</v>
          </cell>
          <cell r="I109" t="e">
            <v>#REF!</v>
          </cell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</row>
        <row r="110">
          <cell r="C110"/>
          <cell r="G110">
            <v>0</v>
          </cell>
          <cell r="H110">
            <v>0</v>
          </cell>
          <cell r="I110" t="e">
            <v>#REF!</v>
          </cell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</row>
        <row r="111">
          <cell r="C111"/>
          <cell r="G111">
            <v>0</v>
          </cell>
          <cell r="H111">
            <v>0</v>
          </cell>
          <cell r="I111" t="e">
            <v>#REF!</v>
          </cell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</row>
        <row r="112">
          <cell r="C112"/>
          <cell r="G112">
            <v>0</v>
          </cell>
          <cell r="H112">
            <v>0</v>
          </cell>
          <cell r="I112" t="e">
            <v>#REF!</v>
          </cell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</row>
        <row r="113">
          <cell r="C113"/>
          <cell r="G113">
            <v>0</v>
          </cell>
          <cell r="H113">
            <v>0</v>
          </cell>
          <cell r="I113" t="e">
            <v>#REF!</v>
          </cell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</row>
        <row r="114">
          <cell r="C114"/>
          <cell r="G114">
            <v>0</v>
          </cell>
          <cell r="H114">
            <v>0</v>
          </cell>
          <cell r="I114" t="e">
            <v>#REF!</v>
          </cell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</row>
        <row r="115">
          <cell r="C115"/>
          <cell r="G115">
            <v>0</v>
          </cell>
          <cell r="H115">
            <v>0</v>
          </cell>
          <cell r="I115" t="e">
            <v>#REF!</v>
          </cell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</row>
        <row r="116">
          <cell r="C116"/>
          <cell r="G116">
            <v>0</v>
          </cell>
          <cell r="H116">
            <v>0</v>
          </cell>
          <cell r="I116" t="e">
            <v>#REF!</v>
          </cell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</row>
        <row r="117">
          <cell r="C117"/>
          <cell r="G117">
            <v>0</v>
          </cell>
          <cell r="H117">
            <v>0</v>
          </cell>
          <cell r="I117" t="e">
            <v>#REF!</v>
          </cell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</row>
        <row r="118">
          <cell r="C118"/>
          <cell r="G118">
            <v>0</v>
          </cell>
          <cell r="H118">
            <v>0</v>
          </cell>
          <cell r="I118" t="e">
            <v>#REF!</v>
          </cell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</row>
        <row r="119">
          <cell r="C119"/>
          <cell r="G119">
            <v>0</v>
          </cell>
          <cell r="H119">
            <v>0</v>
          </cell>
          <cell r="I119" t="e">
            <v>#REF!</v>
          </cell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</row>
        <row r="120">
          <cell r="C120"/>
          <cell r="G120">
            <v>0</v>
          </cell>
          <cell r="H120">
            <v>0</v>
          </cell>
          <cell r="I120" t="e">
            <v>#REF!</v>
          </cell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</row>
        <row r="121">
          <cell r="C121"/>
          <cell r="G121">
            <v>0</v>
          </cell>
          <cell r="H121">
            <v>0</v>
          </cell>
          <cell r="I121" t="e">
            <v>#REF!</v>
          </cell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</row>
        <row r="122">
          <cell r="C122"/>
          <cell r="G122">
            <v>0</v>
          </cell>
          <cell r="H122">
            <v>0</v>
          </cell>
          <cell r="I122" t="e">
            <v>#REF!</v>
          </cell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</row>
        <row r="123">
          <cell r="C123"/>
          <cell r="G123">
            <v>0</v>
          </cell>
          <cell r="H123">
            <v>0</v>
          </cell>
          <cell r="I123" t="e">
            <v>#REF!</v>
          </cell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</row>
        <row r="124">
          <cell r="C124"/>
          <cell r="G124">
            <v>0</v>
          </cell>
          <cell r="H124">
            <v>0</v>
          </cell>
          <cell r="I124" t="e">
            <v>#REF!</v>
          </cell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</row>
        <row r="125">
          <cell r="C125"/>
          <cell r="G125">
            <v>0</v>
          </cell>
          <cell r="H125">
            <v>0</v>
          </cell>
          <cell r="I125" t="e">
            <v>#REF!</v>
          </cell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</row>
        <row r="126">
          <cell r="C126"/>
          <cell r="G126">
            <v>0</v>
          </cell>
          <cell r="H126">
            <v>0</v>
          </cell>
          <cell r="I126" t="e">
            <v>#REF!</v>
          </cell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</row>
        <row r="127">
          <cell r="C127"/>
          <cell r="G127">
            <v>0</v>
          </cell>
          <cell r="H127">
            <v>0</v>
          </cell>
          <cell r="I127" t="e">
            <v>#REF!</v>
          </cell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</row>
        <row r="128">
          <cell r="C128"/>
          <cell r="G128">
            <v>0</v>
          </cell>
          <cell r="H128">
            <v>0</v>
          </cell>
          <cell r="I128" t="e">
            <v>#REF!</v>
          </cell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</row>
        <row r="129">
          <cell r="C129"/>
          <cell r="G129">
            <v>0</v>
          </cell>
          <cell r="H129">
            <v>0</v>
          </cell>
          <cell r="I129" t="e">
            <v>#REF!</v>
          </cell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</row>
        <row r="130">
          <cell r="C130"/>
          <cell r="G130">
            <v>0</v>
          </cell>
          <cell r="H130">
            <v>0</v>
          </cell>
          <cell r="I130" t="e">
            <v>#REF!</v>
          </cell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</row>
        <row r="131">
          <cell r="C131"/>
          <cell r="G131">
            <v>0</v>
          </cell>
          <cell r="H131">
            <v>0</v>
          </cell>
          <cell r="I131" t="e">
            <v>#REF!</v>
          </cell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</row>
        <row r="132">
          <cell r="C132"/>
          <cell r="G132">
            <v>0</v>
          </cell>
          <cell r="H132">
            <v>0</v>
          </cell>
          <cell r="I132" t="e">
            <v>#REF!</v>
          </cell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</row>
        <row r="133">
          <cell r="C133"/>
          <cell r="G133">
            <v>0</v>
          </cell>
          <cell r="H133">
            <v>0</v>
          </cell>
          <cell r="I133" t="e">
            <v>#REF!</v>
          </cell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</row>
        <row r="134">
          <cell r="C134"/>
          <cell r="G134">
            <v>0</v>
          </cell>
          <cell r="H134">
            <v>0</v>
          </cell>
          <cell r="I134" t="e">
            <v>#REF!</v>
          </cell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</row>
        <row r="135">
          <cell r="C135"/>
          <cell r="G135">
            <v>0</v>
          </cell>
          <cell r="H135">
            <v>0</v>
          </cell>
          <cell r="I135" t="e">
            <v>#REF!</v>
          </cell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</row>
        <row r="136">
          <cell r="C136"/>
          <cell r="G136">
            <v>0</v>
          </cell>
          <cell r="H136">
            <v>0</v>
          </cell>
          <cell r="I136" t="e">
            <v>#REF!</v>
          </cell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</row>
        <row r="137">
          <cell r="C137"/>
          <cell r="G137">
            <v>0</v>
          </cell>
          <cell r="H137">
            <v>0</v>
          </cell>
          <cell r="I137" t="e">
            <v>#REF!</v>
          </cell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</row>
        <row r="138">
          <cell r="C138"/>
          <cell r="G138">
            <v>0</v>
          </cell>
          <cell r="H138">
            <v>0</v>
          </cell>
          <cell r="I138" t="e">
            <v>#REF!</v>
          </cell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</row>
        <row r="139">
          <cell r="C139"/>
          <cell r="G139">
            <v>0</v>
          </cell>
          <cell r="H139">
            <v>0</v>
          </cell>
          <cell r="I139" t="e">
            <v>#REF!</v>
          </cell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</row>
        <row r="140">
          <cell r="C140"/>
          <cell r="G140">
            <v>0</v>
          </cell>
          <cell r="H140">
            <v>0</v>
          </cell>
          <cell r="I140" t="e">
            <v>#REF!</v>
          </cell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</row>
        <row r="141">
          <cell r="C141"/>
          <cell r="G141">
            <v>0</v>
          </cell>
          <cell r="H141">
            <v>0</v>
          </cell>
          <cell r="I141" t="e">
            <v>#REF!</v>
          </cell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</row>
        <row r="142">
          <cell r="C142"/>
          <cell r="G142">
            <v>0</v>
          </cell>
          <cell r="H142">
            <v>0</v>
          </cell>
          <cell r="I142" t="e">
            <v>#REF!</v>
          </cell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</row>
        <row r="143">
          <cell r="C143"/>
          <cell r="G143">
            <v>0</v>
          </cell>
          <cell r="H143">
            <v>0</v>
          </cell>
          <cell r="I143" t="e">
            <v>#REF!</v>
          </cell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</row>
        <row r="144">
          <cell r="C144"/>
          <cell r="G144">
            <v>0</v>
          </cell>
          <cell r="H144">
            <v>0</v>
          </cell>
          <cell r="I144" t="e">
            <v>#REF!</v>
          </cell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</row>
        <row r="145">
          <cell r="C145"/>
          <cell r="G145">
            <v>0</v>
          </cell>
          <cell r="H145">
            <v>0</v>
          </cell>
          <cell r="I145" t="e">
            <v>#REF!</v>
          </cell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</row>
        <row r="146">
          <cell r="C146"/>
          <cell r="G146">
            <v>0</v>
          </cell>
          <cell r="H146">
            <v>0</v>
          </cell>
          <cell r="I146" t="e">
            <v>#REF!</v>
          </cell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</row>
        <row r="147">
          <cell r="C147"/>
          <cell r="G147">
            <v>0</v>
          </cell>
          <cell r="H147">
            <v>0</v>
          </cell>
          <cell r="I147" t="e">
            <v>#REF!</v>
          </cell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</row>
        <row r="148">
          <cell r="C148"/>
          <cell r="G148">
            <v>0</v>
          </cell>
          <cell r="H148">
            <v>0</v>
          </cell>
          <cell r="I148" t="e">
            <v>#REF!</v>
          </cell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</row>
        <row r="149">
          <cell r="C149"/>
          <cell r="G149">
            <v>0</v>
          </cell>
          <cell r="H149">
            <v>0</v>
          </cell>
          <cell r="I149" t="e">
            <v>#REF!</v>
          </cell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</row>
        <row r="150">
          <cell r="C150"/>
          <cell r="G150">
            <v>0</v>
          </cell>
          <cell r="H150">
            <v>0</v>
          </cell>
          <cell r="I150" t="e">
            <v>#REF!</v>
          </cell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</row>
        <row r="151">
          <cell r="C151"/>
          <cell r="G151">
            <v>0</v>
          </cell>
          <cell r="H151">
            <v>0</v>
          </cell>
          <cell r="I151" t="e">
            <v>#REF!</v>
          </cell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</row>
        <row r="152">
          <cell r="C152"/>
          <cell r="G152">
            <v>0</v>
          </cell>
          <cell r="H152">
            <v>0</v>
          </cell>
          <cell r="I152" t="e">
            <v>#REF!</v>
          </cell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</row>
        <row r="153">
          <cell r="C153"/>
          <cell r="G153">
            <v>0</v>
          </cell>
          <cell r="H153">
            <v>0</v>
          </cell>
          <cell r="I153" t="e">
            <v>#REF!</v>
          </cell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</row>
        <row r="154">
          <cell r="C154"/>
          <cell r="G154">
            <v>0</v>
          </cell>
          <cell r="H154">
            <v>0</v>
          </cell>
          <cell r="I154" t="e">
            <v>#REF!</v>
          </cell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</row>
        <row r="155">
          <cell r="C155"/>
          <cell r="G155">
            <v>0</v>
          </cell>
          <cell r="H155">
            <v>0</v>
          </cell>
          <cell r="I155" t="e">
            <v>#REF!</v>
          </cell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</row>
        <row r="156">
          <cell r="C156"/>
          <cell r="G156">
            <v>0</v>
          </cell>
          <cell r="H156">
            <v>0</v>
          </cell>
          <cell r="I156" t="e">
            <v>#REF!</v>
          </cell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</row>
        <row r="157">
          <cell r="C157"/>
          <cell r="G157">
            <v>0</v>
          </cell>
          <cell r="H157">
            <v>0</v>
          </cell>
          <cell r="I157" t="e">
            <v>#REF!</v>
          </cell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</row>
        <row r="158">
          <cell r="C158"/>
          <cell r="G158">
            <v>0</v>
          </cell>
          <cell r="H158">
            <v>0</v>
          </cell>
          <cell r="I158" t="e">
            <v>#REF!</v>
          </cell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</row>
        <row r="159">
          <cell r="C159"/>
          <cell r="G159">
            <v>0</v>
          </cell>
          <cell r="H159">
            <v>0</v>
          </cell>
          <cell r="I159" t="e">
            <v>#REF!</v>
          </cell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</row>
        <row r="160">
          <cell r="C160"/>
          <cell r="G160">
            <v>0</v>
          </cell>
          <cell r="H160">
            <v>0</v>
          </cell>
          <cell r="I160" t="e">
            <v>#REF!</v>
          </cell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</row>
        <row r="161">
          <cell r="C161"/>
          <cell r="G161">
            <v>0</v>
          </cell>
          <cell r="H161">
            <v>0</v>
          </cell>
          <cell r="I161" t="e">
            <v>#REF!</v>
          </cell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</row>
        <row r="162">
          <cell r="C162"/>
          <cell r="G162">
            <v>0</v>
          </cell>
          <cell r="H162">
            <v>0</v>
          </cell>
          <cell r="I162" t="e">
            <v>#REF!</v>
          </cell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</row>
        <row r="163">
          <cell r="C163"/>
          <cell r="G163">
            <v>0</v>
          </cell>
          <cell r="H163">
            <v>0</v>
          </cell>
          <cell r="I163" t="e">
            <v>#REF!</v>
          </cell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</row>
        <row r="164">
          <cell r="C164"/>
          <cell r="G164">
            <v>0</v>
          </cell>
          <cell r="H164">
            <v>0</v>
          </cell>
          <cell r="I164" t="e">
            <v>#REF!</v>
          </cell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</row>
        <row r="165">
          <cell r="C165"/>
          <cell r="G165">
            <v>0</v>
          </cell>
          <cell r="H165">
            <v>0</v>
          </cell>
          <cell r="I165" t="e">
            <v>#REF!</v>
          </cell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</row>
        <row r="166">
          <cell r="C166"/>
          <cell r="G166">
            <v>0</v>
          </cell>
          <cell r="H166">
            <v>0</v>
          </cell>
          <cell r="I166" t="e">
            <v>#REF!</v>
          </cell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</row>
        <row r="167">
          <cell r="C167"/>
          <cell r="G167">
            <v>0</v>
          </cell>
          <cell r="H167">
            <v>0</v>
          </cell>
          <cell r="I167" t="e">
            <v>#REF!</v>
          </cell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</row>
        <row r="168">
          <cell r="C168"/>
          <cell r="G168">
            <v>0</v>
          </cell>
          <cell r="H168">
            <v>0</v>
          </cell>
          <cell r="I168" t="e">
            <v>#REF!</v>
          </cell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</row>
        <row r="169">
          <cell r="C169"/>
          <cell r="G169">
            <v>0</v>
          </cell>
          <cell r="H169">
            <v>0</v>
          </cell>
          <cell r="I169" t="e">
            <v>#REF!</v>
          </cell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</row>
        <row r="170">
          <cell r="C170"/>
          <cell r="G170">
            <v>0</v>
          </cell>
          <cell r="H170">
            <v>0</v>
          </cell>
          <cell r="I170" t="e">
            <v>#REF!</v>
          </cell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</row>
        <row r="171">
          <cell r="C171"/>
          <cell r="G171">
            <v>0</v>
          </cell>
          <cell r="H171">
            <v>0</v>
          </cell>
          <cell r="I171" t="e">
            <v>#REF!</v>
          </cell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</row>
        <row r="172">
          <cell r="C172"/>
          <cell r="G172">
            <v>0</v>
          </cell>
          <cell r="H172">
            <v>0</v>
          </cell>
          <cell r="I172" t="e">
            <v>#REF!</v>
          </cell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</row>
        <row r="173">
          <cell r="C173"/>
          <cell r="G173">
            <v>0</v>
          </cell>
          <cell r="H173">
            <v>0</v>
          </cell>
          <cell r="I173" t="e">
            <v>#REF!</v>
          </cell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</row>
        <row r="174">
          <cell r="C174"/>
          <cell r="G174">
            <v>0</v>
          </cell>
          <cell r="H174">
            <v>0</v>
          </cell>
          <cell r="I174" t="e">
            <v>#REF!</v>
          </cell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</row>
        <row r="175">
          <cell r="C175"/>
          <cell r="G175">
            <v>0</v>
          </cell>
          <cell r="H175">
            <v>0</v>
          </cell>
          <cell r="I175" t="e">
            <v>#REF!</v>
          </cell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</row>
        <row r="176">
          <cell r="C176"/>
          <cell r="G176">
            <v>0</v>
          </cell>
          <cell r="H176">
            <v>0</v>
          </cell>
          <cell r="I176" t="e">
            <v>#REF!</v>
          </cell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</row>
        <row r="177">
          <cell r="C177"/>
          <cell r="G177">
            <v>0</v>
          </cell>
          <cell r="H177">
            <v>0</v>
          </cell>
          <cell r="I177" t="e">
            <v>#REF!</v>
          </cell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</row>
        <row r="178">
          <cell r="C178"/>
          <cell r="G178">
            <v>0</v>
          </cell>
          <cell r="H178">
            <v>0</v>
          </cell>
          <cell r="I178" t="e">
            <v>#REF!</v>
          </cell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</row>
        <row r="179">
          <cell r="C179"/>
          <cell r="G179">
            <v>0</v>
          </cell>
          <cell r="H179">
            <v>0</v>
          </cell>
          <cell r="I179" t="e">
            <v>#REF!</v>
          </cell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</row>
        <row r="180">
          <cell r="C180"/>
          <cell r="G180">
            <v>0</v>
          </cell>
          <cell r="H180">
            <v>0</v>
          </cell>
          <cell r="I180" t="e">
            <v>#REF!</v>
          </cell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</row>
        <row r="181">
          <cell r="C181"/>
          <cell r="G181">
            <v>0</v>
          </cell>
          <cell r="H181">
            <v>0</v>
          </cell>
          <cell r="I181" t="e">
            <v>#REF!</v>
          </cell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</row>
        <row r="182">
          <cell r="C182"/>
          <cell r="G182">
            <v>0</v>
          </cell>
          <cell r="H182">
            <v>0</v>
          </cell>
          <cell r="I182" t="e">
            <v>#REF!</v>
          </cell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</row>
        <row r="183">
          <cell r="C183"/>
          <cell r="G183">
            <v>0</v>
          </cell>
          <cell r="H183">
            <v>0</v>
          </cell>
          <cell r="I183" t="e">
            <v>#REF!</v>
          </cell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</row>
        <row r="184">
          <cell r="C184"/>
          <cell r="G184">
            <v>0</v>
          </cell>
          <cell r="H184">
            <v>0</v>
          </cell>
          <cell r="I184" t="e">
            <v>#REF!</v>
          </cell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</row>
        <row r="185">
          <cell r="C185"/>
          <cell r="G185">
            <v>0</v>
          </cell>
          <cell r="H185">
            <v>0</v>
          </cell>
          <cell r="I185" t="e">
            <v>#REF!</v>
          </cell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</row>
        <row r="186">
          <cell r="C186"/>
          <cell r="G186">
            <v>0</v>
          </cell>
          <cell r="H186">
            <v>0</v>
          </cell>
          <cell r="I186" t="e">
            <v>#REF!</v>
          </cell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</row>
        <row r="187">
          <cell r="C187"/>
          <cell r="G187">
            <v>0</v>
          </cell>
          <cell r="H187">
            <v>0</v>
          </cell>
          <cell r="I187" t="e">
            <v>#REF!</v>
          </cell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</row>
        <row r="188">
          <cell r="C188"/>
          <cell r="G188">
            <v>0</v>
          </cell>
          <cell r="H188">
            <v>0</v>
          </cell>
          <cell r="I188" t="e">
            <v>#REF!</v>
          </cell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</row>
        <row r="189">
          <cell r="C189"/>
          <cell r="G189">
            <v>0</v>
          </cell>
          <cell r="H189">
            <v>0</v>
          </cell>
          <cell r="I189" t="e">
            <v>#REF!</v>
          </cell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</row>
        <row r="190">
          <cell r="C190"/>
          <cell r="G190">
            <v>0</v>
          </cell>
          <cell r="H190">
            <v>0</v>
          </cell>
          <cell r="I190" t="e">
            <v>#REF!</v>
          </cell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</row>
        <row r="191">
          <cell r="C191"/>
          <cell r="G191">
            <v>0</v>
          </cell>
          <cell r="H191">
            <v>0</v>
          </cell>
          <cell r="I191" t="e">
            <v>#REF!</v>
          </cell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</row>
        <row r="192">
          <cell r="C192"/>
          <cell r="G192">
            <v>0</v>
          </cell>
          <cell r="H192">
            <v>0</v>
          </cell>
          <cell r="I192" t="e">
            <v>#REF!</v>
          </cell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</row>
        <row r="193">
          <cell r="C193"/>
          <cell r="G193">
            <v>0</v>
          </cell>
          <cell r="H193">
            <v>0</v>
          </cell>
          <cell r="I193" t="e">
            <v>#REF!</v>
          </cell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</row>
        <row r="194">
          <cell r="C194"/>
          <cell r="G194">
            <v>0</v>
          </cell>
          <cell r="H194">
            <v>0</v>
          </cell>
          <cell r="I194" t="e">
            <v>#REF!</v>
          </cell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</row>
        <row r="195">
          <cell r="C195"/>
          <cell r="G195">
            <v>0</v>
          </cell>
          <cell r="H195">
            <v>0</v>
          </cell>
          <cell r="I195" t="e">
            <v>#REF!</v>
          </cell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</row>
        <row r="196">
          <cell r="C196"/>
          <cell r="G196">
            <v>0</v>
          </cell>
          <cell r="H196">
            <v>0</v>
          </cell>
          <cell r="I196" t="e">
            <v>#REF!</v>
          </cell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</row>
        <row r="197">
          <cell r="C197"/>
          <cell r="G197">
            <v>0</v>
          </cell>
          <cell r="H197">
            <v>0</v>
          </cell>
          <cell r="I197" t="e">
            <v>#REF!</v>
          </cell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</row>
        <row r="198">
          <cell r="C198"/>
          <cell r="G198">
            <v>0</v>
          </cell>
          <cell r="H198">
            <v>0</v>
          </cell>
          <cell r="I198" t="e">
            <v>#REF!</v>
          </cell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</row>
        <row r="199">
          <cell r="C199"/>
          <cell r="G199">
            <v>0</v>
          </cell>
          <cell r="H199">
            <v>0</v>
          </cell>
          <cell r="I199" t="e">
            <v>#REF!</v>
          </cell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</row>
        <row r="200">
          <cell r="C200"/>
          <cell r="G200">
            <v>0</v>
          </cell>
          <cell r="H200">
            <v>0</v>
          </cell>
          <cell r="I200" t="e">
            <v>#REF!</v>
          </cell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</row>
        <row r="201">
          <cell r="C201"/>
          <cell r="G201">
            <v>0</v>
          </cell>
          <cell r="H201">
            <v>0</v>
          </cell>
          <cell r="I201" t="e">
            <v>#REF!</v>
          </cell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</row>
        <row r="202">
          <cell r="C202"/>
          <cell r="G202">
            <v>0</v>
          </cell>
          <cell r="H202">
            <v>0</v>
          </cell>
          <cell r="I202" t="e">
            <v>#REF!</v>
          </cell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</row>
        <row r="203">
          <cell r="C203"/>
          <cell r="G203">
            <v>0</v>
          </cell>
          <cell r="H203">
            <v>0</v>
          </cell>
          <cell r="I203" t="e">
            <v>#REF!</v>
          </cell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</row>
        <row r="204">
          <cell r="C204"/>
          <cell r="G204">
            <v>0</v>
          </cell>
          <cell r="H204">
            <v>0</v>
          </cell>
          <cell r="I204" t="e">
            <v>#REF!</v>
          </cell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</row>
        <row r="205">
          <cell r="C205"/>
          <cell r="G205">
            <v>0</v>
          </cell>
          <cell r="H205">
            <v>0</v>
          </cell>
          <cell r="I205" t="e">
            <v>#REF!</v>
          </cell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</row>
        <row r="206">
          <cell r="C206"/>
          <cell r="G206">
            <v>0</v>
          </cell>
          <cell r="H206">
            <v>0</v>
          </cell>
          <cell r="I206" t="e">
            <v>#REF!</v>
          </cell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</row>
        <row r="207">
          <cell r="C207"/>
          <cell r="G207">
            <v>0</v>
          </cell>
          <cell r="H207">
            <v>0</v>
          </cell>
          <cell r="I207" t="e">
            <v>#REF!</v>
          </cell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</row>
        <row r="208">
          <cell r="C208"/>
          <cell r="G208">
            <v>0</v>
          </cell>
          <cell r="H208">
            <v>0</v>
          </cell>
          <cell r="I208" t="e">
            <v>#REF!</v>
          </cell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</row>
        <row r="209">
          <cell r="C209"/>
          <cell r="G209">
            <v>0</v>
          </cell>
          <cell r="H209">
            <v>0</v>
          </cell>
          <cell r="I209" t="e">
            <v>#REF!</v>
          </cell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</row>
        <row r="210">
          <cell r="C210"/>
          <cell r="G210">
            <v>0</v>
          </cell>
          <cell r="H210">
            <v>0</v>
          </cell>
          <cell r="I210" t="e">
            <v>#REF!</v>
          </cell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</row>
        <row r="211">
          <cell r="C211"/>
          <cell r="G211">
            <v>0</v>
          </cell>
          <cell r="H211">
            <v>0</v>
          </cell>
          <cell r="I211" t="e">
            <v>#REF!</v>
          </cell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</row>
        <row r="212">
          <cell r="C212"/>
          <cell r="G212">
            <v>0</v>
          </cell>
          <cell r="H212">
            <v>0</v>
          </cell>
          <cell r="I212" t="e">
            <v>#REF!</v>
          </cell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</row>
        <row r="213">
          <cell r="C213"/>
          <cell r="G213">
            <v>0</v>
          </cell>
          <cell r="H213">
            <v>0</v>
          </cell>
          <cell r="I213" t="e">
            <v>#REF!</v>
          </cell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</row>
        <row r="214">
          <cell r="C214"/>
          <cell r="G214">
            <v>0</v>
          </cell>
          <cell r="H214">
            <v>0</v>
          </cell>
          <cell r="I214" t="e">
            <v>#REF!</v>
          </cell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</row>
        <row r="215">
          <cell r="C215"/>
          <cell r="G215">
            <v>0</v>
          </cell>
          <cell r="H215">
            <v>0</v>
          </cell>
          <cell r="I215" t="e">
            <v>#REF!</v>
          </cell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</row>
        <row r="216">
          <cell r="C216"/>
          <cell r="G216">
            <v>0</v>
          </cell>
          <cell r="H216">
            <v>0</v>
          </cell>
          <cell r="I216" t="e">
            <v>#REF!</v>
          </cell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</row>
        <row r="217">
          <cell r="C217"/>
          <cell r="G217">
            <v>0</v>
          </cell>
          <cell r="H217">
            <v>0</v>
          </cell>
          <cell r="I217" t="e">
            <v>#REF!</v>
          </cell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</row>
        <row r="218">
          <cell r="C218"/>
          <cell r="G218">
            <v>0</v>
          </cell>
          <cell r="H218">
            <v>0</v>
          </cell>
          <cell r="I218" t="e">
            <v>#REF!</v>
          </cell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</row>
        <row r="219">
          <cell r="C219"/>
          <cell r="G219">
            <v>0</v>
          </cell>
          <cell r="H219">
            <v>0</v>
          </cell>
          <cell r="I219" t="e">
            <v>#REF!</v>
          </cell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</row>
        <row r="220">
          <cell r="C220"/>
          <cell r="G220">
            <v>0</v>
          </cell>
          <cell r="H220">
            <v>0</v>
          </cell>
          <cell r="I220" t="e">
            <v>#REF!</v>
          </cell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</row>
        <row r="221">
          <cell r="C221"/>
          <cell r="G221">
            <v>0</v>
          </cell>
          <cell r="H221">
            <v>0</v>
          </cell>
          <cell r="I221" t="e">
            <v>#REF!</v>
          </cell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</row>
        <row r="222">
          <cell r="C222"/>
          <cell r="G222">
            <v>0</v>
          </cell>
          <cell r="H222">
            <v>0</v>
          </cell>
          <cell r="I222" t="e">
            <v>#REF!</v>
          </cell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</row>
        <row r="223">
          <cell r="C223"/>
          <cell r="G223">
            <v>0</v>
          </cell>
          <cell r="H223">
            <v>0</v>
          </cell>
          <cell r="I223" t="e">
            <v>#REF!</v>
          </cell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</row>
        <row r="224">
          <cell r="C224"/>
          <cell r="G224">
            <v>0</v>
          </cell>
          <cell r="H224">
            <v>0</v>
          </cell>
          <cell r="I224" t="e">
            <v>#REF!</v>
          </cell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</row>
        <row r="225">
          <cell r="C225"/>
          <cell r="G225">
            <v>0</v>
          </cell>
          <cell r="H225">
            <v>0</v>
          </cell>
          <cell r="I225" t="e">
            <v>#REF!</v>
          </cell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</row>
        <row r="226">
          <cell r="C226"/>
          <cell r="G226">
            <v>0</v>
          </cell>
          <cell r="H226">
            <v>0</v>
          </cell>
          <cell r="I226" t="e">
            <v>#REF!</v>
          </cell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</row>
        <row r="227">
          <cell r="C227"/>
          <cell r="G227">
            <v>0</v>
          </cell>
          <cell r="H227">
            <v>0</v>
          </cell>
          <cell r="I227" t="e">
            <v>#REF!</v>
          </cell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</row>
        <row r="228">
          <cell r="C228"/>
          <cell r="G228">
            <v>0</v>
          </cell>
          <cell r="H228">
            <v>0</v>
          </cell>
          <cell r="I228" t="e">
            <v>#REF!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</row>
        <row r="229">
          <cell r="C229"/>
          <cell r="G229">
            <v>0</v>
          </cell>
          <cell r="H229">
            <v>0</v>
          </cell>
          <cell r="I229" t="e">
            <v>#REF!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</row>
        <row r="230">
          <cell r="C230"/>
          <cell r="G230">
            <v>0</v>
          </cell>
          <cell r="H230">
            <v>0</v>
          </cell>
          <cell r="I230" t="e">
            <v>#REF!</v>
          </cell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</row>
        <row r="231">
          <cell r="C231"/>
          <cell r="G231">
            <v>0</v>
          </cell>
          <cell r="H231">
            <v>0</v>
          </cell>
          <cell r="I231" t="e">
            <v>#REF!</v>
          </cell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</row>
        <row r="232">
          <cell r="C232"/>
          <cell r="G232">
            <v>0</v>
          </cell>
          <cell r="H232">
            <v>0</v>
          </cell>
          <cell r="I232" t="e">
            <v>#REF!</v>
          </cell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</row>
        <row r="233">
          <cell r="C233"/>
          <cell r="G233">
            <v>0</v>
          </cell>
          <cell r="H233">
            <v>0</v>
          </cell>
          <cell r="I233" t="e">
            <v>#REF!</v>
          </cell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</row>
        <row r="234">
          <cell r="C234"/>
          <cell r="G234">
            <v>0</v>
          </cell>
          <cell r="H234">
            <v>0</v>
          </cell>
          <cell r="I234" t="e">
            <v>#REF!</v>
          </cell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</row>
        <row r="235">
          <cell r="C235"/>
          <cell r="G235">
            <v>0</v>
          </cell>
          <cell r="H235">
            <v>0</v>
          </cell>
          <cell r="I235" t="e">
            <v>#REF!</v>
          </cell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</row>
        <row r="236">
          <cell r="C236"/>
          <cell r="G236">
            <v>0</v>
          </cell>
          <cell r="H236">
            <v>0</v>
          </cell>
          <cell r="I236" t="e">
            <v>#REF!</v>
          </cell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</row>
        <row r="237">
          <cell r="C237"/>
          <cell r="G237">
            <v>0</v>
          </cell>
          <cell r="H237">
            <v>0</v>
          </cell>
          <cell r="I237" t="e">
            <v>#REF!</v>
          </cell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</row>
        <row r="238">
          <cell r="C238"/>
          <cell r="G238">
            <v>0</v>
          </cell>
          <cell r="H238">
            <v>0</v>
          </cell>
          <cell r="I238" t="e">
            <v>#REF!</v>
          </cell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</row>
        <row r="239">
          <cell r="C239"/>
          <cell r="G239">
            <v>0</v>
          </cell>
          <cell r="H239">
            <v>0</v>
          </cell>
          <cell r="I239" t="e">
            <v>#REF!</v>
          </cell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</row>
        <row r="240">
          <cell r="C240"/>
          <cell r="G240">
            <v>0</v>
          </cell>
          <cell r="H240">
            <v>0</v>
          </cell>
          <cell r="I240" t="e">
            <v>#REF!</v>
          </cell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</row>
        <row r="241">
          <cell r="C241"/>
          <cell r="G241">
            <v>0</v>
          </cell>
          <cell r="H241">
            <v>0</v>
          </cell>
          <cell r="I241" t="e">
            <v>#REF!</v>
          </cell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</row>
        <row r="242">
          <cell r="C242"/>
          <cell r="G242">
            <v>0</v>
          </cell>
          <cell r="H242">
            <v>0</v>
          </cell>
          <cell r="I242" t="e">
            <v>#REF!</v>
          </cell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</row>
        <row r="243">
          <cell r="C243"/>
          <cell r="G243">
            <v>0</v>
          </cell>
          <cell r="H243">
            <v>0</v>
          </cell>
          <cell r="I243" t="e">
            <v>#REF!</v>
          </cell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</row>
        <row r="244">
          <cell r="C244"/>
          <cell r="G244">
            <v>0</v>
          </cell>
          <cell r="H244">
            <v>0</v>
          </cell>
          <cell r="I244" t="e">
            <v>#REF!</v>
          </cell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</row>
        <row r="245">
          <cell r="C245"/>
          <cell r="G245">
            <v>0</v>
          </cell>
          <cell r="H245">
            <v>0</v>
          </cell>
          <cell r="I245" t="e">
            <v>#REF!</v>
          </cell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</row>
        <row r="246">
          <cell r="C246"/>
          <cell r="G246">
            <v>0</v>
          </cell>
          <cell r="H246">
            <v>0</v>
          </cell>
          <cell r="I246" t="e">
            <v>#REF!</v>
          </cell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</row>
        <row r="247">
          <cell r="C247"/>
          <cell r="G247">
            <v>0</v>
          </cell>
          <cell r="H247">
            <v>0</v>
          </cell>
          <cell r="I247" t="e">
            <v>#REF!</v>
          </cell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</row>
        <row r="248">
          <cell r="C248"/>
          <cell r="G248">
            <v>0</v>
          </cell>
          <cell r="H248">
            <v>0</v>
          </cell>
          <cell r="I248" t="e">
            <v>#REF!</v>
          </cell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</row>
        <row r="249">
          <cell r="C249"/>
          <cell r="G249">
            <v>0</v>
          </cell>
          <cell r="H249">
            <v>0</v>
          </cell>
          <cell r="I249" t="e">
            <v>#REF!</v>
          </cell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</row>
        <row r="250">
          <cell r="C250"/>
          <cell r="G250">
            <v>0</v>
          </cell>
          <cell r="H250">
            <v>0</v>
          </cell>
          <cell r="I250" t="e">
            <v>#REF!</v>
          </cell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</row>
        <row r="251">
          <cell r="C251"/>
          <cell r="G251">
            <v>0</v>
          </cell>
          <cell r="H251">
            <v>0</v>
          </cell>
          <cell r="I251" t="e">
            <v>#REF!</v>
          </cell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</row>
        <row r="252">
          <cell r="C252"/>
          <cell r="G252">
            <v>0</v>
          </cell>
          <cell r="H252">
            <v>0</v>
          </cell>
          <cell r="I252" t="e">
            <v>#REF!</v>
          </cell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</row>
        <row r="253">
          <cell r="C253"/>
          <cell r="G253">
            <v>0</v>
          </cell>
          <cell r="H253">
            <v>0</v>
          </cell>
          <cell r="I253" t="e">
            <v>#REF!</v>
          </cell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</row>
        <row r="254">
          <cell r="C254"/>
          <cell r="G254">
            <v>0</v>
          </cell>
          <cell r="H254">
            <v>0</v>
          </cell>
          <cell r="I254" t="e">
            <v>#REF!</v>
          </cell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</row>
        <row r="255">
          <cell r="C255"/>
          <cell r="G255">
            <v>0</v>
          </cell>
          <cell r="H255">
            <v>0</v>
          </cell>
          <cell r="I255" t="e">
            <v>#REF!</v>
          </cell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</row>
        <row r="256">
          <cell r="C256"/>
          <cell r="G256">
            <v>0</v>
          </cell>
          <cell r="H256">
            <v>0</v>
          </cell>
          <cell r="I256" t="e">
            <v>#REF!</v>
          </cell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</row>
        <row r="257">
          <cell r="C257"/>
          <cell r="G257">
            <v>0</v>
          </cell>
          <cell r="H257">
            <v>0</v>
          </cell>
          <cell r="I257" t="e">
            <v>#REF!</v>
          </cell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</row>
        <row r="258">
          <cell r="C258"/>
          <cell r="G258">
            <v>0</v>
          </cell>
          <cell r="H258">
            <v>0</v>
          </cell>
          <cell r="I258" t="e">
            <v>#REF!</v>
          </cell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</row>
        <row r="259">
          <cell r="C259"/>
          <cell r="G259">
            <v>0</v>
          </cell>
          <cell r="H259">
            <v>0</v>
          </cell>
          <cell r="I259" t="e">
            <v>#REF!</v>
          </cell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</row>
        <row r="260">
          <cell r="C260"/>
          <cell r="G260">
            <v>0</v>
          </cell>
          <cell r="H260">
            <v>0</v>
          </cell>
          <cell r="I260" t="e">
            <v>#REF!</v>
          </cell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</row>
        <row r="261">
          <cell r="C261"/>
          <cell r="G261">
            <v>0</v>
          </cell>
          <cell r="H261">
            <v>0</v>
          </cell>
          <cell r="I261" t="e">
            <v>#REF!</v>
          </cell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</row>
        <row r="262">
          <cell r="C262"/>
          <cell r="G262">
            <v>0</v>
          </cell>
          <cell r="H262">
            <v>0</v>
          </cell>
          <cell r="I262" t="e">
            <v>#REF!</v>
          </cell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</row>
        <row r="263">
          <cell r="C263"/>
          <cell r="G263">
            <v>0</v>
          </cell>
          <cell r="H263">
            <v>0</v>
          </cell>
          <cell r="I263" t="e">
            <v>#REF!</v>
          </cell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</row>
        <row r="264">
          <cell r="C264"/>
          <cell r="G264">
            <v>0</v>
          </cell>
          <cell r="H264">
            <v>0</v>
          </cell>
          <cell r="I264" t="e">
            <v>#REF!</v>
          </cell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</row>
        <row r="265">
          <cell r="C265"/>
          <cell r="G265">
            <v>0</v>
          </cell>
          <cell r="H265">
            <v>0</v>
          </cell>
          <cell r="I265" t="e">
            <v>#REF!</v>
          </cell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</row>
        <row r="266">
          <cell r="C266"/>
          <cell r="G266">
            <v>0</v>
          </cell>
          <cell r="H266">
            <v>0</v>
          </cell>
          <cell r="I266" t="e">
            <v>#REF!</v>
          </cell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</row>
        <row r="267">
          <cell r="C267"/>
          <cell r="G267">
            <v>0</v>
          </cell>
          <cell r="H267">
            <v>0</v>
          </cell>
          <cell r="I267" t="e">
            <v>#REF!</v>
          </cell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</row>
        <row r="268">
          <cell r="C268"/>
          <cell r="G268">
            <v>0</v>
          </cell>
          <cell r="H268">
            <v>0</v>
          </cell>
          <cell r="I268" t="e">
            <v>#REF!</v>
          </cell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</row>
        <row r="269">
          <cell r="C269"/>
          <cell r="G269">
            <v>0</v>
          </cell>
          <cell r="H269">
            <v>0</v>
          </cell>
          <cell r="I269" t="e">
            <v>#REF!</v>
          </cell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</row>
        <row r="270">
          <cell r="C270"/>
          <cell r="G270">
            <v>0</v>
          </cell>
          <cell r="H270">
            <v>0</v>
          </cell>
          <cell r="I270" t="e">
            <v>#REF!</v>
          </cell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</row>
        <row r="271">
          <cell r="C271"/>
          <cell r="G271">
            <v>0</v>
          </cell>
          <cell r="H271">
            <v>0</v>
          </cell>
          <cell r="I271" t="e">
            <v>#REF!</v>
          </cell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</row>
        <row r="272">
          <cell r="C272"/>
          <cell r="G272">
            <v>0</v>
          </cell>
          <cell r="H272">
            <v>0</v>
          </cell>
          <cell r="I272" t="e">
            <v>#REF!</v>
          </cell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</row>
        <row r="273">
          <cell r="C273"/>
          <cell r="G273">
            <v>0</v>
          </cell>
          <cell r="H273">
            <v>0</v>
          </cell>
          <cell r="I273" t="e">
            <v>#REF!</v>
          </cell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</row>
        <row r="274">
          <cell r="C274"/>
          <cell r="G274">
            <v>0</v>
          </cell>
          <cell r="H274">
            <v>0</v>
          </cell>
          <cell r="I274" t="e">
            <v>#REF!</v>
          </cell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</row>
        <row r="275">
          <cell r="C275"/>
          <cell r="G275">
            <v>0</v>
          </cell>
          <cell r="H275">
            <v>0</v>
          </cell>
          <cell r="I275" t="e">
            <v>#REF!</v>
          </cell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</row>
        <row r="276">
          <cell r="C276"/>
          <cell r="G276">
            <v>0</v>
          </cell>
          <cell r="H276">
            <v>0</v>
          </cell>
          <cell r="I276" t="e">
            <v>#REF!</v>
          </cell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</row>
        <row r="277">
          <cell r="C277"/>
          <cell r="G277">
            <v>0</v>
          </cell>
          <cell r="H277">
            <v>0</v>
          </cell>
          <cell r="I277" t="e">
            <v>#REF!</v>
          </cell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</row>
        <row r="278">
          <cell r="C278"/>
          <cell r="G278">
            <v>0</v>
          </cell>
          <cell r="H278">
            <v>0</v>
          </cell>
          <cell r="I278" t="e">
            <v>#REF!</v>
          </cell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</row>
        <row r="279">
          <cell r="C279"/>
          <cell r="G279">
            <v>0</v>
          </cell>
          <cell r="H279">
            <v>0</v>
          </cell>
          <cell r="I279" t="e">
            <v>#REF!</v>
          </cell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</row>
        <row r="280">
          <cell r="C280"/>
          <cell r="G280">
            <v>0</v>
          </cell>
          <cell r="H280">
            <v>0</v>
          </cell>
          <cell r="I280" t="e">
            <v>#REF!</v>
          </cell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</row>
        <row r="281">
          <cell r="C281"/>
          <cell r="G281">
            <v>0</v>
          </cell>
          <cell r="H281">
            <v>0</v>
          </cell>
          <cell r="I281" t="e">
            <v>#REF!</v>
          </cell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</row>
        <row r="282">
          <cell r="C282"/>
          <cell r="G282">
            <v>0</v>
          </cell>
          <cell r="H282">
            <v>0</v>
          </cell>
          <cell r="I282" t="e">
            <v>#REF!</v>
          </cell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</row>
        <row r="283">
          <cell r="C283"/>
          <cell r="G283">
            <v>0</v>
          </cell>
          <cell r="H283">
            <v>0</v>
          </cell>
          <cell r="I283" t="e">
            <v>#REF!</v>
          </cell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</row>
        <row r="284">
          <cell r="C284"/>
          <cell r="G284">
            <v>0</v>
          </cell>
          <cell r="H284">
            <v>0</v>
          </cell>
          <cell r="I284" t="e">
            <v>#REF!</v>
          </cell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</row>
        <row r="285">
          <cell r="C285"/>
          <cell r="G285">
            <v>0</v>
          </cell>
          <cell r="H285">
            <v>0</v>
          </cell>
          <cell r="I285" t="e">
            <v>#REF!</v>
          </cell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</row>
        <row r="286">
          <cell r="C286"/>
          <cell r="G286">
            <v>0</v>
          </cell>
          <cell r="H286">
            <v>0</v>
          </cell>
          <cell r="I286" t="e">
            <v>#REF!</v>
          </cell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</row>
        <row r="287">
          <cell r="C287"/>
          <cell r="G287">
            <v>0</v>
          </cell>
          <cell r="H287">
            <v>0</v>
          </cell>
          <cell r="I287" t="e">
            <v>#REF!</v>
          </cell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</row>
        <row r="288">
          <cell r="C288"/>
          <cell r="G288">
            <v>0</v>
          </cell>
          <cell r="H288">
            <v>0</v>
          </cell>
          <cell r="I288" t="e">
            <v>#REF!</v>
          </cell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</row>
        <row r="289">
          <cell r="C289"/>
          <cell r="G289">
            <v>0</v>
          </cell>
          <cell r="H289">
            <v>0</v>
          </cell>
          <cell r="I289" t="e">
            <v>#REF!</v>
          </cell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</row>
        <row r="290">
          <cell r="C290"/>
          <cell r="G290">
            <v>0</v>
          </cell>
          <cell r="H290">
            <v>0</v>
          </cell>
          <cell r="I290" t="e">
            <v>#REF!</v>
          </cell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</row>
        <row r="291">
          <cell r="C291"/>
          <cell r="G291">
            <v>0</v>
          </cell>
          <cell r="H291">
            <v>0</v>
          </cell>
          <cell r="I291" t="e">
            <v>#REF!</v>
          </cell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</row>
        <row r="292">
          <cell r="C292"/>
          <cell r="G292">
            <v>0</v>
          </cell>
          <cell r="H292">
            <v>0</v>
          </cell>
          <cell r="I292" t="e">
            <v>#REF!</v>
          </cell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</row>
        <row r="293">
          <cell r="C293"/>
          <cell r="G293">
            <v>0</v>
          </cell>
          <cell r="H293">
            <v>0</v>
          </cell>
          <cell r="I293" t="e">
            <v>#REF!</v>
          </cell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</row>
        <row r="294">
          <cell r="C294"/>
          <cell r="G294">
            <v>0</v>
          </cell>
          <cell r="H294">
            <v>0</v>
          </cell>
          <cell r="I294" t="e">
            <v>#REF!</v>
          </cell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</row>
        <row r="295">
          <cell r="C295"/>
          <cell r="G295">
            <v>0</v>
          </cell>
          <cell r="H295">
            <v>0</v>
          </cell>
          <cell r="I295" t="e">
            <v>#REF!</v>
          </cell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</row>
        <row r="296">
          <cell r="C296"/>
          <cell r="G296">
            <v>0</v>
          </cell>
          <cell r="H296">
            <v>0</v>
          </cell>
          <cell r="I296" t="e">
            <v>#REF!</v>
          </cell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</row>
        <row r="297">
          <cell r="C297"/>
          <cell r="G297">
            <v>0</v>
          </cell>
          <cell r="H297">
            <v>0</v>
          </cell>
          <cell r="I297" t="e">
            <v>#REF!</v>
          </cell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</row>
        <row r="298">
          <cell r="C298"/>
          <cell r="G298">
            <v>0</v>
          </cell>
          <cell r="H298">
            <v>0</v>
          </cell>
          <cell r="I298" t="e">
            <v>#REF!</v>
          </cell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</row>
        <row r="299">
          <cell r="C299"/>
          <cell r="G299">
            <v>0</v>
          </cell>
          <cell r="H299">
            <v>0</v>
          </cell>
          <cell r="I299" t="e">
            <v>#REF!</v>
          </cell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</row>
        <row r="300">
          <cell r="C300"/>
          <cell r="G300">
            <v>0</v>
          </cell>
          <cell r="H300">
            <v>0</v>
          </cell>
          <cell r="I300" t="e">
            <v>#REF!</v>
          </cell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</row>
        <row r="301">
          <cell r="C301"/>
          <cell r="G301">
            <v>0</v>
          </cell>
          <cell r="H301">
            <v>0</v>
          </cell>
          <cell r="I301" t="e">
            <v>#REF!</v>
          </cell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</row>
        <row r="302">
          <cell r="C302"/>
          <cell r="G302">
            <v>0</v>
          </cell>
          <cell r="H302">
            <v>0</v>
          </cell>
          <cell r="I302" t="e">
            <v>#REF!</v>
          </cell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</row>
        <row r="303">
          <cell r="C303"/>
          <cell r="G303">
            <v>0</v>
          </cell>
          <cell r="H303">
            <v>0</v>
          </cell>
          <cell r="I303" t="e">
            <v>#REF!</v>
          </cell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</row>
        <row r="304">
          <cell r="C304"/>
          <cell r="G304">
            <v>0</v>
          </cell>
          <cell r="H304">
            <v>0</v>
          </cell>
          <cell r="I304" t="e">
            <v>#REF!</v>
          </cell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</row>
        <row r="305">
          <cell r="C305"/>
          <cell r="G305">
            <v>0</v>
          </cell>
          <cell r="H305">
            <v>0</v>
          </cell>
          <cell r="I305" t="e">
            <v>#REF!</v>
          </cell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</row>
        <row r="306">
          <cell r="C306"/>
          <cell r="G306">
            <v>0</v>
          </cell>
          <cell r="H306">
            <v>0</v>
          </cell>
          <cell r="I306" t="e">
            <v>#REF!</v>
          </cell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</row>
        <row r="307">
          <cell r="C307"/>
          <cell r="G307">
            <v>0</v>
          </cell>
          <cell r="H307">
            <v>0</v>
          </cell>
          <cell r="I307" t="e">
            <v>#REF!</v>
          </cell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</row>
        <row r="308">
          <cell r="C308"/>
          <cell r="G308">
            <v>0</v>
          </cell>
          <cell r="H308">
            <v>0</v>
          </cell>
          <cell r="I308" t="e">
            <v>#REF!</v>
          </cell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</row>
        <row r="309">
          <cell r="C309"/>
          <cell r="G309">
            <v>0</v>
          </cell>
          <cell r="H309">
            <v>0</v>
          </cell>
          <cell r="I309" t="e">
            <v>#REF!</v>
          </cell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</row>
        <row r="310">
          <cell r="C310"/>
          <cell r="G310">
            <v>0</v>
          </cell>
          <cell r="H310">
            <v>0</v>
          </cell>
          <cell r="I310" t="e">
            <v>#REF!</v>
          </cell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</row>
        <row r="311">
          <cell r="C311"/>
          <cell r="G311">
            <v>0</v>
          </cell>
          <cell r="H311">
            <v>0</v>
          </cell>
          <cell r="I311" t="e">
            <v>#REF!</v>
          </cell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</row>
        <row r="312">
          <cell r="C312"/>
          <cell r="G312">
            <v>0</v>
          </cell>
          <cell r="H312">
            <v>0</v>
          </cell>
          <cell r="I312" t="e">
            <v>#REF!</v>
          </cell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</row>
        <row r="313">
          <cell r="C313"/>
          <cell r="G313">
            <v>0</v>
          </cell>
          <cell r="H313">
            <v>0</v>
          </cell>
          <cell r="I313" t="e">
            <v>#REF!</v>
          </cell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</row>
        <row r="314">
          <cell r="C314"/>
          <cell r="G314">
            <v>0</v>
          </cell>
          <cell r="H314">
            <v>0</v>
          </cell>
          <cell r="I314" t="e">
            <v>#REF!</v>
          </cell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</row>
        <row r="315">
          <cell r="C315"/>
          <cell r="G315">
            <v>0</v>
          </cell>
          <cell r="H315">
            <v>0</v>
          </cell>
          <cell r="I315" t="e">
            <v>#REF!</v>
          </cell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</row>
        <row r="316">
          <cell r="C316"/>
          <cell r="G316">
            <v>0</v>
          </cell>
          <cell r="H316">
            <v>0</v>
          </cell>
          <cell r="I316" t="e">
            <v>#REF!</v>
          </cell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</row>
        <row r="317">
          <cell r="C317"/>
          <cell r="G317">
            <v>0</v>
          </cell>
          <cell r="H317">
            <v>0</v>
          </cell>
          <cell r="I317" t="e">
            <v>#REF!</v>
          </cell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</row>
        <row r="318">
          <cell r="C318"/>
          <cell r="G318">
            <v>0</v>
          </cell>
          <cell r="H318">
            <v>0</v>
          </cell>
          <cell r="I318" t="e">
            <v>#REF!</v>
          </cell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</row>
        <row r="319">
          <cell r="C319"/>
          <cell r="G319">
            <v>0</v>
          </cell>
          <cell r="H319">
            <v>0</v>
          </cell>
          <cell r="I319" t="e">
            <v>#REF!</v>
          </cell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</row>
        <row r="320">
          <cell r="C320"/>
          <cell r="G320">
            <v>0</v>
          </cell>
          <cell r="H320">
            <v>0</v>
          </cell>
          <cell r="I320" t="e">
            <v>#REF!</v>
          </cell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</row>
        <row r="321">
          <cell r="C321"/>
          <cell r="G321">
            <v>0</v>
          </cell>
          <cell r="H321">
            <v>0</v>
          </cell>
          <cell r="I321" t="e">
            <v>#REF!</v>
          </cell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</row>
        <row r="322">
          <cell r="C322"/>
          <cell r="G322">
            <v>0</v>
          </cell>
          <cell r="H322">
            <v>0</v>
          </cell>
          <cell r="I322" t="e">
            <v>#REF!</v>
          </cell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</row>
        <row r="323">
          <cell r="C323"/>
          <cell r="G323">
            <v>0</v>
          </cell>
          <cell r="H323">
            <v>0</v>
          </cell>
          <cell r="I323" t="e">
            <v>#REF!</v>
          </cell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</row>
        <row r="324">
          <cell r="C324"/>
          <cell r="G324">
            <v>0</v>
          </cell>
          <cell r="H324">
            <v>0</v>
          </cell>
          <cell r="I324" t="e">
            <v>#REF!</v>
          </cell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</row>
        <row r="325">
          <cell r="C325"/>
          <cell r="G325">
            <v>0</v>
          </cell>
          <cell r="H325">
            <v>0</v>
          </cell>
          <cell r="I325" t="e">
            <v>#REF!</v>
          </cell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</row>
        <row r="326">
          <cell r="C326"/>
          <cell r="G326">
            <v>0</v>
          </cell>
          <cell r="H326">
            <v>0</v>
          </cell>
          <cell r="I326" t="e">
            <v>#REF!</v>
          </cell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</row>
        <row r="327">
          <cell r="C327"/>
          <cell r="G327">
            <v>0</v>
          </cell>
          <cell r="H327">
            <v>0</v>
          </cell>
          <cell r="I327" t="e">
            <v>#REF!</v>
          </cell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</row>
        <row r="328">
          <cell r="C328"/>
          <cell r="G328">
            <v>0</v>
          </cell>
          <cell r="H328">
            <v>0</v>
          </cell>
          <cell r="I328" t="e">
            <v>#REF!</v>
          </cell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</row>
        <row r="329">
          <cell r="C329"/>
          <cell r="G329">
            <v>0</v>
          </cell>
          <cell r="H329">
            <v>0</v>
          </cell>
          <cell r="I329" t="e">
            <v>#REF!</v>
          </cell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</row>
        <row r="330">
          <cell r="C330"/>
          <cell r="G330">
            <v>0</v>
          </cell>
          <cell r="H330">
            <v>0</v>
          </cell>
          <cell r="I330" t="e">
            <v>#REF!</v>
          </cell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</row>
        <row r="331">
          <cell r="C331"/>
          <cell r="G331">
            <v>0</v>
          </cell>
          <cell r="H331">
            <v>0</v>
          </cell>
          <cell r="I331" t="e">
            <v>#REF!</v>
          </cell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</row>
        <row r="332">
          <cell r="C332"/>
          <cell r="G332">
            <v>0</v>
          </cell>
          <cell r="H332">
            <v>0</v>
          </cell>
          <cell r="I332" t="e">
            <v>#REF!</v>
          </cell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</row>
        <row r="333">
          <cell r="C333"/>
          <cell r="G333">
            <v>0</v>
          </cell>
          <cell r="H333">
            <v>0</v>
          </cell>
          <cell r="I333" t="e">
            <v>#REF!</v>
          </cell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</row>
        <row r="334">
          <cell r="C334"/>
          <cell r="G334">
            <v>0</v>
          </cell>
          <cell r="H334">
            <v>0</v>
          </cell>
          <cell r="I334" t="e">
            <v>#REF!</v>
          </cell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</row>
        <row r="335">
          <cell r="C335"/>
          <cell r="G335">
            <v>0</v>
          </cell>
          <cell r="H335">
            <v>0</v>
          </cell>
          <cell r="I335" t="e">
            <v>#REF!</v>
          </cell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</row>
        <row r="336">
          <cell r="C336"/>
          <cell r="G336">
            <v>0</v>
          </cell>
          <cell r="H336">
            <v>0</v>
          </cell>
          <cell r="I336" t="e">
            <v>#REF!</v>
          </cell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</row>
        <row r="337">
          <cell r="C337"/>
          <cell r="G337">
            <v>0</v>
          </cell>
          <cell r="H337">
            <v>0</v>
          </cell>
          <cell r="I337" t="e">
            <v>#REF!</v>
          </cell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</row>
        <row r="338">
          <cell r="C338"/>
          <cell r="G338">
            <v>0</v>
          </cell>
          <cell r="H338">
            <v>0</v>
          </cell>
          <cell r="I338" t="e">
            <v>#REF!</v>
          </cell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</row>
        <row r="339">
          <cell r="C339"/>
          <cell r="G339">
            <v>0</v>
          </cell>
          <cell r="H339">
            <v>0</v>
          </cell>
          <cell r="I339" t="e">
            <v>#REF!</v>
          </cell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</row>
        <row r="340">
          <cell r="C340"/>
          <cell r="G340">
            <v>0</v>
          </cell>
          <cell r="H340">
            <v>0</v>
          </cell>
          <cell r="I340" t="e">
            <v>#REF!</v>
          </cell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</row>
        <row r="341">
          <cell r="C341"/>
          <cell r="G341">
            <v>0</v>
          </cell>
          <cell r="H341">
            <v>0</v>
          </cell>
          <cell r="I341" t="e">
            <v>#REF!</v>
          </cell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</row>
        <row r="342">
          <cell r="C342"/>
          <cell r="G342">
            <v>0</v>
          </cell>
          <cell r="H342">
            <v>0</v>
          </cell>
          <cell r="I342" t="e">
            <v>#REF!</v>
          </cell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</row>
        <row r="343">
          <cell r="C343"/>
          <cell r="G343">
            <v>0</v>
          </cell>
          <cell r="H343">
            <v>0</v>
          </cell>
          <cell r="I343" t="e">
            <v>#REF!</v>
          </cell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</row>
        <row r="344">
          <cell r="C344"/>
          <cell r="G344">
            <v>0</v>
          </cell>
          <cell r="H344">
            <v>0</v>
          </cell>
          <cell r="I344" t="e">
            <v>#REF!</v>
          </cell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</row>
        <row r="345">
          <cell r="C345"/>
          <cell r="G345">
            <v>0</v>
          </cell>
          <cell r="H345">
            <v>0</v>
          </cell>
          <cell r="I345" t="e">
            <v>#REF!</v>
          </cell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</row>
        <row r="346">
          <cell r="C346"/>
          <cell r="G346">
            <v>0</v>
          </cell>
          <cell r="H346">
            <v>0</v>
          </cell>
          <cell r="I346" t="e">
            <v>#REF!</v>
          </cell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</row>
        <row r="347">
          <cell r="C347"/>
          <cell r="G347">
            <v>0</v>
          </cell>
          <cell r="H347">
            <v>0</v>
          </cell>
          <cell r="I347" t="e">
            <v>#REF!</v>
          </cell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</row>
        <row r="348">
          <cell r="C348"/>
          <cell r="G348">
            <v>0</v>
          </cell>
          <cell r="H348">
            <v>0</v>
          </cell>
          <cell r="I348" t="e">
            <v>#REF!</v>
          </cell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</row>
        <row r="349">
          <cell r="C349"/>
          <cell r="G349">
            <v>0</v>
          </cell>
          <cell r="H349">
            <v>0</v>
          </cell>
          <cell r="I349" t="e">
            <v>#REF!</v>
          </cell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</row>
        <row r="350">
          <cell r="C350"/>
          <cell r="G350">
            <v>0</v>
          </cell>
          <cell r="H350">
            <v>0</v>
          </cell>
          <cell r="I350" t="e">
            <v>#REF!</v>
          </cell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</row>
        <row r="351">
          <cell r="C351"/>
          <cell r="G351">
            <v>0</v>
          </cell>
          <cell r="H351">
            <v>0</v>
          </cell>
          <cell r="I351" t="e">
            <v>#REF!</v>
          </cell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</row>
        <row r="352">
          <cell r="C352"/>
          <cell r="G352">
            <v>0</v>
          </cell>
          <cell r="H352">
            <v>0</v>
          </cell>
          <cell r="I352" t="e">
            <v>#REF!</v>
          </cell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</row>
        <row r="353">
          <cell r="C353"/>
          <cell r="G353">
            <v>0</v>
          </cell>
          <cell r="H353">
            <v>0</v>
          </cell>
          <cell r="I353" t="e">
            <v>#REF!</v>
          </cell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</row>
        <row r="354">
          <cell r="C354"/>
          <cell r="G354">
            <v>0</v>
          </cell>
          <cell r="H354">
            <v>0</v>
          </cell>
          <cell r="I354" t="e">
            <v>#REF!</v>
          </cell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</row>
        <row r="355">
          <cell r="C355"/>
          <cell r="G355">
            <v>0</v>
          </cell>
          <cell r="H355">
            <v>0</v>
          </cell>
          <cell r="I355" t="e">
            <v>#REF!</v>
          </cell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</row>
        <row r="356">
          <cell r="C356"/>
          <cell r="G356">
            <v>0</v>
          </cell>
          <cell r="H356">
            <v>0</v>
          </cell>
          <cell r="I356" t="e">
            <v>#REF!</v>
          </cell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</row>
        <row r="357">
          <cell r="C357"/>
          <cell r="G357">
            <v>0</v>
          </cell>
          <cell r="H357">
            <v>0</v>
          </cell>
          <cell r="I357" t="e">
            <v>#REF!</v>
          </cell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</row>
        <row r="358">
          <cell r="C358"/>
          <cell r="G358">
            <v>0</v>
          </cell>
          <cell r="H358">
            <v>0</v>
          </cell>
          <cell r="I358" t="e">
            <v>#REF!</v>
          </cell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</row>
        <row r="359">
          <cell r="C359"/>
          <cell r="G359">
            <v>0</v>
          </cell>
          <cell r="H359">
            <v>0</v>
          </cell>
          <cell r="I359" t="e">
            <v>#REF!</v>
          </cell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</row>
        <row r="360">
          <cell r="C360"/>
          <cell r="G360">
            <v>0</v>
          </cell>
          <cell r="H360">
            <v>0</v>
          </cell>
          <cell r="I360" t="e">
            <v>#REF!</v>
          </cell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</row>
        <row r="361">
          <cell r="C361"/>
          <cell r="G361">
            <v>0</v>
          </cell>
          <cell r="H361">
            <v>0</v>
          </cell>
          <cell r="I361" t="e">
            <v>#REF!</v>
          </cell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</row>
        <row r="362">
          <cell r="C362"/>
          <cell r="G362">
            <v>0</v>
          </cell>
          <cell r="H362">
            <v>0</v>
          </cell>
          <cell r="I362" t="e">
            <v>#REF!</v>
          </cell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</row>
        <row r="363">
          <cell r="C363"/>
          <cell r="G363">
            <v>0</v>
          </cell>
          <cell r="H363">
            <v>0</v>
          </cell>
          <cell r="I363" t="e">
            <v>#REF!</v>
          </cell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</row>
        <row r="364">
          <cell r="C364"/>
          <cell r="G364">
            <v>0</v>
          </cell>
          <cell r="H364">
            <v>0</v>
          </cell>
          <cell r="I364" t="e">
            <v>#REF!</v>
          </cell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</row>
        <row r="365">
          <cell r="C365"/>
          <cell r="G365">
            <v>0</v>
          </cell>
          <cell r="H365">
            <v>0</v>
          </cell>
          <cell r="I365" t="e">
            <v>#REF!</v>
          </cell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</row>
        <row r="366">
          <cell r="C366"/>
          <cell r="G366">
            <v>0</v>
          </cell>
          <cell r="H366">
            <v>0</v>
          </cell>
          <cell r="I366" t="e">
            <v>#REF!</v>
          </cell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</row>
        <row r="367">
          <cell r="C367"/>
          <cell r="G367">
            <v>0</v>
          </cell>
          <cell r="H367">
            <v>0</v>
          </cell>
          <cell r="I367" t="e">
            <v>#REF!</v>
          </cell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</row>
        <row r="368">
          <cell r="C368"/>
          <cell r="G368">
            <v>0</v>
          </cell>
          <cell r="H368">
            <v>0</v>
          </cell>
          <cell r="I368" t="e">
            <v>#REF!</v>
          </cell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</row>
        <row r="369">
          <cell r="C369"/>
          <cell r="G369">
            <v>0</v>
          </cell>
          <cell r="H369">
            <v>0</v>
          </cell>
          <cell r="I369" t="e">
            <v>#REF!</v>
          </cell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</row>
        <row r="370">
          <cell r="C370"/>
          <cell r="G370">
            <v>0</v>
          </cell>
          <cell r="H370">
            <v>0</v>
          </cell>
          <cell r="I370" t="e">
            <v>#REF!</v>
          </cell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</row>
        <row r="371">
          <cell r="C371"/>
          <cell r="G371">
            <v>0</v>
          </cell>
          <cell r="H371">
            <v>0</v>
          </cell>
          <cell r="I371" t="e">
            <v>#REF!</v>
          </cell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</row>
        <row r="372">
          <cell r="C372"/>
          <cell r="G372">
            <v>0</v>
          </cell>
          <cell r="H372">
            <v>0</v>
          </cell>
          <cell r="I372" t="e">
            <v>#REF!</v>
          </cell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</row>
        <row r="373">
          <cell r="C373"/>
          <cell r="G373">
            <v>0</v>
          </cell>
          <cell r="H373">
            <v>0</v>
          </cell>
          <cell r="I373" t="e">
            <v>#REF!</v>
          </cell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</row>
        <row r="374">
          <cell r="C374"/>
          <cell r="G374">
            <v>0</v>
          </cell>
          <cell r="H374">
            <v>0</v>
          </cell>
          <cell r="I374" t="e">
            <v>#REF!</v>
          </cell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</row>
        <row r="375">
          <cell r="C375"/>
          <cell r="G375">
            <v>0</v>
          </cell>
          <cell r="H375">
            <v>0</v>
          </cell>
          <cell r="I375" t="e">
            <v>#REF!</v>
          </cell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</row>
        <row r="376">
          <cell r="C376"/>
          <cell r="G376">
            <v>0</v>
          </cell>
          <cell r="H376">
            <v>0</v>
          </cell>
          <cell r="I376" t="e">
            <v>#REF!</v>
          </cell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</row>
        <row r="377">
          <cell r="C377"/>
          <cell r="G377">
            <v>0</v>
          </cell>
          <cell r="H377">
            <v>0</v>
          </cell>
          <cell r="I377" t="e">
            <v>#REF!</v>
          </cell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</row>
        <row r="378">
          <cell r="C378"/>
          <cell r="G378">
            <v>0</v>
          </cell>
          <cell r="H378">
            <v>0</v>
          </cell>
          <cell r="I378" t="e">
            <v>#REF!</v>
          </cell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</row>
        <row r="379">
          <cell r="C379"/>
          <cell r="G379">
            <v>0</v>
          </cell>
          <cell r="H379">
            <v>0</v>
          </cell>
          <cell r="I379" t="e">
            <v>#REF!</v>
          </cell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</row>
        <row r="380">
          <cell r="C380"/>
          <cell r="G380">
            <v>0</v>
          </cell>
          <cell r="H380">
            <v>0</v>
          </cell>
          <cell r="I380" t="e">
            <v>#REF!</v>
          </cell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</row>
        <row r="381">
          <cell r="C381"/>
          <cell r="G381">
            <v>0</v>
          </cell>
          <cell r="H381">
            <v>0</v>
          </cell>
          <cell r="I381" t="e">
            <v>#REF!</v>
          </cell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</row>
        <row r="382">
          <cell r="C382"/>
          <cell r="G382">
            <v>0</v>
          </cell>
          <cell r="H382">
            <v>0</v>
          </cell>
          <cell r="I382" t="e">
            <v>#REF!</v>
          </cell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</row>
        <row r="383">
          <cell r="C383"/>
          <cell r="G383">
            <v>0</v>
          </cell>
          <cell r="H383">
            <v>0</v>
          </cell>
          <cell r="I383" t="e">
            <v>#REF!</v>
          </cell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</row>
        <row r="384">
          <cell r="C384"/>
          <cell r="G384">
            <v>0</v>
          </cell>
          <cell r="H384">
            <v>0</v>
          </cell>
          <cell r="I384" t="e">
            <v>#REF!</v>
          </cell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</row>
        <row r="385">
          <cell r="C385"/>
          <cell r="G385">
            <v>0</v>
          </cell>
          <cell r="H385">
            <v>0</v>
          </cell>
          <cell r="I385" t="e">
            <v>#REF!</v>
          </cell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</row>
        <row r="386">
          <cell r="C386"/>
          <cell r="G386">
            <v>0</v>
          </cell>
          <cell r="H386">
            <v>0</v>
          </cell>
          <cell r="I386" t="e">
            <v>#REF!</v>
          </cell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</row>
        <row r="387">
          <cell r="C387"/>
          <cell r="G387">
            <v>0</v>
          </cell>
          <cell r="H387">
            <v>0</v>
          </cell>
          <cell r="I387" t="e">
            <v>#REF!</v>
          </cell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</row>
        <row r="388">
          <cell r="C388"/>
          <cell r="G388">
            <v>0</v>
          </cell>
          <cell r="H388">
            <v>0</v>
          </cell>
          <cell r="I388" t="e">
            <v>#REF!</v>
          </cell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</row>
        <row r="389">
          <cell r="C389"/>
          <cell r="G389">
            <v>0</v>
          </cell>
          <cell r="H389">
            <v>0</v>
          </cell>
          <cell r="I389" t="e">
            <v>#REF!</v>
          </cell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</row>
        <row r="390">
          <cell r="C390"/>
          <cell r="G390">
            <v>0</v>
          </cell>
          <cell r="H390">
            <v>0</v>
          </cell>
          <cell r="I390" t="e">
            <v>#REF!</v>
          </cell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</row>
        <row r="391">
          <cell r="C391"/>
          <cell r="G391">
            <v>0</v>
          </cell>
          <cell r="H391">
            <v>0</v>
          </cell>
          <cell r="I391" t="e">
            <v>#REF!</v>
          </cell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</row>
        <row r="392">
          <cell r="C392"/>
          <cell r="G392">
            <v>0</v>
          </cell>
          <cell r="H392">
            <v>0</v>
          </cell>
          <cell r="I392" t="e">
            <v>#REF!</v>
          </cell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</row>
        <row r="393">
          <cell r="C393"/>
          <cell r="G393">
            <v>0</v>
          </cell>
          <cell r="H393">
            <v>0</v>
          </cell>
          <cell r="I393" t="e">
            <v>#REF!</v>
          </cell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</row>
        <row r="394">
          <cell r="C394"/>
          <cell r="G394">
            <v>0</v>
          </cell>
          <cell r="H394">
            <v>0</v>
          </cell>
          <cell r="I394" t="e">
            <v>#REF!</v>
          </cell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</row>
        <row r="395">
          <cell r="C395"/>
          <cell r="G395">
            <v>0</v>
          </cell>
          <cell r="H395">
            <v>0</v>
          </cell>
          <cell r="I395" t="e">
            <v>#REF!</v>
          </cell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</row>
        <row r="396">
          <cell r="C396"/>
          <cell r="G396">
            <v>0</v>
          </cell>
          <cell r="H396">
            <v>0</v>
          </cell>
          <cell r="I396" t="e">
            <v>#REF!</v>
          </cell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</row>
        <row r="397">
          <cell r="C397"/>
          <cell r="G397">
            <v>0</v>
          </cell>
          <cell r="H397">
            <v>0</v>
          </cell>
          <cell r="I397" t="e">
            <v>#REF!</v>
          </cell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</row>
        <row r="398">
          <cell r="C398"/>
          <cell r="G398">
            <v>0</v>
          </cell>
          <cell r="H398">
            <v>0</v>
          </cell>
          <cell r="I398" t="e">
            <v>#REF!</v>
          </cell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</row>
        <row r="399">
          <cell r="C399"/>
          <cell r="G399">
            <v>0</v>
          </cell>
          <cell r="H399">
            <v>0</v>
          </cell>
          <cell r="I399" t="e">
            <v>#REF!</v>
          </cell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</row>
        <row r="400">
          <cell r="C400"/>
          <cell r="G400">
            <v>0</v>
          </cell>
          <cell r="H400">
            <v>0</v>
          </cell>
          <cell r="I400" t="e">
            <v>#REF!</v>
          </cell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</row>
        <row r="401">
          <cell r="C401"/>
          <cell r="G401">
            <v>0</v>
          </cell>
          <cell r="H401">
            <v>0</v>
          </cell>
          <cell r="I401" t="e">
            <v>#REF!</v>
          </cell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</row>
        <row r="402">
          <cell r="C402"/>
          <cell r="G402">
            <v>0</v>
          </cell>
          <cell r="H402">
            <v>0</v>
          </cell>
          <cell r="I402" t="e">
            <v>#REF!</v>
          </cell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</row>
        <row r="403">
          <cell r="C403"/>
          <cell r="G403">
            <v>0</v>
          </cell>
          <cell r="H403">
            <v>0</v>
          </cell>
          <cell r="I403" t="e">
            <v>#REF!</v>
          </cell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</row>
        <row r="404">
          <cell r="C404"/>
          <cell r="G404">
            <v>0</v>
          </cell>
          <cell r="H404">
            <v>0</v>
          </cell>
          <cell r="I404" t="e">
            <v>#REF!</v>
          </cell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</row>
        <row r="405">
          <cell r="C405"/>
          <cell r="G405">
            <v>0</v>
          </cell>
          <cell r="H405">
            <v>0</v>
          </cell>
          <cell r="I405" t="e">
            <v>#REF!</v>
          </cell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</row>
        <row r="406">
          <cell r="C406"/>
          <cell r="G406">
            <v>0</v>
          </cell>
          <cell r="H406">
            <v>0</v>
          </cell>
          <cell r="I406" t="e">
            <v>#REF!</v>
          </cell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</row>
        <row r="407">
          <cell r="C407"/>
          <cell r="G407">
            <v>0</v>
          </cell>
          <cell r="H407">
            <v>0</v>
          </cell>
          <cell r="I407" t="e">
            <v>#REF!</v>
          </cell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</row>
        <row r="408">
          <cell r="C408"/>
          <cell r="G408">
            <v>0</v>
          </cell>
          <cell r="H408">
            <v>0</v>
          </cell>
          <cell r="I408" t="e">
            <v>#REF!</v>
          </cell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</row>
        <row r="409">
          <cell r="C409"/>
          <cell r="G409">
            <v>0</v>
          </cell>
          <cell r="H409">
            <v>0</v>
          </cell>
          <cell r="I409" t="e">
            <v>#REF!</v>
          </cell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</row>
        <row r="410">
          <cell r="C410"/>
          <cell r="G410">
            <v>0</v>
          </cell>
          <cell r="H410">
            <v>0</v>
          </cell>
          <cell r="I410" t="e">
            <v>#REF!</v>
          </cell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</row>
        <row r="411">
          <cell r="C411"/>
          <cell r="G411">
            <v>0</v>
          </cell>
          <cell r="H411">
            <v>0</v>
          </cell>
          <cell r="I411" t="e">
            <v>#REF!</v>
          </cell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</row>
        <row r="412">
          <cell r="C412"/>
          <cell r="G412">
            <v>0</v>
          </cell>
          <cell r="H412">
            <v>0</v>
          </cell>
          <cell r="I412" t="e">
            <v>#REF!</v>
          </cell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</row>
        <row r="413">
          <cell r="C413"/>
          <cell r="G413">
            <v>0</v>
          </cell>
          <cell r="H413">
            <v>0</v>
          </cell>
          <cell r="I413" t="e">
            <v>#REF!</v>
          </cell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</row>
        <row r="414">
          <cell r="C414"/>
          <cell r="G414">
            <v>0</v>
          </cell>
          <cell r="H414">
            <v>0</v>
          </cell>
          <cell r="I414" t="e">
            <v>#REF!</v>
          </cell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</row>
        <row r="415">
          <cell r="C415"/>
          <cell r="G415">
            <v>0</v>
          </cell>
          <cell r="H415">
            <v>0</v>
          </cell>
          <cell r="I415" t="e">
            <v>#REF!</v>
          </cell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</row>
        <row r="416">
          <cell r="C416"/>
          <cell r="G416">
            <v>0</v>
          </cell>
          <cell r="H416">
            <v>0</v>
          </cell>
          <cell r="I416" t="e">
            <v>#REF!</v>
          </cell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</row>
        <row r="417">
          <cell r="C417"/>
          <cell r="G417">
            <v>0</v>
          </cell>
          <cell r="H417">
            <v>0</v>
          </cell>
          <cell r="I417" t="e">
            <v>#REF!</v>
          </cell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</row>
        <row r="418">
          <cell r="C418"/>
          <cell r="G418">
            <v>0</v>
          </cell>
          <cell r="H418">
            <v>0</v>
          </cell>
          <cell r="I418" t="e">
            <v>#REF!</v>
          </cell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</row>
        <row r="419">
          <cell r="C419"/>
          <cell r="G419">
            <v>0</v>
          </cell>
          <cell r="H419">
            <v>0</v>
          </cell>
          <cell r="I419" t="e">
            <v>#REF!</v>
          </cell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</row>
        <row r="420">
          <cell r="C420"/>
          <cell r="G420">
            <v>0</v>
          </cell>
          <cell r="H420">
            <v>0</v>
          </cell>
          <cell r="I420" t="e">
            <v>#REF!</v>
          </cell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</row>
        <row r="421">
          <cell r="C421"/>
          <cell r="G421">
            <v>0</v>
          </cell>
          <cell r="H421">
            <v>0</v>
          </cell>
          <cell r="I421" t="e">
            <v>#REF!</v>
          </cell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</row>
        <row r="422">
          <cell r="C422"/>
          <cell r="G422">
            <v>0</v>
          </cell>
          <cell r="H422">
            <v>0</v>
          </cell>
          <cell r="I422" t="e">
            <v>#REF!</v>
          </cell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</row>
        <row r="423">
          <cell r="C423"/>
          <cell r="G423">
            <v>0</v>
          </cell>
          <cell r="H423">
            <v>0</v>
          </cell>
          <cell r="I423" t="e">
            <v>#REF!</v>
          </cell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</row>
        <row r="424">
          <cell r="C424"/>
          <cell r="G424">
            <v>0</v>
          </cell>
          <cell r="H424">
            <v>0</v>
          </cell>
          <cell r="I424" t="e">
            <v>#REF!</v>
          </cell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</row>
        <row r="425">
          <cell r="C425"/>
          <cell r="G425">
            <v>0</v>
          </cell>
          <cell r="H425">
            <v>0</v>
          </cell>
          <cell r="I425" t="e">
            <v>#REF!</v>
          </cell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</row>
        <row r="426">
          <cell r="C426"/>
          <cell r="G426">
            <v>0</v>
          </cell>
          <cell r="H426">
            <v>0</v>
          </cell>
          <cell r="I426" t="e">
            <v>#REF!</v>
          </cell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</row>
        <row r="427">
          <cell r="C427"/>
          <cell r="G427">
            <v>0</v>
          </cell>
          <cell r="H427">
            <v>0</v>
          </cell>
          <cell r="I427" t="e">
            <v>#REF!</v>
          </cell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</row>
        <row r="428">
          <cell r="C428"/>
          <cell r="G428">
            <v>0</v>
          </cell>
          <cell r="H428">
            <v>0</v>
          </cell>
          <cell r="I428" t="e">
            <v>#REF!</v>
          </cell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</row>
        <row r="429">
          <cell r="C429"/>
          <cell r="G429">
            <v>0</v>
          </cell>
          <cell r="H429">
            <v>0</v>
          </cell>
          <cell r="I429" t="e">
            <v>#REF!</v>
          </cell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</row>
        <row r="430">
          <cell r="C430"/>
          <cell r="G430">
            <v>0</v>
          </cell>
          <cell r="H430">
            <v>0</v>
          </cell>
          <cell r="I430" t="e">
            <v>#REF!</v>
          </cell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</row>
        <row r="431">
          <cell r="C431"/>
          <cell r="G431">
            <v>0</v>
          </cell>
          <cell r="H431">
            <v>0</v>
          </cell>
          <cell r="I431" t="e">
            <v>#REF!</v>
          </cell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</row>
        <row r="432">
          <cell r="C432"/>
          <cell r="G432">
            <v>0</v>
          </cell>
          <cell r="H432">
            <v>0</v>
          </cell>
          <cell r="I432" t="e">
            <v>#REF!</v>
          </cell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</row>
        <row r="433">
          <cell r="C433"/>
          <cell r="G433">
            <v>0</v>
          </cell>
          <cell r="H433">
            <v>0</v>
          </cell>
          <cell r="I433" t="e">
            <v>#REF!</v>
          </cell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</row>
        <row r="434">
          <cell r="C434"/>
          <cell r="G434">
            <v>0</v>
          </cell>
          <cell r="H434">
            <v>0</v>
          </cell>
          <cell r="I434" t="e">
            <v>#REF!</v>
          </cell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</row>
        <row r="435">
          <cell r="C435"/>
          <cell r="G435">
            <v>0</v>
          </cell>
          <cell r="H435">
            <v>0</v>
          </cell>
          <cell r="I435" t="e">
            <v>#REF!</v>
          </cell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</row>
        <row r="436">
          <cell r="C436"/>
          <cell r="G436">
            <v>0</v>
          </cell>
          <cell r="H436">
            <v>0</v>
          </cell>
          <cell r="I436" t="e">
            <v>#REF!</v>
          </cell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</row>
        <row r="437">
          <cell r="C437"/>
          <cell r="G437">
            <v>0</v>
          </cell>
          <cell r="H437">
            <v>0</v>
          </cell>
          <cell r="I437" t="e">
            <v>#REF!</v>
          </cell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</row>
        <row r="438">
          <cell r="C438"/>
          <cell r="G438">
            <v>0</v>
          </cell>
          <cell r="H438">
            <v>0</v>
          </cell>
          <cell r="I438" t="e">
            <v>#REF!</v>
          </cell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</row>
        <row r="439">
          <cell r="C439"/>
          <cell r="G439">
            <v>0</v>
          </cell>
          <cell r="H439">
            <v>0</v>
          </cell>
          <cell r="I439" t="e">
            <v>#REF!</v>
          </cell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</row>
        <row r="440">
          <cell r="C440"/>
          <cell r="G440">
            <v>0</v>
          </cell>
          <cell r="H440">
            <v>0</v>
          </cell>
          <cell r="I440" t="e">
            <v>#REF!</v>
          </cell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</row>
        <row r="441">
          <cell r="C441"/>
          <cell r="G441">
            <v>0</v>
          </cell>
          <cell r="H441">
            <v>0</v>
          </cell>
          <cell r="I441" t="e">
            <v>#REF!</v>
          </cell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</row>
        <row r="442">
          <cell r="C442"/>
          <cell r="G442">
            <v>0</v>
          </cell>
          <cell r="H442">
            <v>0</v>
          </cell>
          <cell r="I442" t="e">
            <v>#REF!</v>
          </cell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</row>
        <row r="443">
          <cell r="C443"/>
          <cell r="G443">
            <v>0</v>
          </cell>
          <cell r="H443">
            <v>0</v>
          </cell>
          <cell r="I443" t="e">
            <v>#REF!</v>
          </cell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</row>
        <row r="444">
          <cell r="C444"/>
          <cell r="G444">
            <v>0</v>
          </cell>
          <cell r="H444">
            <v>0</v>
          </cell>
          <cell r="I444" t="e">
            <v>#REF!</v>
          </cell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</row>
        <row r="445">
          <cell r="C445"/>
          <cell r="G445">
            <v>0</v>
          </cell>
          <cell r="H445">
            <v>0</v>
          </cell>
          <cell r="I445" t="e">
            <v>#REF!</v>
          </cell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</row>
        <row r="446">
          <cell r="C446"/>
          <cell r="G446">
            <v>0</v>
          </cell>
          <cell r="H446">
            <v>0</v>
          </cell>
          <cell r="I446" t="e">
            <v>#REF!</v>
          </cell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</row>
        <row r="447">
          <cell r="C447"/>
          <cell r="G447">
            <v>0</v>
          </cell>
          <cell r="H447">
            <v>0</v>
          </cell>
          <cell r="I447" t="e">
            <v>#REF!</v>
          </cell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</row>
        <row r="448">
          <cell r="C448"/>
          <cell r="G448">
            <v>0</v>
          </cell>
          <cell r="H448">
            <v>0</v>
          </cell>
          <cell r="I448" t="e">
            <v>#REF!</v>
          </cell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</row>
        <row r="449">
          <cell r="C449"/>
          <cell r="G449">
            <v>0</v>
          </cell>
          <cell r="H449">
            <v>0</v>
          </cell>
          <cell r="I449" t="e">
            <v>#REF!</v>
          </cell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</row>
        <row r="450">
          <cell r="C450"/>
          <cell r="G450">
            <v>0</v>
          </cell>
          <cell r="H450">
            <v>0</v>
          </cell>
          <cell r="I450" t="e">
            <v>#REF!</v>
          </cell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</row>
        <row r="451">
          <cell r="C451"/>
          <cell r="G451">
            <v>0</v>
          </cell>
          <cell r="H451">
            <v>0</v>
          </cell>
          <cell r="I451" t="e">
            <v>#REF!</v>
          </cell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</row>
        <row r="452">
          <cell r="C452"/>
          <cell r="G452">
            <v>0</v>
          </cell>
          <cell r="H452">
            <v>0</v>
          </cell>
          <cell r="I452" t="e">
            <v>#REF!</v>
          </cell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</row>
        <row r="453">
          <cell r="C453"/>
          <cell r="G453">
            <v>0</v>
          </cell>
          <cell r="H453">
            <v>0</v>
          </cell>
          <cell r="I453" t="e">
            <v>#REF!</v>
          </cell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</row>
        <row r="454">
          <cell r="C454"/>
          <cell r="G454">
            <v>0</v>
          </cell>
          <cell r="H454">
            <v>0</v>
          </cell>
          <cell r="I454" t="e">
            <v>#REF!</v>
          </cell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</row>
        <row r="455">
          <cell r="C455"/>
          <cell r="G455">
            <v>0</v>
          </cell>
          <cell r="H455">
            <v>0</v>
          </cell>
          <cell r="I455" t="e">
            <v>#REF!</v>
          </cell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</row>
        <row r="456">
          <cell r="C456"/>
          <cell r="G456">
            <v>0</v>
          </cell>
          <cell r="H456">
            <v>0</v>
          </cell>
          <cell r="I456" t="e">
            <v>#REF!</v>
          </cell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</row>
        <row r="457">
          <cell r="C457"/>
          <cell r="G457">
            <v>0</v>
          </cell>
          <cell r="H457">
            <v>0</v>
          </cell>
          <cell r="I457" t="e">
            <v>#REF!</v>
          </cell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</row>
        <row r="458">
          <cell r="C458"/>
          <cell r="G458">
            <v>0</v>
          </cell>
          <cell r="H458">
            <v>0</v>
          </cell>
          <cell r="I458" t="e">
            <v>#REF!</v>
          </cell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</row>
        <row r="459">
          <cell r="C459"/>
          <cell r="G459">
            <v>0</v>
          </cell>
          <cell r="H459">
            <v>0</v>
          </cell>
          <cell r="I459" t="e">
            <v>#REF!</v>
          </cell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</row>
        <row r="460">
          <cell r="C460"/>
          <cell r="G460">
            <v>0</v>
          </cell>
          <cell r="H460">
            <v>0</v>
          </cell>
          <cell r="I460" t="e">
            <v>#REF!</v>
          </cell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</row>
        <row r="461">
          <cell r="C461"/>
          <cell r="G461">
            <v>0</v>
          </cell>
          <cell r="H461">
            <v>0</v>
          </cell>
          <cell r="I461" t="e">
            <v>#REF!</v>
          </cell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</row>
        <row r="462">
          <cell r="C462"/>
          <cell r="G462">
            <v>0</v>
          </cell>
          <cell r="H462">
            <v>0</v>
          </cell>
          <cell r="I462" t="e">
            <v>#REF!</v>
          </cell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</row>
        <row r="463">
          <cell r="C463"/>
          <cell r="G463">
            <v>0</v>
          </cell>
          <cell r="H463">
            <v>0</v>
          </cell>
          <cell r="I463" t="e">
            <v>#REF!</v>
          </cell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</row>
        <row r="464">
          <cell r="C464"/>
          <cell r="G464">
            <v>0</v>
          </cell>
          <cell r="H464">
            <v>0</v>
          </cell>
          <cell r="I464" t="e">
            <v>#REF!</v>
          </cell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</row>
        <row r="465">
          <cell r="C465"/>
          <cell r="G465">
            <v>0</v>
          </cell>
          <cell r="H465">
            <v>0</v>
          </cell>
          <cell r="I465" t="e">
            <v>#REF!</v>
          </cell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</row>
        <row r="466">
          <cell r="C466"/>
          <cell r="G466">
            <v>0</v>
          </cell>
          <cell r="H466">
            <v>0</v>
          </cell>
          <cell r="I466" t="e">
            <v>#REF!</v>
          </cell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</row>
        <row r="467">
          <cell r="C467"/>
          <cell r="G467">
            <v>0</v>
          </cell>
          <cell r="H467">
            <v>0</v>
          </cell>
          <cell r="I467" t="e">
            <v>#REF!</v>
          </cell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</row>
        <row r="468">
          <cell r="C468"/>
          <cell r="G468">
            <v>0</v>
          </cell>
          <cell r="H468">
            <v>0</v>
          </cell>
          <cell r="I468" t="e">
            <v>#REF!</v>
          </cell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</row>
        <row r="469">
          <cell r="C469"/>
          <cell r="G469">
            <v>0</v>
          </cell>
          <cell r="H469">
            <v>0</v>
          </cell>
          <cell r="I469" t="e">
            <v>#REF!</v>
          </cell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</row>
        <row r="470">
          <cell r="C470"/>
          <cell r="G470">
            <v>0</v>
          </cell>
          <cell r="H470">
            <v>0</v>
          </cell>
          <cell r="I470" t="e">
            <v>#REF!</v>
          </cell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</row>
        <row r="471">
          <cell r="C471"/>
          <cell r="G471">
            <v>0</v>
          </cell>
          <cell r="H471">
            <v>0</v>
          </cell>
          <cell r="I471" t="e">
            <v>#REF!</v>
          </cell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</row>
        <row r="472">
          <cell r="C472"/>
          <cell r="G472">
            <v>0</v>
          </cell>
          <cell r="H472">
            <v>0</v>
          </cell>
          <cell r="I472" t="e">
            <v>#REF!</v>
          </cell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</row>
        <row r="473">
          <cell r="C473"/>
          <cell r="G473">
            <v>0</v>
          </cell>
          <cell r="H473">
            <v>0</v>
          </cell>
          <cell r="I473" t="e">
            <v>#REF!</v>
          </cell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</row>
        <row r="474">
          <cell r="C474"/>
          <cell r="G474">
            <v>0</v>
          </cell>
          <cell r="H474">
            <v>0</v>
          </cell>
          <cell r="I474" t="e">
            <v>#REF!</v>
          </cell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</row>
        <row r="475">
          <cell r="C475"/>
          <cell r="G475">
            <v>0</v>
          </cell>
          <cell r="H475">
            <v>0</v>
          </cell>
          <cell r="I475" t="e">
            <v>#REF!</v>
          </cell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</row>
        <row r="476">
          <cell r="C476"/>
          <cell r="G476">
            <v>0</v>
          </cell>
          <cell r="H476">
            <v>0</v>
          </cell>
          <cell r="I476" t="e">
            <v>#REF!</v>
          </cell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</row>
        <row r="477">
          <cell r="C477"/>
          <cell r="G477">
            <v>0</v>
          </cell>
          <cell r="H477">
            <v>0</v>
          </cell>
          <cell r="I477" t="e">
            <v>#REF!</v>
          </cell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</row>
        <row r="478">
          <cell r="C478"/>
          <cell r="G478">
            <v>0</v>
          </cell>
          <cell r="H478">
            <v>0</v>
          </cell>
          <cell r="I478" t="e">
            <v>#REF!</v>
          </cell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</row>
        <row r="479">
          <cell r="C479"/>
          <cell r="G479">
            <v>0</v>
          </cell>
          <cell r="H479">
            <v>0</v>
          </cell>
          <cell r="I479" t="e">
            <v>#REF!</v>
          </cell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</row>
        <row r="480">
          <cell r="C480"/>
          <cell r="G480">
            <v>0</v>
          </cell>
          <cell r="H480">
            <v>0</v>
          </cell>
          <cell r="I480" t="e">
            <v>#REF!</v>
          </cell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</row>
        <row r="481">
          <cell r="C481"/>
          <cell r="G481">
            <v>0</v>
          </cell>
          <cell r="H481">
            <v>0</v>
          </cell>
          <cell r="I481" t="e">
            <v>#REF!</v>
          </cell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</row>
        <row r="482">
          <cell r="C482"/>
          <cell r="G482">
            <v>0</v>
          </cell>
          <cell r="H482">
            <v>0</v>
          </cell>
          <cell r="I482" t="e">
            <v>#REF!</v>
          </cell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</row>
        <row r="483">
          <cell r="C483"/>
          <cell r="G483">
            <v>0</v>
          </cell>
          <cell r="H483">
            <v>0</v>
          </cell>
          <cell r="I483" t="e">
            <v>#REF!</v>
          </cell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</row>
        <row r="484">
          <cell r="C484"/>
          <cell r="G484">
            <v>0</v>
          </cell>
          <cell r="H484">
            <v>0</v>
          </cell>
          <cell r="I484" t="e">
            <v>#REF!</v>
          </cell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</row>
        <row r="485">
          <cell r="C485"/>
          <cell r="G485">
            <v>0</v>
          </cell>
          <cell r="H485">
            <v>0</v>
          </cell>
          <cell r="I485" t="e">
            <v>#REF!</v>
          </cell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</row>
        <row r="486">
          <cell r="C486"/>
          <cell r="G486">
            <v>0</v>
          </cell>
          <cell r="H486">
            <v>0</v>
          </cell>
          <cell r="I486" t="e">
            <v>#REF!</v>
          </cell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</row>
        <row r="487">
          <cell r="C487"/>
          <cell r="G487">
            <v>0</v>
          </cell>
          <cell r="H487">
            <v>0</v>
          </cell>
          <cell r="I487" t="e">
            <v>#REF!</v>
          </cell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</row>
        <row r="488">
          <cell r="C488"/>
          <cell r="G488">
            <v>0</v>
          </cell>
          <cell r="H488">
            <v>0</v>
          </cell>
          <cell r="I488" t="e">
            <v>#REF!</v>
          </cell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</row>
        <row r="489">
          <cell r="C489"/>
          <cell r="G489">
            <v>0</v>
          </cell>
          <cell r="H489">
            <v>0</v>
          </cell>
          <cell r="I489" t="e">
            <v>#REF!</v>
          </cell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</row>
        <row r="490">
          <cell r="C490"/>
          <cell r="G490">
            <v>0</v>
          </cell>
          <cell r="H490">
            <v>0</v>
          </cell>
          <cell r="I490" t="e">
            <v>#REF!</v>
          </cell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</row>
        <row r="491">
          <cell r="C491"/>
          <cell r="G491">
            <v>0</v>
          </cell>
          <cell r="H491">
            <v>0</v>
          </cell>
          <cell r="I491" t="e">
            <v>#REF!</v>
          </cell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</row>
        <row r="492">
          <cell r="C492"/>
          <cell r="G492">
            <v>0</v>
          </cell>
          <cell r="H492">
            <v>0</v>
          </cell>
          <cell r="I492" t="e">
            <v>#REF!</v>
          </cell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</row>
        <row r="493">
          <cell r="C493"/>
          <cell r="G493">
            <v>0</v>
          </cell>
          <cell r="H493">
            <v>0</v>
          </cell>
          <cell r="I493" t="e">
            <v>#REF!</v>
          </cell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</row>
        <row r="494">
          <cell r="C494"/>
          <cell r="G494">
            <v>0</v>
          </cell>
          <cell r="H494">
            <v>0</v>
          </cell>
          <cell r="I494" t="e">
            <v>#REF!</v>
          </cell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</row>
        <row r="495">
          <cell r="C495"/>
          <cell r="G495">
            <v>0</v>
          </cell>
          <cell r="H495">
            <v>0</v>
          </cell>
          <cell r="I495" t="e">
            <v>#REF!</v>
          </cell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</row>
        <row r="496">
          <cell r="C496"/>
          <cell r="G496">
            <v>0</v>
          </cell>
          <cell r="H496">
            <v>0</v>
          </cell>
          <cell r="I496" t="e">
            <v>#REF!</v>
          </cell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</row>
        <row r="497">
          <cell r="C497"/>
          <cell r="G497">
            <v>0</v>
          </cell>
          <cell r="H497">
            <v>0</v>
          </cell>
          <cell r="I497" t="e">
            <v>#REF!</v>
          </cell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</row>
        <row r="498">
          <cell r="C498"/>
          <cell r="G498">
            <v>0</v>
          </cell>
          <cell r="H498">
            <v>0</v>
          </cell>
          <cell r="I498" t="e">
            <v>#REF!</v>
          </cell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</row>
        <row r="499">
          <cell r="C499"/>
          <cell r="G499">
            <v>0</v>
          </cell>
          <cell r="H499">
            <v>0</v>
          </cell>
          <cell r="I499" t="e">
            <v>#REF!</v>
          </cell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</row>
        <row r="500">
          <cell r="C500"/>
          <cell r="G500">
            <v>0</v>
          </cell>
          <cell r="H500">
            <v>0</v>
          </cell>
          <cell r="I500" t="e">
            <v>#REF!</v>
          </cell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</row>
        <row r="501">
          <cell r="C501"/>
          <cell r="G501">
            <v>0</v>
          </cell>
          <cell r="H501">
            <v>0</v>
          </cell>
          <cell r="I501" t="e">
            <v>#REF!</v>
          </cell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</row>
        <row r="502">
          <cell r="C502"/>
          <cell r="G502">
            <v>0</v>
          </cell>
          <cell r="H502">
            <v>0</v>
          </cell>
          <cell r="I502" t="e">
            <v>#REF!</v>
          </cell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</row>
        <row r="503">
          <cell r="C503"/>
          <cell r="G503">
            <v>0</v>
          </cell>
          <cell r="H503">
            <v>0</v>
          </cell>
          <cell r="I503" t="e">
            <v>#REF!</v>
          </cell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</row>
        <row r="504">
          <cell r="C504"/>
          <cell r="G504">
            <v>0</v>
          </cell>
          <cell r="H504">
            <v>0</v>
          </cell>
          <cell r="I504" t="e">
            <v>#REF!</v>
          </cell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</row>
        <row r="505">
          <cell r="C505"/>
          <cell r="G505">
            <v>0</v>
          </cell>
          <cell r="H505">
            <v>0</v>
          </cell>
          <cell r="I505" t="e">
            <v>#REF!</v>
          </cell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</row>
        <row r="506">
          <cell r="C506"/>
          <cell r="G506">
            <v>0</v>
          </cell>
          <cell r="H506">
            <v>0</v>
          </cell>
          <cell r="I506" t="e">
            <v>#REF!</v>
          </cell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</row>
        <row r="507">
          <cell r="C507"/>
          <cell r="G507">
            <v>0</v>
          </cell>
          <cell r="H507">
            <v>0</v>
          </cell>
          <cell r="I507" t="e">
            <v>#REF!</v>
          </cell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</row>
        <row r="508">
          <cell r="C508"/>
          <cell r="G508">
            <v>0</v>
          </cell>
          <cell r="H508">
            <v>0</v>
          </cell>
          <cell r="I508" t="e">
            <v>#REF!</v>
          </cell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</row>
        <row r="509">
          <cell r="C509"/>
          <cell r="G509">
            <v>0</v>
          </cell>
          <cell r="H509">
            <v>0</v>
          </cell>
          <cell r="I509" t="e">
            <v>#REF!</v>
          </cell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</row>
        <row r="510">
          <cell r="C510"/>
          <cell r="G510">
            <v>0</v>
          </cell>
          <cell r="H510">
            <v>0</v>
          </cell>
          <cell r="I510" t="e">
            <v>#REF!</v>
          </cell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</row>
        <row r="511">
          <cell r="C511"/>
          <cell r="G511">
            <v>0</v>
          </cell>
          <cell r="H511">
            <v>0</v>
          </cell>
          <cell r="I511" t="e">
            <v>#REF!</v>
          </cell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</row>
        <row r="512">
          <cell r="C512"/>
          <cell r="G512">
            <v>0</v>
          </cell>
          <cell r="H512">
            <v>0</v>
          </cell>
          <cell r="I512" t="e">
            <v>#REF!</v>
          </cell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</row>
        <row r="513">
          <cell r="C513"/>
          <cell r="G513">
            <v>0</v>
          </cell>
          <cell r="H513">
            <v>0</v>
          </cell>
          <cell r="I513" t="e">
            <v>#REF!</v>
          </cell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</row>
        <row r="514">
          <cell r="C514"/>
          <cell r="G514">
            <v>0</v>
          </cell>
          <cell r="H514">
            <v>0</v>
          </cell>
          <cell r="I514" t="e">
            <v>#REF!</v>
          </cell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</row>
        <row r="515">
          <cell r="C515"/>
          <cell r="G515">
            <v>0</v>
          </cell>
          <cell r="H515">
            <v>0</v>
          </cell>
          <cell r="I515" t="e">
            <v>#REF!</v>
          </cell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</row>
        <row r="516">
          <cell r="C516"/>
          <cell r="G516">
            <v>0</v>
          </cell>
          <cell r="H516">
            <v>0</v>
          </cell>
          <cell r="I516" t="e">
            <v>#REF!</v>
          </cell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</row>
        <row r="517">
          <cell r="C517"/>
          <cell r="G517">
            <v>0</v>
          </cell>
          <cell r="H517">
            <v>0</v>
          </cell>
          <cell r="I517" t="e">
            <v>#REF!</v>
          </cell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</row>
        <row r="518">
          <cell r="C518"/>
          <cell r="G518">
            <v>0</v>
          </cell>
          <cell r="H518">
            <v>0</v>
          </cell>
          <cell r="I518" t="e">
            <v>#REF!</v>
          </cell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</row>
        <row r="519">
          <cell r="C519"/>
          <cell r="G519">
            <v>0</v>
          </cell>
          <cell r="H519">
            <v>0</v>
          </cell>
          <cell r="I519" t="e">
            <v>#REF!</v>
          </cell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</row>
        <row r="520">
          <cell r="C520"/>
          <cell r="G520">
            <v>0</v>
          </cell>
          <cell r="H520">
            <v>0</v>
          </cell>
          <cell r="I520" t="e">
            <v>#REF!</v>
          </cell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</row>
        <row r="521">
          <cell r="C521"/>
          <cell r="G521">
            <v>0</v>
          </cell>
          <cell r="H521">
            <v>0</v>
          </cell>
          <cell r="I521" t="e">
            <v>#REF!</v>
          </cell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</row>
        <row r="522">
          <cell r="C522"/>
          <cell r="G522">
            <v>0</v>
          </cell>
          <cell r="H522">
            <v>0</v>
          </cell>
          <cell r="I522" t="e">
            <v>#REF!</v>
          </cell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</row>
        <row r="523">
          <cell r="C523"/>
          <cell r="G523">
            <v>0</v>
          </cell>
          <cell r="H523">
            <v>0</v>
          </cell>
          <cell r="I523" t="e">
            <v>#REF!</v>
          </cell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</row>
        <row r="524">
          <cell r="C524"/>
          <cell r="G524">
            <v>0</v>
          </cell>
          <cell r="H524">
            <v>0</v>
          </cell>
          <cell r="I524" t="e">
            <v>#REF!</v>
          </cell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</row>
        <row r="525">
          <cell r="C525"/>
          <cell r="G525">
            <v>0</v>
          </cell>
          <cell r="H525">
            <v>0</v>
          </cell>
          <cell r="I525" t="e">
            <v>#REF!</v>
          </cell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</row>
        <row r="526">
          <cell r="C526"/>
          <cell r="G526">
            <v>0</v>
          </cell>
          <cell r="H526">
            <v>0</v>
          </cell>
          <cell r="I526" t="e">
            <v>#REF!</v>
          </cell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</row>
        <row r="527">
          <cell r="C527"/>
          <cell r="G527">
            <v>0</v>
          </cell>
          <cell r="H527">
            <v>0</v>
          </cell>
          <cell r="I527" t="e">
            <v>#REF!</v>
          </cell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</row>
        <row r="528">
          <cell r="C528"/>
          <cell r="G528">
            <v>0</v>
          </cell>
          <cell r="H528">
            <v>0</v>
          </cell>
          <cell r="I528" t="e">
            <v>#REF!</v>
          </cell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</row>
        <row r="529">
          <cell r="C529"/>
          <cell r="G529">
            <v>0</v>
          </cell>
          <cell r="H529">
            <v>0</v>
          </cell>
          <cell r="I529" t="e">
            <v>#REF!</v>
          </cell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</row>
        <row r="530">
          <cell r="C530"/>
          <cell r="G530">
            <v>0</v>
          </cell>
          <cell r="H530">
            <v>0</v>
          </cell>
          <cell r="I530" t="e">
            <v>#REF!</v>
          </cell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</row>
        <row r="531">
          <cell r="C531"/>
          <cell r="G531">
            <v>0</v>
          </cell>
          <cell r="H531">
            <v>0</v>
          </cell>
          <cell r="I531" t="e">
            <v>#REF!</v>
          </cell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</row>
        <row r="532">
          <cell r="G532">
            <v>0</v>
          </cell>
          <cell r="H532">
            <v>0</v>
          </cell>
          <cell r="I532" t="e">
            <v>#REF!</v>
          </cell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</row>
        <row r="533">
          <cell r="G533">
            <v>0</v>
          </cell>
          <cell r="H533">
            <v>0</v>
          </cell>
          <cell r="I533" t="e">
            <v>#REF!</v>
          </cell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</row>
        <row r="534">
          <cell r="G534">
            <v>0</v>
          </cell>
          <cell r="H534">
            <v>0</v>
          </cell>
          <cell r="I534" t="e">
            <v>#REF!</v>
          </cell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</row>
        <row r="535">
          <cell r="G535">
            <v>0</v>
          </cell>
          <cell r="H535">
            <v>0</v>
          </cell>
          <cell r="I535" t="e">
            <v>#REF!</v>
          </cell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</row>
        <row r="536">
          <cell r="G536">
            <v>0</v>
          </cell>
          <cell r="H536">
            <v>0</v>
          </cell>
          <cell r="I536" t="e">
            <v>#REF!</v>
          </cell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</row>
        <row r="537">
          <cell r="G537">
            <v>0</v>
          </cell>
          <cell r="H537">
            <v>0</v>
          </cell>
          <cell r="I537" t="e">
            <v>#REF!</v>
          </cell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</row>
        <row r="538">
          <cell r="G538">
            <v>0</v>
          </cell>
          <cell r="H538">
            <v>0</v>
          </cell>
          <cell r="I538" t="e">
            <v>#REF!</v>
          </cell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</row>
        <row r="539">
          <cell r="G539">
            <v>0</v>
          </cell>
          <cell r="H539">
            <v>0</v>
          </cell>
          <cell r="I539" t="e">
            <v>#REF!</v>
          </cell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</row>
        <row r="540">
          <cell r="G540">
            <v>0</v>
          </cell>
          <cell r="H540">
            <v>0</v>
          </cell>
          <cell r="I540" t="e">
            <v>#REF!</v>
          </cell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</row>
        <row r="541">
          <cell r="G541">
            <v>0</v>
          </cell>
          <cell r="H541">
            <v>0</v>
          </cell>
          <cell r="I541" t="e">
            <v>#REF!</v>
          </cell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</row>
        <row r="542">
          <cell r="G542">
            <v>0</v>
          </cell>
          <cell r="H542">
            <v>0</v>
          </cell>
          <cell r="I542" t="e">
            <v>#REF!</v>
          </cell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</row>
        <row r="543">
          <cell r="G543">
            <v>0</v>
          </cell>
          <cell r="H543">
            <v>0</v>
          </cell>
          <cell r="I543" t="e">
            <v>#REF!</v>
          </cell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</row>
        <row r="544">
          <cell r="G544">
            <v>0</v>
          </cell>
          <cell r="H544">
            <v>0</v>
          </cell>
          <cell r="I544" t="e">
            <v>#REF!</v>
          </cell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</row>
        <row r="545">
          <cell r="G545">
            <v>0</v>
          </cell>
          <cell r="H545">
            <v>0</v>
          </cell>
          <cell r="I545" t="e">
            <v>#REF!</v>
          </cell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</row>
        <row r="546">
          <cell r="G546">
            <v>0</v>
          </cell>
          <cell r="H546">
            <v>0</v>
          </cell>
          <cell r="I546" t="e">
            <v>#REF!</v>
          </cell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</row>
        <row r="547">
          <cell r="G547">
            <v>0</v>
          </cell>
          <cell r="H547">
            <v>0</v>
          </cell>
          <cell r="I547" t="e">
            <v>#REF!</v>
          </cell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</row>
        <row r="548">
          <cell r="G548">
            <v>0</v>
          </cell>
          <cell r="H548">
            <v>0</v>
          </cell>
          <cell r="I548" t="e">
            <v>#REF!</v>
          </cell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</row>
        <row r="549">
          <cell r="G549">
            <v>0</v>
          </cell>
          <cell r="H549">
            <v>0</v>
          </cell>
          <cell r="I549" t="e">
            <v>#REF!</v>
          </cell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</row>
        <row r="550">
          <cell r="G550">
            <v>0</v>
          </cell>
          <cell r="H550">
            <v>0</v>
          </cell>
          <cell r="I550" t="e">
            <v>#REF!</v>
          </cell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</row>
        <row r="551">
          <cell r="G551">
            <v>0</v>
          </cell>
          <cell r="H551">
            <v>0</v>
          </cell>
          <cell r="I551" t="e">
            <v>#REF!</v>
          </cell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</row>
        <row r="552">
          <cell r="G552">
            <v>0</v>
          </cell>
          <cell r="H552">
            <v>0</v>
          </cell>
          <cell r="I552" t="e">
            <v>#REF!</v>
          </cell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</row>
        <row r="553">
          <cell r="G553">
            <v>0</v>
          </cell>
          <cell r="H553">
            <v>0</v>
          </cell>
          <cell r="I553" t="e">
            <v>#REF!</v>
          </cell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</row>
        <row r="554">
          <cell r="G554">
            <v>0</v>
          </cell>
          <cell r="H554">
            <v>0</v>
          </cell>
          <cell r="I554" t="e">
            <v>#REF!</v>
          </cell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</row>
        <row r="555">
          <cell r="G555">
            <v>0</v>
          </cell>
          <cell r="H555">
            <v>0</v>
          </cell>
          <cell r="I555" t="e">
            <v>#REF!</v>
          </cell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</row>
        <row r="556">
          <cell r="G556">
            <v>0</v>
          </cell>
          <cell r="H556">
            <v>0</v>
          </cell>
          <cell r="I556" t="e">
            <v>#REF!</v>
          </cell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</row>
        <row r="557">
          <cell r="G557">
            <v>0</v>
          </cell>
          <cell r="H557">
            <v>0</v>
          </cell>
          <cell r="I557" t="e">
            <v>#REF!</v>
          </cell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</row>
        <row r="558">
          <cell r="G558">
            <v>0</v>
          </cell>
          <cell r="H558">
            <v>0</v>
          </cell>
          <cell r="I558" t="e">
            <v>#REF!</v>
          </cell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</row>
        <row r="559">
          <cell r="G559">
            <v>0</v>
          </cell>
          <cell r="H559">
            <v>0</v>
          </cell>
          <cell r="I559" t="e">
            <v>#REF!</v>
          </cell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</row>
        <row r="560">
          <cell r="G560">
            <v>0</v>
          </cell>
          <cell r="H560">
            <v>0</v>
          </cell>
          <cell r="I560" t="e">
            <v>#REF!</v>
          </cell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</row>
        <row r="561">
          <cell r="G561">
            <v>0</v>
          </cell>
          <cell r="H561">
            <v>0</v>
          </cell>
          <cell r="I561" t="e">
            <v>#REF!</v>
          </cell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</row>
        <row r="562">
          <cell r="G562">
            <v>0</v>
          </cell>
          <cell r="H562">
            <v>0</v>
          </cell>
          <cell r="I562" t="e">
            <v>#REF!</v>
          </cell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</row>
        <row r="563">
          <cell r="G563">
            <v>0</v>
          </cell>
          <cell r="H563">
            <v>0</v>
          </cell>
          <cell r="I563" t="e">
            <v>#REF!</v>
          </cell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</row>
        <row r="564">
          <cell r="G564">
            <v>0</v>
          </cell>
          <cell r="H564">
            <v>0</v>
          </cell>
          <cell r="I564" t="e">
            <v>#REF!</v>
          </cell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</row>
        <row r="565">
          <cell r="G565">
            <v>0</v>
          </cell>
          <cell r="H565">
            <v>0</v>
          </cell>
          <cell r="I565" t="e">
            <v>#REF!</v>
          </cell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</row>
        <row r="566">
          <cell r="G566">
            <v>0</v>
          </cell>
          <cell r="H566">
            <v>0</v>
          </cell>
          <cell r="I566" t="e">
            <v>#REF!</v>
          </cell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</row>
        <row r="567">
          <cell r="G567">
            <v>0</v>
          </cell>
          <cell r="H567">
            <v>0</v>
          </cell>
          <cell r="I567" t="e">
            <v>#REF!</v>
          </cell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</row>
        <row r="568">
          <cell r="G568">
            <v>0</v>
          </cell>
          <cell r="H568">
            <v>0</v>
          </cell>
          <cell r="I568" t="e">
            <v>#REF!</v>
          </cell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</row>
        <row r="569">
          <cell r="G569">
            <v>0</v>
          </cell>
          <cell r="H569">
            <v>0</v>
          </cell>
          <cell r="I569" t="e">
            <v>#REF!</v>
          </cell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</row>
        <row r="570">
          <cell r="G570">
            <v>0</v>
          </cell>
          <cell r="H570">
            <v>0</v>
          </cell>
          <cell r="I570" t="e">
            <v>#REF!</v>
          </cell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</row>
        <row r="571">
          <cell r="G571">
            <v>0</v>
          </cell>
          <cell r="H571">
            <v>0</v>
          </cell>
          <cell r="I571" t="e">
            <v>#REF!</v>
          </cell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</row>
        <row r="572">
          <cell r="G572">
            <v>0</v>
          </cell>
          <cell r="H572">
            <v>0</v>
          </cell>
          <cell r="I572" t="e">
            <v>#REF!</v>
          </cell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</row>
        <row r="573">
          <cell r="G573">
            <v>0</v>
          </cell>
          <cell r="H573">
            <v>0</v>
          </cell>
          <cell r="I573" t="e">
            <v>#REF!</v>
          </cell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</row>
        <row r="574">
          <cell r="G574">
            <v>0</v>
          </cell>
          <cell r="H574">
            <v>0</v>
          </cell>
          <cell r="I574" t="e">
            <v>#REF!</v>
          </cell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</row>
        <row r="575">
          <cell r="G575">
            <v>0</v>
          </cell>
          <cell r="H575">
            <v>0</v>
          </cell>
          <cell r="I575" t="e">
            <v>#REF!</v>
          </cell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</row>
        <row r="576">
          <cell r="G576">
            <v>0</v>
          </cell>
          <cell r="H576">
            <v>0</v>
          </cell>
          <cell r="I576" t="e">
            <v>#REF!</v>
          </cell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</row>
        <row r="577">
          <cell r="G577">
            <v>0</v>
          </cell>
          <cell r="H577">
            <v>0</v>
          </cell>
          <cell r="I577" t="e">
            <v>#REF!</v>
          </cell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</row>
        <row r="578">
          <cell r="G578">
            <v>0</v>
          </cell>
          <cell r="H578">
            <v>0</v>
          </cell>
          <cell r="I578" t="e">
            <v>#REF!</v>
          </cell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</row>
        <row r="579">
          <cell r="G579">
            <v>0</v>
          </cell>
          <cell r="H579">
            <v>0</v>
          </cell>
          <cell r="I579" t="e">
            <v>#REF!</v>
          </cell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</row>
        <row r="580">
          <cell r="G580">
            <v>0</v>
          </cell>
          <cell r="H580">
            <v>0</v>
          </cell>
          <cell r="I580" t="e">
            <v>#REF!</v>
          </cell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</row>
        <row r="581">
          <cell r="G581">
            <v>0</v>
          </cell>
          <cell r="H581">
            <v>0</v>
          </cell>
          <cell r="I581" t="e">
            <v>#REF!</v>
          </cell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</row>
        <row r="582">
          <cell r="G582">
            <v>0</v>
          </cell>
          <cell r="H582">
            <v>0</v>
          </cell>
          <cell r="I582" t="e">
            <v>#REF!</v>
          </cell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</row>
        <row r="583">
          <cell r="G583">
            <v>0</v>
          </cell>
          <cell r="H583">
            <v>0</v>
          </cell>
          <cell r="I583" t="e">
            <v>#REF!</v>
          </cell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</row>
        <row r="584">
          <cell r="G584">
            <v>0</v>
          </cell>
          <cell r="H584">
            <v>0</v>
          </cell>
          <cell r="I584" t="e">
            <v>#REF!</v>
          </cell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</row>
        <row r="585">
          <cell r="G585">
            <v>0</v>
          </cell>
          <cell r="H585">
            <v>0</v>
          </cell>
          <cell r="I585" t="e">
            <v>#REF!</v>
          </cell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</row>
        <row r="586">
          <cell r="G586">
            <v>0</v>
          </cell>
          <cell r="H586">
            <v>0</v>
          </cell>
          <cell r="I586" t="e">
            <v>#REF!</v>
          </cell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</row>
        <row r="587">
          <cell r="G587">
            <v>0</v>
          </cell>
          <cell r="H587">
            <v>0</v>
          </cell>
          <cell r="I587" t="e">
            <v>#REF!</v>
          </cell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</row>
        <row r="588">
          <cell r="G588">
            <v>0</v>
          </cell>
          <cell r="H588">
            <v>0</v>
          </cell>
          <cell r="I588" t="e">
            <v>#REF!</v>
          </cell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</row>
        <row r="589">
          <cell r="G589">
            <v>0</v>
          </cell>
          <cell r="H589">
            <v>0</v>
          </cell>
          <cell r="I589" t="e">
            <v>#REF!</v>
          </cell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</row>
        <row r="590">
          <cell r="G590">
            <v>0</v>
          </cell>
          <cell r="H590">
            <v>0</v>
          </cell>
          <cell r="I590" t="e">
            <v>#REF!</v>
          </cell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</row>
        <row r="591">
          <cell r="G591">
            <v>0</v>
          </cell>
          <cell r="H591">
            <v>0</v>
          </cell>
          <cell r="I591" t="e">
            <v>#REF!</v>
          </cell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</row>
        <row r="592">
          <cell r="G592">
            <v>0</v>
          </cell>
          <cell r="H592">
            <v>0</v>
          </cell>
          <cell r="I592" t="e">
            <v>#REF!</v>
          </cell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</row>
        <row r="593">
          <cell r="G593">
            <v>0</v>
          </cell>
          <cell r="H593">
            <v>0</v>
          </cell>
          <cell r="I593" t="e">
            <v>#REF!</v>
          </cell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</row>
        <row r="594">
          <cell r="G594">
            <v>0</v>
          </cell>
          <cell r="H594">
            <v>0</v>
          </cell>
          <cell r="I594" t="e">
            <v>#REF!</v>
          </cell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</row>
        <row r="595">
          <cell r="G595">
            <v>0</v>
          </cell>
          <cell r="H595">
            <v>0</v>
          </cell>
          <cell r="I595" t="e">
            <v>#REF!</v>
          </cell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</row>
        <row r="596">
          <cell r="G596">
            <v>0</v>
          </cell>
          <cell r="H596">
            <v>0</v>
          </cell>
          <cell r="I596" t="e">
            <v>#REF!</v>
          </cell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</row>
        <row r="597">
          <cell r="G597">
            <v>0</v>
          </cell>
          <cell r="H597">
            <v>0</v>
          </cell>
          <cell r="I597" t="e">
            <v>#REF!</v>
          </cell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</row>
        <row r="598">
          <cell r="G598">
            <v>0</v>
          </cell>
          <cell r="H598">
            <v>0</v>
          </cell>
          <cell r="I598" t="e">
            <v>#REF!</v>
          </cell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</row>
        <row r="599">
          <cell r="G599">
            <v>0</v>
          </cell>
          <cell r="H599">
            <v>0</v>
          </cell>
          <cell r="I599" t="e">
            <v>#REF!</v>
          </cell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</row>
        <row r="600">
          <cell r="G600">
            <v>0</v>
          </cell>
          <cell r="H600">
            <v>0</v>
          </cell>
          <cell r="I600" t="e">
            <v>#REF!</v>
          </cell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</row>
        <row r="601">
          <cell r="G601">
            <v>0</v>
          </cell>
          <cell r="H601">
            <v>0</v>
          </cell>
          <cell r="I601" t="e">
            <v>#REF!</v>
          </cell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</row>
        <row r="602">
          <cell r="G602">
            <v>0</v>
          </cell>
          <cell r="H602">
            <v>0</v>
          </cell>
          <cell r="I602" t="e">
            <v>#REF!</v>
          </cell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</row>
        <row r="603">
          <cell r="G603">
            <v>0</v>
          </cell>
          <cell r="H603">
            <v>0</v>
          </cell>
          <cell r="I603" t="e">
            <v>#REF!</v>
          </cell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</row>
        <row r="604">
          <cell r="G604">
            <v>0</v>
          </cell>
          <cell r="H604">
            <v>0</v>
          </cell>
          <cell r="I604" t="e">
            <v>#REF!</v>
          </cell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</row>
        <row r="605">
          <cell r="G605">
            <v>0</v>
          </cell>
          <cell r="H605">
            <v>0</v>
          </cell>
          <cell r="I605" t="e">
            <v>#REF!</v>
          </cell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</row>
        <row r="606">
          <cell r="G606">
            <v>0</v>
          </cell>
          <cell r="H606">
            <v>0</v>
          </cell>
          <cell r="I606" t="e">
            <v>#REF!</v>
          </cell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</row>
        <row r="607">
          <cell r="G607">
            <v>0</v>
          </cell>
          <cell r="H607">
            <v>0</v>
          </cell>
          <cell r="I607" t="e">
            <v>#REF!</v>
          </cell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</row>
        <row r="608">
          <cell r="G608">
            <v>0</v>
          </cell>
          <cell r="H608">
            <v>0</v>
          </cell>
          <cell r="I608" t="e">
            <v>#REF!</v>
          </cell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</row>
        <row r="609">
          <cell r="G609">
            <v>0</v>
          </cell>
          <cell r="H609">
            <v>0</v>
          </cell>
          <cell r="I609" t="e">
            <v>#REF!</v>
          </cell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</row>
        <row r="610">
          <cell r="G610">
            <v>0</v>
          </cell>
          <cell r="H610">
            <v>0</v>
          </cell>
          <cell r="I610" t="e">
            <v>#REF!</v>
          </cell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</row>
        <row r="611">
          <cell r="G611">
            <v>0</v>
          </cell>
          <cell r="H611">
            <v>0</v>
          </cell>
          <cell r="I611" t="e">
            <v>#REF!</v>
          </cell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</row>
        <row r="612">
          <cell r="G612">
            <v>0</v>
          </cell>
          <cell r="H612">
            <v>0</v>
          </cell>
          <cell r="I612" t="e">
            <v>#REF!</v>
          </cell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</row>
        <row r="613">
          <cell r="G613">
            <v>0</v>
          </cell>
          <cell r="H613">
            <v>0</v>
          </cell>
          <cell r="I613" t="e">
            <v>#REF!</v>
          </cell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</row>
        <row r="614">
          <cell r="G614">
            <v>0</v>
          </cell>
          <cell r="H614">
            <v>0</v>
          </cell>
          <cell r="I614" t="e">
            <v>#REF!</v>
          </cell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</row>
        <row r="615">
          <cell r="G615">
            <v>0</v>
          </cell>
          <cell r="H615">
            <v>0</v>
          </cell>
          <cell r="I615" t="e">
            <v>#REF!</v>
          </cell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</row>
        <row r="616">
          <cell r="G616">
            <v>0</v>
          </cell>
          <cell r="H616">
            <v>0</v>
          </cell>
          <cell r="I616" t="e">
            <v>#REF!</v>
          </cell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</row>
        <row r="617">
          <cell r="G617">
            <v>0</v>
          </cell>
          <cell r="H617">
            <v>0</v>
          </cell>
          <cell r="I617" t="e">
            <v>#REF!</v>
          </cell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</row>
        <row r="618">
          <cell r="G618">
            <v>0</v>
          </cell>
          <cell r="H618">
            <v>0</v>
          </cell>
          <cell r="I618" t="e">
            <v>#REF!</v>
          </cell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</row>
        <row r="619">
          <cell r="G619">
            <v>0</v>
          </cell>
          <cell r="H619">
            <v>0</v>
          </cell>
          <cell r="I619" t="e">
            <v>#REF!</v>
          </cell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</row>
        <row r="620">
          <cell r="G620">
            <v>0</v>
          </cell>
          <cell r="H620">
            <v>0</v>
          </cell>
          <cell r="I620" t="e">
            <v>#REF!</v>
          </cell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</row>
        <row r="621">
          <cell r="G621">
            <v>0</v>
          </cell>
          <cell r="H621">
            <v>0</v>
          </cell>
          <cell r="I621" t="e">
            <v>#REF!</v>
          </cell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</row>
        <row r="622">
          <cell r="G622">
            <v>0</v>
          </cell>
          <cell r="H622">
            <v>0</v>
          </cell>
          <cell r="I622" t="e">
            <v>#REF!</v>
          </cell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</row>
        <row r="623">
          <cell r="G623">
            <v>0</v>
          </cell>
          <cell r="H623">
            <v>0</v>
          </cell>
          <cell r="I623" t="e">
            <v>#REF!</v>
          </cell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</row>
        <row r="624">
          <cell r="G624">
            <v>0</v>
          </cell>
          <cell r="H624">
            <v>0</v>
          </cell>
          <cell r="I624" t="e">
            <v>#REF!</v>
          </cell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</row>
        <row r="625">
          <cell r="G625">
            <v>0</v>
          </cell>
          <cell r="H625">
            <v>0</v>
          </cell>
          <cell r="I625" t="e">
            <v>#REF!</v>
          </cell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</row>
        <row r="626">
          <cell r="G626">
            <v>0</v>
          </cell>
          <cell r="H626">
            <v>0</v>
          </cell>
          <cell r="I626" t="e">
            <v>#REF!</v>
          </cell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</row>
        <row r="627">
          <cell r="G627">
            <v>0</v>
          </cell>
          <cell r="H627">
            <v>0</v>
          </cell>
          <cell r="I627" t="e">
            <v>#REF!</v>
          </cell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</row>
        <row r="628">
          <cell r="G628">
            <v>0</v>
          </cell>
          <cell r="H628">
            <v>0</v>
          </cell>
          <cell r="I628" t="e">
            <v>#REF!</v>
          </cell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</row>
        <row r="629">
          <cell r="G629">
            <v>0</v>
          </cell>
          <cell r="H629">
            <v>0</v>
          </cell>
          <cell r="I629" t="e">
            <v>#REF!</v>
          </cell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</row>
        <row r="630">
          <cell r="G630">
            <v>0</v>
          </cell>
          <cell r="H630">
            <v>0</v>
          </cell>
          <cell r="I630" t="e">
            <v>#REF!</v>
          </cell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</row>
        <row r="631">
          <cell r="G631">
            <v>0</v>
          </cell>
          <cell r="H631">
            <v>0</v>
          </cell>
          <cell r="I631" t="e">
            <v>#REF!</v>
          </cell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</row>
        <row r="632">
          <cell r="G632">
            <v>0</v>
          </cell>
          <cell r="H632">
            <v>0</v>
          </cell>
          <cell r="I632" t="e">
            <v>#REF!</v>
          </cell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</row>
        <row r="633">
          <cell r="G633">
            <v>0</v>
          </cell>
          <cell r="H633">
            <v>0</v>
          </cell>
          <cell r="I633" t="e">
            <v>#REF!</v>
          </cell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</row>
        <row r="634">
          <cell r="G634">
            <v>0</v>
          </cell>
          <cell r="H634">
            <v>0</v>
          </cell>
          <cell r="I634" t="e">
            <v>#REF!</v>
          </cell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</row>
        <row r="635">
          <cell r="G635">
            <v>0</v>
          </cell>
          <cell r="H635">
            <v>0</v>
          </cell>
          <cell r="I635" t="e">
            <v>#REF!</v>
          </cell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</row>
        <row r="636">
          <cell r="G636">
            <v>0</v>
          </cell>
          <cell r="H636">
            <v>0</v>
          </cell>
          <cell r="I636" t="e">
            <v>#REF!</v>
          </cell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</row>
        <row r="637">
          <cell r="G637">
            <v>0</v>
          </cell>
          <cell r="H637">
            <v>0</v>
          </cell>
          <cell r="I637" t="e">
            <v>#REF!</v>
          </cell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</row>
        <row r="638">
          <cell r="G638">
            <v>0</v>
          </cell>
          <cell r="H638">
            <v>0</v>
          </cell>
          <cell r="I638" t="e">
            <v>#REF!</v>
          </cell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</row>
        <row r="639">
          <cell r="G639">
            <v>0</v>
          </cell>
          <cell r="H639">
            <v>0</v>
          </cell>
          <cell r="I639" t="e">
            <v>#REF!</v>
          </cell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</row>
        <row r="640">
          <cell r="G640">
            <v>0</v>
          </cell>
          <cell r="H640">
            <v>0</v>
          </cell>
          <cell r="I640" t="e">
            <v>#REF!</v>
          </cell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</row>
        <row r="641">
          <cell r="G641">
            <v>0</v>
          </cell>
          <cell r="H641">
            <v>0</v>
          </cell>
          <cell r="I641" t="e">
            <v>#REF!</v>
          </cell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</row>
        <row r="642">
          <cell r="G642">
            <v>0</v>
          </cell>
          <cell r="H642">
            <v>0</v>
          </cell>
          <cell r="I642" t="e">
            <v>#REF!</v>
          </cell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</row>
        <row r="643">
          <cell r="G643">
            <v>0</v>
          </cell>
          <cell r="H643">
            <v>0</v>
          </cell>
          <cell r="I643" t="e">
            <v>#REF!</v>
          </cell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</row>
        <row r="644">
          <cell r="G644">
            <v>0</v>
          </cell>
          <cell r="H644">
            <v>0</v>
          </cell>
          <cell r="I644" t="e">
            <v>#REF!</v>
          </cell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</row>
        <row r="645">
          <cell r="G645">
            <v>0</v>
          </cell>
          <cell r="H645">
            <v>0</v>
          </cell>
          <cell r="I645" t="e">
            <v>#REF!</v>
          </cell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</row>
        <row r="646">
          <cell r="G646">
            <v>0</v>
          </cell>
          <cell r="H646">
            <v>0</v>
          </cell>
          <cell r="I646" t="e">
            <v>#REF!</v>
          </cell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</row>
        <row r="647">
          <cell r="G647">
            <v>0</v>
          </cell>
          <cell r="H647">
            <v>0</v>
          </cell>
          <cell r="I647" t="e">
            <v>#REF!</v>
          </cell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</row>
        <row r="648">
          <cell r="G648">
            <v>0</v>
          </cell>
          <cell r="H648">
            <v>0</v>
          </cell>
          <cell r="I648" t="e">
            <v>#REF!</v>
          </cell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</row>
        <row r="649">
          <cell r="G649">
            <v>0</v>
          </cell>
          <cell r="H649">
            <v>0</v>
          </cell>
          <cell r="I649" t="e">
            <v>#REF!</v>
          </cell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</row>
        <row r="650">
          <cell r="G650">
            <v>0</v>
          </cell>
          <cell r="H650">
            <v>0</v>
          </cell>
          <cell r="I650" t="e">
            <v>#REF!</v>
          </cell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</row>
        <row r="651">
          <cell r="G651">
            <v>0</v>
          </cell>
          <cell r="H651">
            <v>0</v>
          </cell>
          <cell r="I651" t="e">
            <v>#REF!</v>
          </cell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</row>
        <row r="652">
          <cell r="G652">
            <v>0</v>
          </cell>
          <cell r="H652">
            <v>0</v>
          </cell>
          <cell r="I652" t="e">
            <v>#REF!</v>
          </cell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</row>
        <row r="653">
          <cell r="G653">
            <v>0</v>
          </cell>
          <cell r="H653">
            <v>0</v>
          </cell>
          <cell r="I653" t="e">
            <v>#REF!</v>
          </cell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</row>
        <row r="654">
          <cell r="G654">
            <v>0</v>
          </cell>
          <cell r="H654">
            <v>0</v>
          </cell>
          <cell r="I654" t="e">
            <v>#REF!</v>
          </cell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</row>
        <row r="655">
          <cell r="G655">
            <v>0</v>
          </cell>
          <cell r="H655">
            <v>0</v>
          </cell>
          <cell r="I655" t="e">
            <v>#REF!</v>
          </cell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</row>
        <row r="656">
          <cell r="G656">
            <v>0</v>
          </cell>
          <cell r="H656">
            <v>0</v>
          </cell>
          <cell r="I656" t="e">
            <v>#REF!</v>
          </cell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</row>
        <row r="657">
          <cell r="G657">
            <v>0</v>
          </cell>
          <cell r="H657">
            <v>0</v>
          </cell>
          <cell r="I657" t="e">
            <v>#REF!</v>
          </cell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</row>
        <row r="658">
          <cell r="G658">
            <v>0</v>
          </cell>
          <cell r="H658">
            <v>0</v>
          </cell>
          <cell r="I658" t="e">
            <v>#REF!</v>
          </cell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</row>
        <row r="659">
          <cell r="G659">
            <v>0</v>
          </cell>
          <cell r="H659">
            <v>0</v>
          </cell>
          <cell r="I659" t="e">
            <v>#REF!</v>
          </cell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</row>
        <row r="660">
          <cell r="G660">
            <v>0</v>
          </cell>
          <cell r="H660">
            <v>0</v>
          </cell>
          <cell r="I660" t="e">
            <v>#REF!</v>
          </cell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</row>
        <row r="661">
          <cell r="G661">
            <v>0</v>
          </cell>
          <cell r="H661">
            <v>0</v>
          </cell>
          <cell r="I661" t="e">
            <v>#REF!</v>
          </cell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</row>
        <row r="662">
          <cell r="G662">
            <v>0</v>
          </cell>
          <cell r="H662">
            <v>0</v>
          </cell>
          <cell r="I662" t="e">
            <v>#REF!</v>
          </cell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</row>
        <row r="663">
          <cell r="G663">
            <v>0</v>
          </cell>
          <cell r="H663">
            <v>0</v>
          </cell>
          <cell r="I663" t="e">
            <v>#REF!</v>
          </cell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</row>
        <row r="664">
          <cell r="G664">
            <v>0</v>
          </cell>
          <cell r="H664">
            <v>0</v>
          </cell>
          <cell r="I664" t="e">
            <v>#REF!</v>
          </cell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</row>
        <row r="665">
          <cell r="G665">
            <v>0</v>
          </cell>
          <cell r="H665">
            <v>0</v>
          </cell>
          <cell r="I665" t="e">
            <v>#REF!</v>
          </cell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</row>
        <row r="666">
          <cell r="G666">
            <v>0</v>
          </cell>
          <cell r="H666">
            <v>0</v>
          </cell>
          <cell r="I666" t="e">
            <v>#REF!</v>
          </cell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</row>
        <row r="667">
          <cell r="G667">
            <v>0</v>
          </cell>
          <cell r="H667">
            <v>0</v>
          </cell>
          <cell r="I667" t="e">
            <v>#REF!</v>
          </cell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</row>
        <row r="668">
          <cell r="G668">
            <v>0</v>
          </cell>
          <cell r="H668">
            <v>0</v>
          </cell>
          <cell r="I668" t="e">
            <v>#REF!</v>
          </cell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</row>
        <row r="669">
          <cell r="G669">
            <v>0</v>
          </cell>
          <cell r="H669">
            <v>0</v>
          </cell>
          <cell r="I669" t="e">
            <v>#REF!</v>
          </cell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</row>
        <row r="670">
          <cell r="G670">
            <v>0</v>
          </cell>
          <cell r="H670">
            <v>0</v>
          </cell>
          <cell r="I670" t="e">
            <v>#REF!</v>
          </cell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</row>
        <row r="671">
          <cell r="G671">
            <v>0</v>
          </cell>
          <cell r="H671">
            <v>0</v>
          </cell>
          <cell r="I671" t="e">
            <v>#REF!</v>
          </cell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</row>
        <row r="672">
          <cell r="G672">
            <v>0</v>
          </cell>
          <cell r="H672">
            <v>0</v>
          </cell>
          <cell r="I672" t="e">
            <v>#REF!</v>
          </cell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</row>
        <row r="673">
          <cell r="G673">
            <v>0</v>
          </cell>
          <cell r="H673">
            <v>0</v>
          </cell>
          <cell r="I673" t="e">
            <v>#REF!</v>
          </cell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</row>
        <row r="674">
          <cell r="G674">
            <v>0</v>
          </cell>
          <cell r="H674">
            <v>0</v>
          </cell>
          <cell r="I674" t="e">
            <v>#REF!</v>
          </cell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</row>
        <row r="675">
          <cell r="G675">
            <v>0</v>
          </cell>
          <cell r="H675">
            <v>0</v>
          </cell>
          <cell r="I675" t="e">
            <v>#REF!</v>
          </cell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</row>
        <row r="676">
          <cell r="G676">
            <v>0</v>
          </cell>
          <cell r="H676">
            <v>0</v>
          </cell>
          <cell r="I676" t="e">
            <v>#REF!</v>
          </cell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</row>
        <row r="677">
          <cell r="G677">
            <v>0</v>
          </cell>
          <cell r="H677">
            <v>0</v>
          </cell>
          <cell r="I677" t="e">
            <v>#REF!</v>
          </cell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</row>
        <row r="678">
          <cell r="G678">
            <v>0</v>
          </cell>
          <cell r="H678">
            <v>0</v>
          </cell>
          <cell r="I678" t="e">
            <v>#REF!</v>
          </cell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</row>
        <row r="679">
          <cell r="G679">
            <v>0</v>
          </cell>
          <cell r="H679">
            <v>0</v>
          </cell>
          <cell r="I679" t="e">
            <v>#REF!</v>
          </cell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</row>
        <row r="680">
          <cell r="G680">
            <v>0</v>
          </cell>
          <cell r="H680">
            <v>0</v>
          </cell>
          <cell r="I680" t="e">
            <v>#REF!</v>
          </cell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</row>
        <row r="681">
          <cell r="G681">
            <v>0</v>
          </cell>
          <cell r="H681">
            <v>0</v>
          </cell>
          <cell r="I681" t="e">
            <v>#REF!</v>
          </cell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</row>
        <row r="682">
          <cell r="G682">
            <v>0</v>
          </cell>
          <cell r="H682">
            <v>0</v>
          </cell>
          <cell r="I682" t="e">
            <v>#REF!</v>
          </cell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</row>
        <row r="683">
          <cell r="G683">
            <v>0</v>
          </cell>
          <cell r="H683">
            <v>0</v>
          </cell>
          <cell r="I683" t="e">
            <v>#REF!</v>
          </cell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</row>
        <row r="684">
          <cell r="G684">
            <v>0</v>
          </cell>
          <cell r="H684">
            <v>0</v>
          </cell>
          <cell r="I684" t="e">
            <v>#REF!</v>
          </cell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</row>
        <row r="685">
          <cell r="G685">
            <v>0</v>
          </cell>
          <cell r="H685">
            <v>0</v>
          </cell>
          <cell r="I685" t="e">
            <v>#REF!</v>
          </cell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</row>
        <row r="686">
          <cell r="G686">
            <v>0</v>
          </cell>
          <cell r="H686">
            <v>0</v>
          </cell>
          <cell r="I686" t="e">
            <v>#REF!</v>
          </cell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</row>
        <row r="687">
          <cell r="G687">
            <v>0</v>
          </cell>
          <cell r="H687">
            <v>0</v>
          </cell>
          <cell r="I687" t="e">
            <v>#REF!</v>
          </cell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</row>
        <row r="688">
          <cell r="G688">
            <v>0</v>
          </cell>
          <cell r="H688">
            <v>0</v>
          </cell>
          <cell r="I688" t="e">
            <v>#REF!</v>
          </cell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</row>
        <row r="689">
          <cell r="G689">
            <v>0</v>
          </cell>
          <cell r="H689">
            <v>0</v>
          </cell>
          <cell r="I689" t="e">
            <v>#REF!</v>
          </cell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</row>
        <row r="690">
          <cell r="G690">
            <v>0</v>
          </cell>
          <cell r="H690">
            <v>0</v>
          </cell>
          <cell r="I690" t="e">
            <v>#REF!</v>
          </cell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</row>
        <row r="691">
          <cell r="G691">
            <v>0</v>
          </cell>
          <cell r="H691">
            <v>0</v>
          </cell>
          <cell r="I691" t="e">
            <v>#REF!</v>
          </cell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</row>
        <row r="692">
          <cell r="G692">
            <v>0</v>
          </cell>
          <cell r="H692">
            <v>0</v>
          </cell>
          <cell r="I692" t="e">
            <v>#REF!</v>
          </cell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</row>
        <row r="693">
          <cell r="G693">
            <v>0</v>
          </cell>
          <cell r="H693">
            <v>0</v>
          </cell>
          <cell r="I693" t="e">
            <v>#REF!</v>
          </cell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</row>
        <row r="694">
          <cell r="G694">
            <v>0</v>
          </cell>
          <cell r="H694">
            <v>0</v>
          </cell>
          <cell r="I694" t="e">
            <v>#REF!</v>
          </cell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</row>
        <row r="695">
          <cell r="G695">
            <v>0</v>
          </cell>
          <cell r="H695">
            <v>0</v>
          </cell>
          <cell r="I695" t="e">
            <v>#REF!</v>
          </cell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</row>
        <row r="696">
          <cell r="G696">
            <v>0</v>
          </cell>
          <cell r="H696">
            <v>0</v>
          </cell>
          <cell r="I696" t="e">
            <v>#REF!</v>
          </cell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</row>
        <row r="697">
          <cell r="G697">
            <v>0</v>
          </cell>
          <cell r="H697">
            <v>0</v>
          </cell>
          <cell r="I697" t="e">
            <v>#REF!</v>
          </cell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</row>
        <row r="698">
          <cell r="G698">
            <v>0</v>
          </cell>
          <cell r="H698">
            <v>0</v>
          </cell>
          <cell r="I698" t="e">
            <v>#REF!</v>
          </cell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</row>
        <row r="699">
          <cell r="G699">
            <v>0</v>
          </cell>
          <cell r="H699">
            <v>0</v>
          </cell>
          <cell r="I699" t="e">
            <v>#REF!</v>
          </cell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</row>
        <row r="700">
          <cell r="G700">
            <v>0</v>
          </cell>
          <cell r="H700">
            <v>0</v>
          </cell>
          <cell r="I700" t="e">
            <v>#REF!</v>
          </cell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</row>
        <row r="701">
          <cell r="G701">
            <v>0</v>
          </cell>
          <cell r="H701">
            <v>0</v>
          </cell>
          <cell r="I701" t="e">
            <v>#REF!</v>
          </cell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</row>
        <row r="702">
          <cell r="G702">
            <v>0</v>
          </cell>
          <cell r="H702">
            <v>0</v>
          </cell>
          <cell r="I702" t="e">
            <v>#REF!</v>
          </cell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</row>
        <row r="703">
          <cell r="G703">
            <v>0</v>
          </cell>
          <cell r="H703">
            <v>0</v>
          </cell>
          <cell r="I703" t="e">
            <v>#REF!</v>
          </cell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</row>
        <row r="704">
          <cell r="G704">
            <v>0</v>
          </cell>
          <cell r="H704">
            <v>0</v>
          </cell>
          <cell r="I704" t="e">
            <v>#REF!</v>
          </cell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</row>
        <row r="705">
          <cell r="G705">
            <v>0</v>
          </cell>
          <cell r="H705">
            <v>0</v>
          </cell>
          <cell r="I705" t="e">
            <v>#REF!</v>
          </cell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</row>
        <row r="706">
          <cell r="G706">
            <v>0</v>
          </cell>
          <cell r="H706">
            <v>0</v>
          </cell>
          <cell r="I706" t="e">
            <v>#REF!</v>
          </cell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</row>
        <row r="707">
          <cell r="G707">
            <v>0</v>
          </cell>
          <cell r="H707">
            <v>0</v>
          </cell>
          <cell r="I707" t="e">
            <v>#REF!</v>
          </cell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</row>
        <row r="708">
          <cell r="G708">
            <v>0</v>
          </cell>
          <cell r="H708">
            <v>0</v>
          </cell>
          <cell r="I708" t="e">
            <v>#REF!</v>
          </cell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</row>
        <row r="709">
          <cell r="G709">
            <v>0</v>
          </cell>
          <cell r="H709">
            <v>0</v>
          </cell>
          <cell r="I709" t="e">
            <v>#REF!</v>
          </cell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</row>
        <row r="710">
          <cell r="G710">
            <v>0</v>
          </cell>
          <cell r="H710">
            <v>0</v>
          </cell>
          <cell r="I710" t="e">
            <v>#REF!</v>
          </cell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</row>
        <row r="711">
          <cell r="G711">
            <v>0</v>
          </cell>
          <cell r="H711">
            <v>0</v>
          </cell>
          <cell r="I711" t="e">
            <v>#REF!</v>
          </cell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</row>
        <row r="712">
          <cell r="G712">
            <v>0</v>
          </cell>
          <cell r="H712">
            <v>0</v>
          </cell>
          <cell r="I712" t="e">
            <v>#REF!</v>
          </cell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</row>
        <row r="713">
          <cell r="G713">
            <v>0</v>
          </cell>
          <cell r="H713">
            <v>0</v>
          </cell>
          <cell r="I713" t="e">
            <v>#REF!</v>
          </cell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</row>
        <row r="714">
          <cell r="G714">
            <v>0</v>
          </cell>
          <cell r="H714">
            <v>0</v>
          </cell>
          <cell r="I714" t="e">
            <v>#REF!</v>
          </cell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</row>
        <row r="715">
          <cell r="G715">
            <v>0</v>
          </cell>
          <cell r="H715">
            <v>0</v>
          </cell>
          <cell r="I715" t="e">
            <v>#REF!</v>
          </cell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</row>
        <row r="716">
          <cell r="G716">
            <v>0</v>
          </cell>
          <cell r="H716">
            <v>0</v>
          </cell>
          <cell r="I716" t="e">
            <v>#REF!</v>
          </cell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</row>
        <row r="717">
          <cell r="G717">
            <v>0</v>
          </cell>
          <cell r="H717">
            <v>0</v>
          </cell>
          <cell r="I717" t="e">
            <v>#REF!</v>
          </cell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</row>
        <row r="718">
          <cell r="G718">
            <v>0</v>
          </cell>
          <cell r="H718">
            <v>0</v>
          </cell>
          <cell r="I718" t="e">
            <v>#REF!</v>
          </cell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</row>
        <row r="719">
          <cell r="G719">
            <v>0</v>
          </cell>
          <cell r="H719">
            <v>0</v>
          </cell>
          <cell r="I719" t="e">
            <v>#REF!</v>
          </cell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</row>
        <row r="720">
          <cell r="G720">
            <v>0</v>
          </cell>
          <cell r="H720">
            <v>0</v>
          </cell>
          <cell r="I720" t="e">
            <v>#REF!</v>
          </cell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</row>
        <row r="721">
          <cell r="G721">
            <v>0</v>
          </cell>
          <cell r="H721">
            <v>0</v>
          </cell>
          <cell r="I721" t="e">
            <v>#REF!</v>
          </cell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</row>
        <row r="722">
          <cell r="G722">
            <v>0</v>
          </cell>
          <cell r="H722">
            <v>0</v>
          </cell>
          <cell r="I722" t="e">
            <v>#REF!</v>
          </cell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</row>
        <row r="723">
          <cell r="G723">
            <v>0</v>
          </cell>
          <cell r="H723">
            <v>0</v>
          </cell>
          <cell r="I723" t="e">
            <v>#REF!</v>
          </cell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</row>
        <row r="724">
          <cell r="G724">
            <v>0</v>
          </cell>
          <cell r="H724">
            <v>0</v>
          </cell>
          <cell r="I724" t="e">
            <v>#REF!</v>
          </cell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</row>
        <row r="725">
          <cell r="G725">
            <v>0</v>
          </cell>
          <cell r="H725">
            <v>0</v>
          </cell>
          <cell r="I725" t="e">
            <v>#REF!</v>
          </cell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</row>
        <row r="726">
          <cell r="G726">
            <v>0</v>
          </cell>
          <cell r="H726">
            <v>0</v>
          </cell>
          <cell r="I726" t="e">
            <v>#REF!</v>
          </cell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</row>
        <row r="727">
          <cell r="G727">
            <v>0</v>
          </cell>
          <cell r="H727">
            <v>0</v>
          </cell>
          <cell r="I727" t="e">
            <v>#REF!</v>
          </cell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</row>
        <row r="728">
          <cell r="G728">
            <v>0</v>
          </cell>
          <cell r="H728">
            <v>0</v>
          </cell>
          <cell r="I728" t="e">
            <v>#REF!</v>
          </cell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</row>
        <row r="729">
          <cell r="G729">
            <v>0</v>
          </cell>
          <cell r="H729">
            <v>0</v>
          </cell>
          <cell r="I729" t="e">
            <v>#REF!</v>
          </cell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</row>
        <row r="730">
          <cell r="G730">
            <v>0</v>
          </cell>
          <cell r="H730">
            <v>0</v>
          </cell>
          <cell r="I730" t="e">
            <v>#REF!</v>
          </cell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</row>
        <row r="731">
          <cell r="G731">
            <v>0</v>
          </cell>
          <cell r="H731">
            <v>0</v>
          </cell>
          <cell r="I731" t="e">
            <v>#REF!</v>
          </cell>
          <cell r="J731"/>
          <cell r="K731"/>
          <cell r="L731"/>
          <cell r="M731"/>
          <cell r="N731"/>
          <cell r="O731"/>
          <cell r="P731"/>
          <cell r="Q731"/>
          <cell r="R731"/>
          <cell r="S731"/>
        </row>
        <row r="732">
          <cell r="G732">
            <v>0</v>
          </cell>
          <cell r="H732">
            <v>0</v>
          </cell>
          <cell r="I732" t="e">
            <v>#REF!</v>
          </cell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</row>
        <row r="733">
          <cell r="G733">
            <v>0</v>
          </cell>
          <cell r="H733">
            <v>0</v>
          </cell>
          <cell r="I733" t="e">
            <v>#REF!</v>
          </cell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</row>
        <row r="734">
          <cell r="G734">
            <v>0</v>
          </cell>
          <cell r="H734">
            <v>0</v>
          </cell>
          <cell r="I734" t="e">
            <v>#REF!</v>
          </cell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</row>
        <row r="735">
          <cell r="G735">
            <v>0</v>
          </cell>
          <cell r="H735">
            <v>0</v>
          </cell>
          <cell r="I735" t="e">
            <v>#REF!</v>
          </cell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</row>
        <row r="736">
          <cell r="G736">
            <v>0</v>
          </cell>
          <cell r="H736">
            <v>0</v>
          </cell>
          <cell r="I736" t="e">
            <v>#REF!</v>
          </cell>
          <cell r="J736"/>
          <cell r="K736"/>
          <cell r="L736"/>
          <cell r="M736"/>
          <cell r="N736"/>
          <cell r="O736"/>
          <cell r="P736"/>
          <cell r="Q736"/>
          <cell r="R736"/>
          <cell r="S736"/>
        </row>
        <row r="737">
          <cell r="G737">
            <v>0</v>
          </cell>
          <cell r="H737">
            <v>0</v>
          </cell>
          <cell r="I737" t="e">
            <v>#REF!</v>
          </cell>
          <cell r="J737"/>
          <cell r="K737"/>
          <cell r="L737"/>
          <cell r="M737"/>
          <cell r="N737"/>
          <cell r="O737"/>
          <cell r="P737"/>
          <cell r="Q737"/>
          <cell r="R737"/>
          <cell r="S737"/>
        </row>
        <row r="738">
          <cell r="G738">
            <v>0</v>
          </cell>
          <cell r="H738">
            <v>0</v>
          </cell>
          <cell r="I738" t="e">
            <v>#REF!</v>
          </cell>
          <cell r="J738"/>
          <cell r="K738"/>
          <cell r="L738"/>
          <cell r="M738"/>
          <cell r="N738"/>
          <cell r="O738"/>
          <cell r="P738"/>
          <cell r="Q738"/>
          <cell r="R738"/>
          <cell r="S738"/>
        </row>
        <row r="739">
          <cell r="G739">
            <v>0</v>
          </cell>
          <cell r="H739">
            <v>0</v>
          </cell>
          <cell r="I739" t="e">
            <v>#REF!</v>
          </cell>
          <cell r="J739"/>
          <cell r="K739"/>
          <cell r="L739"/>
          <cell r="M739"/>
          <cell r="N739"/>
          <cell r="O739"/>
          <cell r="P739"/>
          <cell r="Q739"/>
          <cell r="R739"/>
          <cell r="S739"/>
        </row>
        <row r="740">
          <cell r="G740">
            <v>0</v>
          </cell>
          <cell r="H740">
            <v>0</v>
          </cell>
          <cell r="I740" t="e">
            <v>#REF!</v>
          </cell>
          <cell r="J740"/>
          <cell r="K740"/>
          <cell r="L740"/>
          <cell r="M740"/>
          <cell r="N740"/>
          <cell r="O740"/>
          <cell r="P740"/>
          <cell r="Q740"/>
          <cell r="R740"/>
          <cell r="S740"/>
        </row>
        <row r="741">
          <cell r="G741">
            <v>0</v>
          </cell>
          <cell r="H741">
            <v>0</v>
          </cell>
          <cell r="I741" t="e">
            <v>#REF!</v>
          </cell>
          <cell r="J741"/>
          <cell r="K741"/>
          <cell r="L741"/>
          <cell r="M741"/>
          <cell r="N741"/>
          <cell r="O741"/>
          <cell r="P741"/>
          <cell r="Q741"/>
          <cell r="R741"/>
          <cell r="S741"/>
        </row>
        <row r="742">
          <cell r="G742">
            <v>0</v>
          </cell>
          <cell r="H742">
            <v>0</v>
          </cell>
          <cell r="I742" t="e">
            <v>#REF!</v>
          </cell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</row>
        <row r="743">
          <cell r="G743">
            <v>0</v>
          </cell>
          <cell r="H743">
            <v>0</v>
          </cell>
          <cell r="I743" t="e">
            <v>#REF!</v>
          </cell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</row>
        <row r="744">
          <cell r="G744">
            <v>0</v>
          </cell>
          <cell r="H744">
            <v>0</v>
          </cell>
          <cell r="I744" t="e">
            <v>#REF!</v>
          </cell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</row>
        <row r="745">
          <cell r="G745">
            <v>0</v>
          </cell>
          <cell r="H745">
            <v>0</v>
          </cell>
          <cell r="I745" t="e">
            <v>#REF!</v>
          </cell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</row>
        <row r="746">
          <cell r="G746">
            <v>0</v>
          </cell>
          <cell r="H746">
            <v>0</v>
          </cell>
          <cell r="I746" t="e">
            <v>#REF!</v>
          </cell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</row>
        <row r="747">
          <cell r="G747">
            <v>0</v>
          </cell>
          <cell r="H747">
            <v>0</v>
          </cell>
          <cell r="I747" t="e">
            <v>#REF!</v>
          </cell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</row>
        <row r="748">
          <cell r="G748">
            <v>0</v>
          </cell>
          <cell r="H748">
            <v>0</v>
          </cell>
          <cell r="I748" t="e">
            <v>#REF!</v>
          </cell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</row>
        <row r="749">
          <cell r="G749">
            <v>0</v>
          </cell>
          <cell r="H749">
            <v>0</v>
          </cell>
          <cell r="I749" t="e">
            <v>#REF!</v>
          </cell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</row>
        <row r="750">
          <cell r="G750">
            <v>0</v>
          </cell>
          <cell r="H750">
            <v>0</v>
          </cell>
          <cell r="I750" t="e">
            <v>#REF!</v>
          </cell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</row>
        <row r="751">
          <cell r="G751">
            <v>0</v>
          </cell>
          <cell r="H751">
            <v>0</v>
          </cell>
          <cell r="I751" t="e">
            <v>#REF!</v>
          </cell>
          <cell r="J751"/>
          <cell r="K751"/>
          <cell r="L751"/>
          <cell r="M751"/>
          <cell r="N751"/>
          <cell r="O751"/>
          <cell r="P751"/>
          <cell r="Q751"/>
          <cell r="R751"/>
          <cell r="S751"/>
        </row>
        <row r="752">
          <cell r="G752">
            <v>0</v>
          </cell>
          <cell r="H752">
            <v>0</v>
          </cell>
          <cell r="I752" t="e">
            <v>#REF!</v>
          </cell>
          <cell r="J752"/>
          <cell r="K752"/>
          <cell r="L752"/>
          <cell r="M752"/>
          <cell r="N752"/>
          <cell r="O752"/>
          <cell r="P752"/>
          <cell r="Q752"/>
          <cell r="R752"/>
          <cell r="S752"/>
        </row>
        <row r="753">
          <cell r="G753">
            <v>0</v>
          </cell>
          <cell r="H753">
            <v>0</v>
          </cell>
          <cell r="I753" t="e">
            <v>#REF!</v>
          </cell>
          <cell r="J753"/>
          <cell r="K753"/>
          <cell r="L753"/>
          <cell r="M753"/>
          <cell r="N753"/>
          <cell r="O753"/>
          <cell r="P753"/>
          <cell r="Q753"/>
          <cell r="R753"/>
          <cell r="S753"/>
        </row>
        <row r="754">
          <cell r="G754">
            <v>0</v>
          </cell>
          <cell r="H754">
            <v>0</v>
          </cell>
          <cell r="I754" t="e">
            <v>#REF!</v>
          </cell>
          <cell r="J754"/>
          <cell r="K754"/>
          <cell r="L754"/>
          <cell r="M754"/>
          <cell r="N754"/>
          <cell r="O754"/>
          <cell r="P754"/>
          <cell r="Q754"/>
          <cell r="R754"/>
          <cell r="S754"/>
        </row>
        <row r="755">
          <cell r="G755">
            <v>0</v>
          </cell>
          <cell r="H755">
            <v>0</v>
          </cell>
          <cell r="I755" t="e">
            <v>#REF!</v>
          </cell>
          <cell r="J755"/>
          <cell r="K755"/>
          <cell r="L755"/>
          <cell r="M755"/>
          <cell r="N755"/>
          <cell r="O755"/>
          <cell r="P755"/>
          <cell r="Q755"/>
          <cell r="R755"/>
          <cell r="S755"/>
        </row>
        <row r="756">
          <cell r="G756">
            <v>0</v>
          </cell>
          <cell r="H756">
            <v>0</v>
          </cell>
          <cell r="I756" t="e">
            <v>#REF!</v>
          </cell>
          <cell r="J756"/>
          <cell r="K756"/>
          <cell r="L756"/>
          <cell r="M756"/>
          <cell r="N756"/>
          <cell r="O756"/>
          <cell r="P756"/>
          <cell r="Q756"/>
          <cell r="R756"/>
          <cell r="S756"/>
        </row>
        <row r="757">
          <cell r="G757">
            <v>0</v>
          </cell>
          <cell r="H757">
            <v>0</v>
          </cell>
          <cell r="I757" t="e">
            <v>#REF!</v>
          </cell>
          <cell r="J757"/>
          <cell r="K757"/>
          <cell r="L757"/>
          <cell r="M757"/>
          <cell r="N757"/>
          <cell r="O757"/>
          <cell r="P757"/>
          <cell r="Q757"/>
          <cell r="R757"/>
          <cell r="S757"/>
        </row>
        <row r="758">
          <cell r="G758">
            <v>0</v>
          </cell>
          <cell r="H758">
            <v>0</v>
          </cell>
          <cell r="I758" t="e">
            <v>#REF!</v>
          </cell>
          <cell r="J758"/>
          <cell r="K758"/>
          <cell r="L758"/>
          <cell r="M758"/>
          <cell r="N758"/>
          <cell r="O758"/>
          <cell r="P758"/>
          <cell r="Q758"/>
          <cell r="R758"/>
          <cell r="S758"/>
        </row>
        <row r="759">
          <cell r="G759">
            <v>0</v>
          </cell>
          <cell r="H759">
            <v>0</v>
          </cell>
          <cell r="I759" t="e">
            <v>#REF!</v>
          </cell>
          <cell r="J759"/>
          <cell r="K759"/>
          <cell r="L759"/>
          <cell r="M759"/>
          <cell r="N759"/>
          <cell r="O759"/>
          <cell r="P759"/>
          <cell r="Q759"/>
          <cell r="R759"/>
          <cell r="S759"/>
        </row>
        <row r="760">
          <cell r="G760">
            <v>0</v>
          </cell>
          <cell r="H760">
            <v>0</v>
          </cell>
          <cell r="I760" t="e">
            <v>#REF!</v>
          </cell>
          <cell r="J760"/>
          <cell r="K760"/>
          <cell r="L760"/>
          <cell r="M760"/>
          <cell r="N760"/>
          <cell r="O760"/>
          <cell r="P760"/>
          <cell r="Q760"/>
          <cell r="R760"/>
          <cell r="S760"/>
        </row>
        <row r="761">
          <cell r="G761">
            <v>0</v>
          </cell>
          <cell r="H761">
            <v>0</v>
          </cell>
          <cell r="I761" t="e">
            <v>#REF!</v>
          </cell>
          <cell r="J761"/>
          <cell r="K761"/>
          <cell r="L761"/>
          <cell r="M761"/>
          <cell r="N761"/>
          <cell r="O761"/>
          <cell r="P761"/>
          <cell r="Q761"/>
          <cell r="R761"/>
          <cell r="S761"/>
        </row>
        <row r="762">
          <cell r="G762">
            <v>0</v>
          </cell>
          <cell r="H762">
            <v>0</v>
          </cell>
          <cell r="I762" t="e">
            <v>#REF!</v>
          </cell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</row>
        <row r="763">
          <cell r="G763">
            <v>0</v>
          </cell>
          <cell r="H763">
            <v>0</v>
          </cell>
          <cell r="I763" t="e">
            <v>#REF!</v>
          </cell>
          <cell r="J763"/>
          <cell r="K763"/>
          <cell r="L763"/>
          <cell r="M763"/>
          <cell r="N763"/>
          <cell r="O763"/>
          <cell r="P763"/>
          <cell r="Q763"/>
          <cell r="R763"/>
          <cell r="S763"/>
        </row>
        <row r="764">
          <cell r="G764">
            <v>0</v>
          </cell>
          <cell r="H764">
            <v>0</v>
          </cell>
          <cell r="I764" t="e">
            <v>#REF!</v>
          </cell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</row>
        <row r="765">
          <cell r="G765">
            <v>0</v>
          </cell>
          <cell r="H765">
            <v>0</v>
          </cell>
          <cell r="I765" t="e">
            <v>#REF!</v>
          </cell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</row>
        <row r="766">
          <cell r="G766">
            <v>0</v>
          </cell>
          <cell r="H766">
            <v>0</v>
          </cell>
          <cell r="I766" t="e">
            <v>#REF!</v>
          </cell>
          <cell r="J766"/>
          <cell r="K766"/>
          <cell r="L766"/>
          <cell r="M766"/>
          <cell r="N766"/>
          <cell r="O766"/>
          <cell r="P766"/>
          <cell r="Q766"/>
          <cell r="R766"/>
          <cell r="S766"/>
        </row>
        <row r="767">
          <cell r="G767">
            <v>0</v>
          </cell>
          <cell r="H767">
            <v>0</v>
          </cell>
          <cell r="I767" t="e">
            <v>#REF!</v>
          </cell>
          <cell r="J767"/>
          <cell r="K767"/>
          <cell r="L767"/>
          <cell r="M767"/>
          <cell r="N767"/>
          <cell r="O767"/>
          <cell r="P767"/>
          <cell r="Q767"/>
          <cell r="R767"/>
          <cell r="S767"/>
        </row>
        <row r="768">
          <cell r="G768">
            <v>0</v>
          </cell>
          <cell r="H768">
            <v>0</v>
          </cell>
          <cell r="I768" t="e">
            <v>#REF!</v>
          </cell>
          <cell r="J768"/>
          <cell r="K768"/>
          <cell r="L768"/>
          <cell r="M768"/>
          <cell r="N768"/>
          <cell r="O768"/>
          <cell r="P768"/>
          <cell r="Q768"/>
          <cell r="R768"/>
          <cell r="S768"/>
        </row>
        <row r="769">
          <cell r="G769">
            <v>0</v>
          </cell>
          <cell r="H769">
            <v>0</v>
          </cell>
          <cell r="I769" t="e">
            <v>#REF!</v>
          </cell>
          <cell r="J769"/>
          <cell r="K769"/>
          <cell r="L769"/>
          <cell r="M769"/>
          <cell r="N769"/>
          <cell r="O769"/>
          <cell r="P769"/>
          <cell r="Q769"/>
          <cell r="R769"/>
          <cell r="S769"/>
        </row>
        <row r="770">
          <cell r="G770">
            <v>0</v>
          </cell>
          <cell r="H770">
            <v>0</v>
          </cell>
          <cell r="I770" t="e">
            <v>#REF!</v>
          </cell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</row>
        <row r="771">
          <cell r="G771">
            <v>0</v>
          </cell>
          <cell r="H771">
            <v>0</v>
          </cell>
          <cell r="I771" t="e">
            <v>#REF!</v>
          </cell>
          <cell r="J771"/>
          <cell r="K771"/>
          <cell r="L771"/>
          <cell r="M771"/>
          <cell r="N771"/>
          <cell r="O771"/>
          <cell r="P771"/>
          <cell r="Q771"/>
          <cell r="R771"/>
          <cell r="S771"/>
        </row>
        <row r="772">
          <cell r="G772">
            <v>0</v>
          </cell>
          <cell r="H772">
            <v>0</v>
          </cell>
          <cell r="I772" t="e">
            <v>#REF!</v>
          </cell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</row>
        <row r="773">
          <cell r="G773">
            <v>0</v>
          </cell>
          <cell r="H773">
            <v>0</v>
          </cell>
          <cell r="I773" t="e">
            <v>#REF!</v>
          </cell>
          <cell r="J773"/>
          <cell r="K773"/>
          <cell r="L773"/>
          <cell r="M773"/>
          <cell r="N773"/>
          <cell r="O773"/>
          <cell r="P773"/>
          <cell r="Q773"/>
          <cell r="R773"/>
          <cell r="S773"/>
        </row>
        <row r="774">
          <cell r="G774">
            <v>0</v>
          </cell>
          <cell r="H774">
            <v>0</v>
          </cell>
          <cell r="I774" t="e">
            <v>#REF!</v>
          </cell>
          <cell r="J774"/>
          <cell r="K774"/>
          <cell r="L774"/>
          <cell r="M774"/>
          <cell r="N774"/>
          <cell r="O774"/>
          <cell r="P774"/>
          <cell r="Q774"/>
          <cell r="R774"/>
          <cell r="S774"/>
        </row>
        <row r="775">
          <cell r="G775">
            <v>0</v>
          </cell>
          <cell r="H775">
            <v>0</v>
          </cell>
          <cell r="I775" t="e">
            <v>#REF!</v>
          </cell>
          <cell r="J775"/>
          <cell r="K775"/>
          <cell r="L775"/>
          <cell r="M775"/>
          <cell r="N775"/>
          <cell r="O775"/>
          <cell r="P775"/>
          <cell r="Q775"/>
          <cell r="R775"/>
          <cell r="S775"/>
        </row>
        <row r="776">
          <cell r="G776">
            <v>0</v>
          </cell>
          <cell r="H776">
            <v>0</v>
          </cell>
          <cell r="I776" t="e">
            <v>#REF!</v>
          </cell>
          <cell r="J776"/>
          <cell r="K776"/>
          <cell r="L776"/>
          <cell r="M776"/>
          <cell r="N776"/>
          <cell r="O776"/>
          <cell r="P776"/>
          <cell r="Q776"/>
          <cell r="R776"/>
          <cell r="S776"/>
        </row>
        <row r="777">
          <cell r="G777">
            <v>0</v>
          </cell>
          <cell r="H777">
            <v>0</v>
          </cell>
          <cell r="I777" t="e">
            <v>#REF!</v>
          </cell>
          <cell r="J777"/>
          <cell r="K777"/>
          <cell r="L777"/>
          <cell r="M777"/>
          <cell r="N777"/>
          <cell r="O777"/>
          <cell r="P777"/>
          <cell r="Q777"/>
          <cell r="R777"/>
          <cell r="S777"/>
        </row>
        <row r="778">
          <cell r="G778">
            <v>0</v>
          </cell>
          <cell r="H778">
            <v>0</v>
          </cell>
          <cell r="I778" t="e">
            <v>#REF!</v>
          </cell>
          <cell r="J778"/>
          <cell r="K778"/>
          <cell r="L778"/>
          <cell r="M778"/>
          <cell r="N778"/>
          <cell r="O778"/>
          <cell r="P778"/>
          <cell r="Q778"/>
          <cell r="R778"/>
          <cell r="S778"/>
        </row>
        <row r="779">
          <cell r="G779">
            <v>0</v>
          </cell>
          <cell r="H779">
            <v>0</v>
          </cell>
          <cell r="I779" t="e">
            <v>#REF!</v>
          </cell>
          <cell r="J779"/>
          <cell r="K779"/>
          <cell r="L779"/>
          <cell r="M779"/>
          <cell r="N779"/>
          <cell r="O779"/>
          <cell r="P779"/>
          <cell r="Q779"/>
          <cell r="R779"/>
          <cell r="S779"/>
        </row>
        <row r="780">
          <cell r="G780">
            <v>0</v>
          </cell>
          <cell r="H780">
            <v>0</v>
          </cell>
          <cell r="I780" t="e">
            <v>#REF!</v>
          </cell>
          <cell r="J780"/>
          <cell r="K780"/>
          <cell r="L780"/>
          <cell r="M780"/>
          <cell r="N780"/>
          <cell r="O780"/>
          <cell r="P780"/>
          <cell r="Q780"/>
          <cell r="R780"/>
          <cell r="S780"/>
        </row>
        <row r="781">
          <cell r="G781">
            <v>0</v>
          </cell>
          <cell r="H781">
            <v>0</v>
          </cell>
          <cell r="I781" t="e">
            <v>#REF!</v>
          </cell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</row>
        <row r="782">
          <cell r="G782">
            <v>0</v>
          </cell>
          <cell r="H782">
            <v>0</v>
          </cell>
          <cell r="I782" t="e">
            <v>#REF!</v>
          </cell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</row>
        <row r="783">
          <cell r="G783">
            <v>0</v>
          </cell>
          <cell r="H783">
            <v>0</v>
          </cell>
          <cell r="I783" t="e">
            <v>#REF!</v>
          </cell>
          <cell r="J783"/>
          <cell r="K783"/>
          <cell r="L783"/>
          <cell r="M783"/>
          <cell r="N783"/>
          <cell r="O783"/>
          <cell r="P783"/>
          <cell r="Q783"/>
          <cell r="R783"/>
          <cell r="S783"/>
        </row>
        <row r="784">
          <cell r="G784">
            <v>0</v>
          </cell>
          <cell r="H784">
            <v>0</v>
          </cell>
          <cell r="I784" t="e">
            <v>#REF!</v>
          </cell>
          <cell r="J784"/>
          <cell r="K784"/>
          <cell r="L784"/>
          <cell r="M784"/>
          <cell r="N784"/>
          <cell r="O784"/>
          <cell r="P784"/>
          <cell r="Q784"/>
          <cell r="R784"/>
          <cell r="S784"/>
        </row>
        <row r="785">
          <cell r="G785">
            <v>0</v>
          </cell>
          <cell r="H785">
            <v>0</v>
          </cell>
          <cell r="I785" t="e">
            <v>#REF!</v>
          </cell>
          <cell r="J785"/>
          <cell r="K785"/>
          <cell r="L785"/>
          <cell r="M785"/>
          <cell r="N785"/>
          <cell r="O785"/>
          <cell r="P785"/>
          <cell r="Q785"/>
          <cell r="R785"/>
          <cell r="S785"/>
        </row>
        <row r="786">
          <cell r="G786">
            <v>0</v>
          </cell>
          <cell r="H786">
            <v>0</v>
          </cell>
          <cell r="I786" t="e">
            <v>#REF!</v>
          </cell>
          <cell r="J786"/>
          <cell r="K786"/>
          <cell r="L786"/>
          <cell r="M786"/>
          <cell r="N786"/>
          <cell r="O786"/>
          <cell r="P786"/>
          <cell r="Q786"/>
          <cell r="R786"/>
          <cell r="S786"/>
        </row>
        <row r="787">
          <cell r="G787">
            <v>0</v>
          </cell>
          <cell r="H787">
            <v>0</v>
          </cell>
          <cell r="I787" t="e">
            <v>#REF!</v>
          </cell>
          <cell r="J787"/>
          <cell r="K787"/>
          <cell r="L787"/>
          <cell r="M787"/>
          <cell r="N787"/>
          <cell r="O787"/>
          <cell r="P787"/>
          <cell r="Q787"/>
          <cell r="R787"/>
          <cell r="S787"/>
        </row>
        <row r="788">
          <cell r="G788">
            <v>0</v>
          </cell>
          <cell r="H788">
            <v>0</v>
          </cell>
          <cell r="I788" t="e">
            <v>#REF!</v>
          </cell>
          <cell r="J788"/>
          <cell r="K788"/>
          <cell r="L788"/>
          <cell r="M788"/>
          <cell r="N788"/>
          <cell r="O788"/>
          <cell r="P788"/>
          <cell r="Q788"/>
          <cell r="R788"/>
          <cell r="S788"/>
        </row>
        <row r="789">
          <cell r="G789">
            <v>0</v>
          </cell>
          <cell r="H789">
            <v>0</v>
          </cell>
          <cell r="I789" t="e">
            <v>#REF!</v>
          </cell>
          <cell r="J789"/>
          <cell r="K789"/>
          <cell r="L789"/>
          <cell r="M789"/>
          <cell r="N789"/>
          <cell r="O789"/>
          <cell r="P789"/>
          <cell r="Q789"/>
          <cell r="R789"/>
          <cell r="S789"/>
        </row>
        <row r="790">
          <cell r="G790">
            <v>0</v>
          </cell>
          <cell r="H790">
            <v>0</v>
          </cell>
          <cell r="I790" t="e">
            <v>#REF!</v>
          </cell>
          <cell r="J790"/>
          <cell r="K790"/>
          <cell r="L790"/>
          <cell r="M790"/>
          <cell r="N790"/>
          <cell r="O790"/>
          <cell r="P790"/>
          <cell r="Q790"/>
          <cell r="R790"/>
          <cell r="S790"/>
        </row>
        <row r="791">
          <cell r="G791">
            <v>0</v>
          </cell>
          <cell r="H791">
            <v>0</v>
          </cell>
          <cell r="I791" t="e">
            <v>#REF!</v>
          </cell>
          <cell r="J791"/>
          <cell r="K791"/>
          <cell r="L791"/>
          <cell r="M791"/>
          <cell r="N791"/>
          <cell r="O791"/>
          <cell r="P791"/>
          <cell r="Q791"/>
          <cell r="R791"/>
          <cell r="S791"/>
        </row>
        <row r="792">
          <cell r="G792">
            <v>0</v>
          </cell>
          <cell r="H792">
            <v>0</v>
          </cell>
          <cell r="I792" t="e">
            <v>#REF!</v>
          </cell>
          <cell r="J792"/>
          <cell r="K792"/>
          <cell r="L792"/>
          <cell r="M792"/>
          <cell r="N792"/>
          <cell r="O792"/>
          <cell r="P792"/>
          <cell r="Q792"/>
          <cell r="R792"/>
          <cell r="S792"/>
        </row>
        <row r="793">
          <cell r="G793">
            <v>0</v>
          </cell>
          <cell r="H793">
            <v>0</v>
          </cell>
          <cell r="I793" t="e">
            <v>#REF!</v>
          </cell>
          <cell r="J793"/>
          <cell r="K793"/>
          <cell r="L793"/>
          <cell r="M793"/>
          <cell r="N793"/>
          <cell r="O793"/>
          <cell r="P793"/>
          <cell r="Q793"/>
          <cell r="R793"/>
          <cell r="S793"/>
        </row>
        <row r="794">
          <cell r="G794">
            <v>0</v>
          </cell>
          <cell r="H794">
            <v>0</v>
          </cell>
          <cell r="I794" t="e">
            <v>#REF!</v>
          </cell>
          <cell r="J794"/>
          <cell r="K794"/>
          <cell r="L794"/>
          <cell r="M794"/>
          <cell r="N794"/>
          <cell r="O794"/>
          <cell r="P794"/>
          <cell r="Q794"/>
          <cell r="R794"/>
          <cell r="S794"/>
        </row>
        <row r="795">
          <cell r="G795">
            <v>0</v>
          </cell>
          <cell r="H795">
            <v>0</v>
          </cell>
          <cell r="I795" t="e">
            <v>#REF!</v>
          </cell>
          <cell r="J795"/>
          <cell r="K795"/>
          <cell r="L795"/>
          <cell r="M795"/>
          <cell r="N795"/>
          <cell r="O795"/>
          <cell r="P795"/>
          <cell r="Q795"/>
          <cell r="R795"/>
          <cell r="S795"/>
        </row>
        <row r="796">
          <cell r="G796">
            <v>0</v>
          </cell>
          <cell r="H796">
            <v>0</v>
          </cell>
          <cell r="I796" t="e">
            <v>#REF!</v>
          </cell>
          <cell r="J796"/>
          <cell r="K796"/>
          <cell r="L796"/>
          <cell r="M796"/>
          <cell r="N796"/>
          <cell r="O796"/>
          <cell r="P796"/>
          <cell r="Q796"/>
          <cell r="R796"/>
          <cell r="S796"/>
        </row>
        <row r="797">
          <cell r="G797">
            <v>0</v>
          </cell>
          <cell r="H797">
            <v>0</v>
          </cell>
          <cell r="I797" t="e">
            <v>#REF!</v>
          </cell>
          <cell r="J797"/>
          <cell r="K797"/>
          <cell r="L797"/>
          <cell r="M797"/>
          <cell r="N797"/>
          <cell r="O797"/>
          <cell r="P797"/>
          <cell r="Q797"/>
          <cell r="R797"/>
          <cell r="S797"/>
        </row>
        <row r="798">
          <cell r="G798">
            <v>0</v>
          </cell>
          <cell r="H798">
            <v>0</v>
          </cell>
          <cell r="I798" t="e">
            <v>#REF!</v>
          </cell>
          <cell r="J798"/>
          <cell r="K798"/>
          <cell r="L798"/>
          <cell r="M798"/>
          <cell r="N798"/>
          <cell r="O798"/>
          <cell r="P798"/>
          <cell r="Q798"/>
          <cell r="R798"/>
          <cell r="S798"/>
        </row>
        <row r="799">
          <cell r="G799">
            <v>0</v>
          </cell>
          <cell r="H799">
            <v>0</v>
          </cell>
          <cell r="I799" t="e">
            <v>#REF!</v>
          </cell>
          <cell r="J799"/>
          <cell r="K799"/>
          <cell r="L799"/>
          <cell r="M799"/>
          <cell r="N799"/>
          <cell r="O799"/>
          <cell r="P799"/>
          <cell r="Q799"/>
          <cell r="R799"/>
          <cell r="S799"/>
        </row>
        <row r="800">
          <cell r="G800">
            <v>0</v>
          </cell>
          <cell r="H800">
            <v>0</v>
          </cell>
          <cell r="I800" t="e">
            <v>#REF!</v>
          </cell>
          <cell r="J800"/>
          <cell r="K800"/>
          <cell r="L800"/>
          <cell r="M800"/>
          <cell r="N800"/>
          <cell r="O800"/>
          <cell r="P800"/>
          <cell r="Q800"/>
          <cell r="R800"/>
          <cell r="S800"/>
        </row>
        <row r="801">
          <cell r="G801">
            <v>0</v>
          </cell>
          <cell r="H801">
            <v>0</v>
          </cell>
          <cell r="I801" t="e">
            <v>#REF!</v>
          </cell>
          <cell r="J801"/>
          <cell r="K801"/>
          <cell r="L801"/>
          <cell r="M801"/>
          <cell r="N801"/>
          <cell r="O801"/>
          <cell r="P801"/>
          <cell r="Q801"/>
          <cell r="R801"/>
          <cell r="S801"/>
        </row>
        <row r="802">
          <cell r="G802">
            <v>0</v>
          </cell>
          <cell r="H802">
            <v>0</v>
          </cell>
          <cell r="I802" t="e">
            <v>#REF!</v>
          </cell>
          <cell r="J802"/>
          <cell r="K802"/>
          <cell r="L802"/>
          <cell r="M802"/>
          <cell r="N802"/>
          <cell r="O802"/>
          <cell r="P802"/>
          <cell r="Q802"/>
          <cell r="R802"/>
          <cell r="S802"/>
        </row>
        <row r="803">
          <cell r="G803">
            <v>0</v>
          </cell>
          <cell r="H803">
            <v>0</v>
          </cell>
          <cell r="I803" t="e">
            <v>#REF!</v>
          </cell>
          <cell r="J803"/>
          <cell r="K803"/>
          <cell r="L803"/>
          <cell r="M803"/>
          <cell r="N803"/>
          <cell r="O803"/>
          <cell r="P803"/>
          <cell r="Q803"/>
          <cell r="R803"/>
          <cell r="S803"/>
        </row>
        <row r="804">
          <cell r="G804">
            <v>0</v>
          </cell>
          <cell r="H804">
            <v>0</v>
          </cell>
          <cell r="I804" t="e">
            <v>#REF!</v>
          </cell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</row>
        <row r="805">
          <cell r="G805">
            <v>0</v>
          </cell>
          <cell r="H805">
            <v>0</v>
          </cell>
          <cell r="I805" t="e">
            <v>#REF!</v>
          </cell>
          <cell r="J805"/>
          <cell r="K805"/>
          <cell r="L805"/>
          <cell r="M805"/>
          <cell r="N805"/>
          <cell r="O805"/>
          <cell r="P805"/>
          <cell r="Q805"/>
          <cell r="R805"/>
          <cell r="S805"/>
        </row>
        <row r="806">
          <cell r="G806">
            <v>0</v>
          </cell>
          <cell r="H806">
            <v>0</v>
          </cell>
          <cell r="I806" t="e">
            <v>#REF!</v>
          </cell>
          <cell r="J806"/>
          <cell r="K806"/>
          <cell r="L806"/>
          <cell r="M806"/>
          <cell r="N806"/>
          <cell r="O806"/>
          <cell r="P806"/>
          <cell r="Q806"/>
          <cell r="R806"/>
          <cell r="S806"/>
        </row>
        <row r="807">
          <cell r="G807">
            <v>0</v>
          </cell>
          <cell r="H807">
            <v>0</v>
          </cell>
          <cell r="I807" t="e">
            <v>#REF!</v>
          </cell>
          <cell r="J807"/>
          <cell r="K807"/>
          <cell r="L807"/>
          <cell r="M807"/>
          <cell r="N807"/>
          <cell r="O807"/>
          <cell r="P807"/>
          <cell r="Q807"/>
          <cell r="R807"/>
          <cell r="S807"/>
        </row>
        <row r="808">
          <cell r="G808">
            <v>0</v>
          </cell>
          <cell r="H808">
            <v>0</v>
          </cell>
          <cell r="I808" t="e">
            <v>#REF!</v>
          </cell>
          <cell r="J808"/>
          <cell r="K808"/>
          <cell r="L808"/>
          <cell r="M808"/>
          <cell r="N808"/>
          <cell r="O808"/>
          <cell r="P808"/>
          <cell r="Q808"/>
          <cell r="R808"/>
          <cell r="S808"/>
        </row>
        <row r="809">
          <cell r="G809">
            <v>0</v>
          </cell>
          <cell r="H809">
            <v>0</v>
          </cell>
          <cell r="I809" t="e">
            <v>#REF!</v>
          </cell>
          <cell r="J809"/>
          <cell r="K809"/>
          <cell r="L809"/>
          <cell r="M809"/>
          <cell r="N809"/>
          <cell r="O809"/>
          <cell r="P809"/>
          <cell r="Q809"/>
          <cell r="R809"/>
          <cell r="S809"/>
        </row>
        <row r="810">
          <cell r="G810">
            <v>0</v>
          </cell>
          <cell r="H810">
            <v>0</v>
          </cell>
          <cell r="I810" t="e">
            <v>#REF!</v>
          </cell>
          <cell r="J810"/>
          <cell r="K810"/>
          <cell r="L810"/>
          <cell r="M810"/>
          <cell r="N810"/>
          <cell r="O810"/>
          <cell r="P810"/>
          <cell r="Q810"/>
          <cell r="R810"/>
          <cell r="S810"/>
        </row>
        <row r="811">
          <cell r="G811">
            <v>0</v>
          </cell>
          <cell r="H811">
            <v>0</v>
          </cell>
          <cell r="I811" t="e">
            <v>#REF!</v>
          </cell>
          <cell r="J811"/>
          <cell r="K811"/>
          <cell r="L811"/>
          <cell r="M811"/>
          <cell r="N811"/>
          <cell r="O811"/>
          <cell r="P811"/>
          <cell r="Q811"/>
          <cell r="R811"/>
          <cell r="S811"/>
        </row>
        <row r="812">
          <cell r="G812">
            <v>0</v>
          </cell>
          <cell r="H812">
            <v>0</v>
          </cell>
          <cell r="I812" t="e">
            <v>#REF!</v>
          </cell>
          <cell r="J812"/>
          <cell r="K812"/>
          <cell r="L812"/>
          <cell r="M812"/>
          <cell r="N812"/>
          <cell r="O812"/>
          <cell r="P812"/>
          <cell r="Q812"/>
          <cell r="R812"/>
          <cell r="S812"/>
        </row>
        <row r="813">
          <cell r="G813">
            <v>0</v>
          </cell>
          <cell r="H813">
            <v>0</v>
          </cell>
          <cell r="I813" t="e">
            <v>#REF!</v>
          </cell>
          <cell r="J813"/>
          <cell r="K813"/>
          <cell r="L813"/>
          <cell r="M813"/>
          <cell r="N813"/>
          <cell r="O813"/>
          <cell r="P813"/>
          <cell r="Q813"/>
          <cell r="R813"/>
          <cell r="S813"/>
        </row>
        <row r="814">
          <cell r="G814">
            <v>0</v>
          </cell>
          <cell r="H814">
            <v>0</v>
          </cell>
          <cell r="I814" t="e">
            <v>#REF!</v>
          </cell>
          <cell r="J814"/>
          <cell r="K814"/>
          <cell r="L814"/>
          <cell r="M814"/>
          <cell r="N814"/>
          <cell r="O814"/>
          <cell r="P814"/>
          <cell r="Q814"/>
          <cell r="R814"/>
          <cell r="S814"/>
        </row>
        <row r="815">
          <cell r="G815">
            <v>0</v>
          </cell>
          <cell r="H815">
            <v>0</v>
          </cell>
          <cell r="I815" t="e">
            <v>#REF!</v>
          </cell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</row>
        <row r="816">
          <cell r="G816">
            <v>0</v>
          </cell>
          <cell r="H816">
            <v>0</v>
          </cell>
          <cell r="I816" t="e">
            <v>#REF!</v>
          </cell>
          <cell r="J816"/>
          <cell r="K816"/>
          <cell r="L816"/>
          <cell r="M816"/>
          <cell r="N816"/>
          <cell r="O816"/>
          <cell r="P816"/>
          <cell r="Q816"/>
          <cell r="R816"/>
          <cell r="S816"/>
        </row>
        <row r="817">
          <cell r="G817">
            <v>0</v>
          </cell>
          <cell r="H817">
            <v>0</v>
          </cell>
          <cell r="I817" t="e">
            <v>#REF!</v>
          </cell>
          <cell r="J817"/>
          <cell r="K817"/>
          <cell r="L817"/>
          <cell r="M817"/>
          <cell r="N817"/>
          <cell r="O817"/>
          <cell r="P817"/>
          <cell r="Q817"/>
          <cell r="R817"/>
          <cell r="S817"/>
        </row>
        <row r="818">
          <cell r="G818">
            <v>0</v>
          </cell>
          <cell r="H818">
            <v>0</v>
          </cell>
          <cell r="I818" t="e">
            <v>#REF!</v>
          </cell>
          <cell r="J818"/>
          <cell r="K818"/>
          <cell r="L818"/>
          <cell r="M818"/>
          <cell r="N818"/>
          <cell r="O818"/>
          <cell r="P818"/>
          <cell r="Q818"/>
          <cell r="R818"/>
          <cell r="S818"/>
        </row>
        <row r="819">
          <cell r="G819">
            <v>0</v>
          </cell>
          <cell r="H819">
            <v>0</v>
          </cell>
          <cell r="I819" t="e">
            <v>#REF!</v>
          </cell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</row>
        <row r="820">
          <cell r="G820">
            <v>0</v>
          </cell>
          <cell r="H820">
            <v>0</v>
          </cell>
          <cell r="I820" t="e">
            <v>#REF!</v>
          </cell>
          <cell r="J820"/>
          <cell r="K820"/>
          <cell r="L820"/>
          <cell r="M820"/>
          <cell r="N820"/>
          <cell r="O820"/>
          <cell r="P820"/>
          <cell r="Q820"/>
          <cell r="R820"/>
          <cell r="S820"/>
        </row>
        <row r="821">
          <cell r="G821">
            <v>0</v>
          </cell>
          <cell r="H821">
            <v>0</v>
          </cell>
          <cell r="I821" t="e">
            <v>#REF!</v>
          </cell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</row>
        <row r="822">
          <cell r="G822">
            <v>0</v>
          </cell>
          <cell r="H822">
            <v>0</v>
          </cell>
          <cell r="I822" t="e">
            <v>#REF!</v>
          </cell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</row>
        <row r="823">
          <cell r="G823">
            <v>0</v>
          </cell>
          <cell r="H823">
            <v>0</v>
          </cell>
          <cell r="I823" t="e">
            <v>#REF!</v>
          </cell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</row>
        <row r="824">
          <cell r="G824">
            <v>0</v>
          </cell>
          <cell r="H824">
            <v>0</v>
          </cell>
          <cell r="I824" t="e">
            <v>#REF!</v>
          </cell>
          <cell r="J824"/>
          <cell r="K824"/>
          <cell r="L824"/>
          <cell r="M824"/>
          <cell r="N824"/>
          <cell r="O824"/>
          <cell r="P824"/>
          <cell r="Q824"/>
          <cell r="R824"/>
          <cell r="S824"/>
        </row>
        <row r="825">
          <cell r="G825">
            <v>0</v>
          </cell>
          <cell r="H825">
            <v>0</v>
          </cell>
          <cell r="I825" t="e">
            <v>#REF!</v>
          </cell>
          <cell r="J825"/>
          <cell r="K825"/>
          <cell r="L825"/>
          <cell r="M825"/>
          <cell r="N825"/>
          <cell r="O825"/>
          <cell r="P825"/>
          <cell r="Q825"/>
          <cell r="R825"/>
          <cell r="S825"/>
        </row>
        <row r="826">
          <cell r="G826">
            <v>0</v>
          </cell>
          <cell r="H826">
            <v>0</v>
          </cell>
          <cell r="I826" t="e">
            <v>#REF!</v>
          </cell>
          <cell r="J826"/>
          <cell r="K826"/>
          <cell r="L826"/>
          <cell r="M826"/>
          <cell r="N826"/>
          <cell r="O826"/>
          <cell r="P826"/>
          <cell r="Q826"/>
          <cell r="R826"/>
          <cell r="S826"/>
        </row>
        <row r="827">
          <cell r="G827">
            <v>0</v>
          </cell>
          <cell r="H827">
            <v>0</v>
          </cell>
          <cell r="I827" t="e">
            <v>#REF!</v>
          </cell>
          <cell r="J827"/>
          <cell r="K827"/>
          <cell r="L827"/>
          <cell r="M827"/>
          <cell r="N827"/>
          <cell r="O827"/>
          <cell r="P827"/>
          <cell r="Q827"/>
          <cell r="R827"/>
          <cell r="S827"/>
        </row>
        <row r="828">
          <cell r="G828">
            <v>0</v>
          </cell>
          <cell r="H828">
            <v>0</v>
          </cell>
          <cell r="I828" t="e">
            <v>#REF!</v>
          </cell>
          <cell r="J828"/>
          <cell r="K828"/>
          <cell r="L828"/>
          <cell r="M828"/>
          <cell r="N828"/>
          <cell r="O828"/>
          <cell r="P828"/>
          <cell r="Q828"/>
          <cell r="R828"/>
          <cell r="S828"/>
        </row>
        <row r="829">
          <cell r="G829">
            <v>0</v>
          </cell>
          <cell r="H829">
            <v>0</v>
          </cell>
          <cell r="I829" t="e">
            <v>#REF!</v>
          </cell>
          <cell r="J829"/>
          <cell r="K829"/>
          <cell r="L829"/>
          <cell r="M829"/>
          <cell r="N829"/>
          <cell r="O829"/>
          <cell r="P829"/>
          <cell r="Q829"/>
          <cell r="R829"/>
          <cell r="S829"/>
        </row>
        <row r="830">
          <cell r="G830">
            <v>0</v>
          </cell>
          <cell r="H830">
            <v>0</v>
          </cell>
          <cell r="I830" t="e">
            <v>#REF!</v>
          </cell>
          <cell r="J830"/>
          <cell r="K830"/>
          <cell r="L830"/>
          <cell r="M830"/>
          <cell r="N830"/>
          <cell r="O830"/>
          <cell r="P830"/>
          <cell r="Q830"/>
          <cell r="R830"/>
          <cell r="S830"/>
        </row>
        <row r="831">
          <cell r="G831">
            <v>0</v>
          </cell>
          <cell r="H831">
            <v>0</v>
          </cell>
          <cell r="I831" t="e">
            <v>#REF!</v>
          </cell>
          <cell r="J831"/>
          <cell r="K831"/>
          <cell r="L831"/>
          <cell r="M831"/>
          <cell r="N831"/>
          <cell r="O831"/>
          <cell r="P831"/>
          <cell r="Q831"/>
          <cell r="R831"/>
          <cell r="S831"/>
        </row>
        <row r="832">
          <cell r="G832">
            <v>0</v>
          </cell>
          <cell r="H832">
            <v>0</v>
          </cell>
          <cell r="I832" t="e">
            <v>#REF!</v>
          </cell>
          <cell r="J832"/>
          <cell r="K832"/>
          <cell r="L832"/>
          <cell r="M832"/>
          <cell r="N832"/>
          <cell r="O832"/>
          <cell r="P832"/>
          <cell r="Q832"/>
          <cell r="R832"/>
          <cell r="S832"/>
        </row>
        <row r="833">
          <cell r="G833">
            <v>0</v>
          </cell>
          <cell r="H833">
            <v>0</v>
          </cell>
          <cell r="I833" t="e">
            <v>#REF!</v>
          </cell>
          <cell r="J833"/>
          <cell r="K833"/>
          <cell r="L833"/>
          <cell r="M833"/>
          <cell r="N833"/>
          <cell r="O833"/>
          <cell r="P833"/>
          <cell r="Q833"/>
          <cell r="R833"/>
          <cell r="S833"/>
        </row>
        <row r="834">
          <cell r="G834">
            <v>0</v>
          </cell>
          <cell r="H834">
            <v>0</v>
          </cell>
          <cell r="I834" t="e">
            <v>#REF!</v>
          </cell>
          <cell r="J834"/>
          <cell r="K834"/>
          <cell r="L834"/>
          <cell r="M834"/>
          <cell r="N834"/>
          <cell r="O834"/>
          <cell r="P834"/>
          <cell r="Q834"/>
          <cell r="R834"/>
          <cell r="S834"/>
        </row>
        <row r="835">
          <cell r="G835">
            <v>0</v>
          </cell>
          <cell r="H835">
            <v>0</v>
          </cell>
          <cell r="I835" t="e">
            <v>#REF!</v>
          </cell>
          <cell r="J835"/>
          <cell r="K835"/>
          <cell r="L835"/>
          <cell r="M835"/>
          <cell r="N835"/>
          <cell r="O835"/>
          <cell r="P835"/>
          <cell r="Q835"/>
          <cell r="R835"/>
          <cell r="S835"/>
        </row>
        <row r="836">
          <cell r="G836">
            <v>0</v>
          </cell>
          <cell r="H836">
            <v>0</v>
          </cell>
          <cell r="I836" t="e">
            <v>#REF!</v>
          </cell>
          <cell r="J836"/>
          <cell r="K836"/>
          <cell r="L836"/>
          <cell r="M836"/>
          <cell r="N836"/>
          <cell r="O836"/>
          <cell r="P836"/>
          <cell r="Q836"/>
          <cell r="R836"/>
          <cell r="S836"/>
        </row>
        <row r="837">
          <cell r="G837">
            <v>0</v>
          </cell>
          <cell r="H837">
            <v>0</v>
          </cell>
          <cell r="I837" t="e">
            <v>#REF!</v>
          </cell>
          <cell r="J837"/>
          <cell r="K837"/>
          <cell r="L837"/>
          <cell r="M837"/>
          <cell r="N837"/>
          <cell r="O837"/>
          <cell r="P837"/>
          <cell r="Q837"/>
          <cell r="R837"/>
          <cell r="S837"/>
        </row>
        <row r="838">
          <cell r="G838">
            <v>0</v>
          </cell>
          <cell r="H838">
            <v>0</v>
          </cell>
          <cell r="I838" t="e">
            <v>#REF!</v>
          </cell>
          <cell r="J838"/>
          <cell r="K838"/>
          <cell r="L838"/>
          <cell r="M838"/>
          <cell r="N838"/>
          <cell r="O838"/>
          <cell r="P838"/>
          <cell r="Q838"/>
          <cell r="R838"/>
          <cell r="S838"/>
        </row>
        <row r="839">
          <cell r="G839">
            <v>0</v>
          </cell>
          <cell r="H839">
            <v>0</v>
          </cell>
          <cell r="I839" t="e">
            <v>#REF!</v>
          </cell>
          <cell r="J839"/>
          <cell r="K839"/>
          <cell r="L839"/>
          <cell r="M839"/>
          <cell r="N839"/>
          <cell r="O839"/>
          <cell r="P839"/>
          <cell r="Q839"/>
          <cell r="R839"/>
          <cell r="S839"/>
        </row>
        <row r="840">
          <cell r="G840">
            <v>0</v>
          </cell>
          <cell r="H840">
            <v>0</v>
          </cell>
          <cell r="I840" t="e">
            <v>#REF!</v>
          </cell>
          <cell r="J840"/>
          <cell r="K840"/>
          <cell r="L840"/>
          <cell r="M840"/>
          <cell r="N840"/>
          <cell r="O840"/>
          <cell r="P840"/>
          <cell r="Q840"/>
          <cell r="R840"/>
          <cell r="S840"/>
        </row>
        <row r="841">
          <cell r="G841">
            <v>0</v>
          </cell>
          <cell r="H841">
            <v>0</v>
          </cell>
          <cell r="I841" t="e">
            <v>#REF!</v>
          </cell>
          <cell r="J841"/>
          <cell r="K841"/>
          <cell r="L841"/>
          <cell r="M841"/>
          <cell r="N841"/>
          <cell r="O841"/>
          <cell r="P841"/>
          <cell r="Q841"/>
          <cell r="R841"/>
          <cell r="S841"/>
        </row>
        <row r="842">
          <cell r="G842">
            <v>0</v>
          </cell>
          <cell r="H842">
            <v>0</v>
          </cell>
          <cell r="I842" t="e">
            <v>#REF!</v>
          </cell>
          <cell r="J842"/>
          <cell r="K842"/>
          <cell r="L842"/>
          <cell r="M842"/>
          <cell r="N842"/>
          <cell r="O842"/>
          <cell r="P842"/>
          <cell r="Q842"/>
          <cell r="R842"/>
          <cell r="S842"/>
        </row>
        <row r="843">
          <cell r="G843">
            <v>0</v>
          </cell>
          <cell r="H843">
            <v>0</v>
          </cell>
          <cell r="I843" t="e">
            <v>#REF!</v>
          </cell>
          <cell r="J843"/>
          <cell r="K843"/>
          <cell r="L843"/>
          <cell r="M843"/>
          <cell r="N843"/>
          <cell r="O843"/>
          <cell r="P843"/>
          <cell r="Q843"/>
          <cell r="R843"/>
          <cell r="S843"/>
        </row>
        <row r="844">
          <cell r="G844">
            <v>0</v>
          </cell>
          <cell r="H844">
            <v>0</v>
          </cell>
          <cell r="I844" t="e">
            <v>#REF!</v>
          </cell>
          <cell r="J844"/>
          <cell r="K844"/>
          <cell r="L844"/>
          <cell r="M844"/>
          <cell r="N844"/>
          <cell r="O844"/>
          <cell r="P844"/>
          <cell r="Q844"/>
          <cell r="R844"/>
          <cell r="S844"/>
        </row>
        <row r="845">
          <cell r="G845">
            <v>0</v>
          </cell>
          <cell r="H845">
            <v>0</v>
          </cell>
          <cell r="I845" t="e">
            <v>#REF!</v>
          </cell>
          <cell r="J845"/>
          <cell r="K845"/>
          <cell r="L845"/>
          <cell r="M845"/>
          <cell r="N845"/>
          <cell r="O845"/>
          <cell r="P845"/>
          <cell r="Q845"/>
          <cell r="R845"/>
          <cell r="S845"/>
        </row>
        <row r="846">
          <cell r="G846">
            <v>0</v>
          </cell>
          <cell r="H846">
            <v>0</v>
          </cell>
          <cell r="I846" t="e">
            <v>#REF!</v>
          </cell>
          <cell r="J846"/>
          <cell r="K846"/>
          <cell r="L846"/>
          <cell r="M846"/>
          <cell r="N846"/>
          <cell r="O846"/>
          <cell r="P846"/>
          <cell r="Q846"/>
          <cell r="R846"/>
          <cell r="S846"/>
        </row>
        <row r="847">
          <cell r="G847">
            <v>0</v>
          </cell>
          <cell r="H847">
            <v>0</v>
          </cell>
          <cell r="I847" t="e">
            <v>#REF!</v>
          </cell>
          <cell r="J847"/>
          <cell r="K847"/>
          <cell r="L847"/>
          <cell r="M847"/>
          <cell r="N847"/>
          <cell r="O847"/>
          <cell r="P847"/>
          <cell r="Q847"/>
          <cell r="R847"/>
          <cell r="S847"/>
        </row>
        <row r="848">
          <cell r="G848">
            <v>0</v>
          </cell>
          <cell r="H848">
            <v>0</v>
          </cell>
          <cell r="I848" t="e">
            <v>#REF!</v>
          </cell>
          <cell r="J848"/>
          <cell r="K848"/>
          <cell r="L848"/>
          <cell r="M848"/>
          <cell r="N848"/>
          <cell r="O848"/>
          <cell r="P848"/>
          <cell r="Q848"/>
          <cell r="R848"/>
          <cell r="S848"/>
        </row>
        <row r="849">
          <cell r="G849">
            <v>0</v>
          </cell>
          <cell r="H849">
            <v>0</v>
          </cell>
          <cell r="I849" t="e">
            <v>#REF!</v>
          </cell>
          <cell r="J849"/>
          <cell r="K849"/>
          <cell r="L849"/>
          <cell r="M849"/>
          <cell r="N849"/>
          <cell r="O849"/>
          <cell r="P849"/>
          <cell r="Q849"/>
          <cell r="R849"/>
          <cell r="S849"/>
        </row>
        <row r="850">
          <cell r="G850">
            <v>0</v>
          </cell>
          <cell r="H850">
            <v>0</v>
          </cell>
          <cell r="I850" t="e">
            <v>#REF!</v>
          </cell>
          <cell r="J850"/>
          <cell r="K850"/>
          <cell r="L850"/>
          <cell r="M850"/>
          <cell r="N850"/>
          <cell r="O850"/>
          <cell r="P850"/>
          <cell r="Q850"/>
          <cell r="R850"/>
          <cell r="S850"/>
        </row>
        <row r="851">
          <cell r="G851">
            <v>0</v>
          </cell>
          <cell r="H851">
            <v>0</v>
          </cell>
          <cell r="I851" t="e">
            <v>#REF!</v>
          </cell>
          <cell r="J851"/>
          <cell r="K851"/>
          <cell r="L851"/>
          <cell r="M851"/>
          <cell r="N851"/>
          <cell r="O851"/>
          <cell r="P851"/>
          <cell r="Q851"/>
          <cell r="R851"/>
          <cell r="S851"/>
        </row>
        <row r="852">
          <cell r="G852">
            <v>0</v>
          </cell>
          <cell r="H852">
            <v>0</v>
          </cell>
          <cell r="I852" t="e">
            <v>#REF!</v>
          </cell>
          <cell r="J852"/>
          <cell r="K852"/>
          <cell r="L852"/>
          <cell r="M852"/>
          <cell r="N852"/>
          <cell r="O852"/>
          <cell r="P852"/>
          <cell r="Q852"/>
          <cell r="R852"/>
          <cell r="S852"/>
        </row>
        <row r="853">
          <cell r="G853">
            <v>0</v>
          </cell>
          <cell r="H853">
            <v>0</v>
          </cell>
          <cell r="I853" t="e">
            <v>#REF!</v>
          </cell>
          <cell r="J853"/>
          <cell r="K853"/>
          <cell r="L853"/>
          <cell r="M853"/>
          <cell r="N853"/>
          <cell r="O853"/>
          <cell r="P853"/>
          <cell r="Q853"/>
          <cell r="R853"/>
          <cell r="S853"/>
        </row>
        <row r="854">
          <cell r="G854">
            <v>0</v>
          </cell>
          <cell r="H854">
            <v>0</v>
          </cell>
          <cell r="I854" t="e">
            <v>#REF!</v>
          </cell>
          <cell r="J854"/>
          <cell r="K854"/>
          <cell r="L854"/>
          <cell r="M854"/>
          <cell r="N854"/>
          <cell r="O854"/>
          <cell r="P854"/>
          <cell r="Q854"/>
          <cell r="R854"/>
          <cell r="S854"/>
        </row>
        <row r="855">
          <cell r="G855">
            <v>0</v>
          </cell>
          <cell r="H855">
            <v>0</v>
          </cell>
          <cell r="I855" t="e">
            <v>#REF!</v>
          </cell>
          <cell r="J855"/>
          <cell r="K855"/>
          <cell r="L855"/>
          <cell r="M855"/>
          <cell r="N855"/>
          <cell r="O855"/>
          <cell r="P855"/>
          <cell r="Q855"/>
          <cell r="R855"/>
          <cell r="S855"/>
        </row>
        <row r="856">
          <cell r="G856">
            <v>0</v>
          </cell>
          <cell r="H856">
            <v>0</v>
          </cell>
          <cell r="I856" t="e">
            <v>#REF!</v>
          </cell>
          <cell r="J856"/>
          <cell r="K856"/>
          <cell r="L856"/>
          <cell r="M856"/>
          <cell r="N856"/>
          <cell r="O856"/>
          <cell r="P856"/>
          <cell r="Q856"/>
          <cell r="R856"/>
          <cell r="S856"/>
        </row>
        <row r="857">
          <cell r="G857">
            <v>0</v>
          </cell>
          <cell r="H857">
            <v>0</v>
          </cell>
          <cell r="I857" t="e">
            <v>#REF!</v>
          </cell>
          <cell r="J857"/>
          <cell r="K857"/>
          <cell r="L857"/>
          <cell r="M857"/>
          <cell r="N857"/>
          <cell r="O857"/>
          <cell r="P857"/>
          <cell r="Q857"/>
          <cell r="R857"/>
          <cell r="S857"/>
        </row>
        <row r="858">
          <cell r="G858">
            <v>0</v>
          </cell>
          <cell r="H858">
            <v>0</v>
          </cell>
          <cell r="I858" t="e">
            <v>#REF!</v>
          </cell>
          <cell r="J858"/>
          <cell r="K858"/>
          <cell r="L858"/>
          <cell r="M858"/>
          <cell r="N858"/>
          <cell r="O858"/>
          <cell r="P858"/>
          <cell r="Q858"/>
          <cell r="R858"/>
          <cell r="S858"/>
        </row>
        <row r="859">
          <cell r="G859">
            <v>0</v>
          </cell>
          <cell r="H859">
            <v>0</v>
          </cell>
          <cell r="I859" t="e">
            <v>#REF!</v>
          </cell>
          <cell r="J859"/>
          <cell r="K859"/>
          <cell r="L859"/>
          <cell r="M859"/>
          <cell r="N859"/>
          <cell r="O859"/>
          <cell r="P859"/>
          <cell r="Q859"/>
          <cell r="R859"/>
          <cell r="S859"/>
        </row>
        <row r="860">
          <cell r="G860">
            <v>0</v>
          </cell>
          <cell r="H860">
            <v>0</v>
          </cell>
          <cell r="I860" t="e">
            <v>#REF!</v>
          </cell>
          <cell r="J860"/>
          <cell r="K860"/>
          <cell r="L860"/>
          <cell r="M860"/>
          <cell r="N860"/>
          <cell r="O860"/>
          <cell r="P860"/>
          <cell r="Q860"/>
          <cell r="R860"/>
          <cell r="S860"/>
        </row>
        <row r="861">
          <cell r="G861">
            <v>0</v>
          </cell>
          <cell r="H861">
            <v>0</v>
          </cell>
          <cell r="I861" t="e">
            <v>#REF!</v>
          </cell>
          <cell r="J861"/>
          <cell r="K861"/>
          <cell r="L861"/>
          <cell r="M861"/>
          <cell r="N861"/>
          <cell r="O861"/>
          <cell r="P861"/>
          <cell r="Q861"/>
          <cell r="R861"/>
          <cell r="S861"/>
        </row>
        <row r="862">
          <cell r="G862">
            <v>0</v>
          </cell>
          <cell r="H862">
            <v>0</v>
          </cell>
          <cell r="I862" t="e">
            <v>#REF!</v>
          </cell>
          <cell r="J862"/>
          <cell r="K862"/>
          <cell r="L862"/>
          <cell r="M862"/>
          <cell r="N862"/>
          <cell r="O862"/>
          <cell r="P862"/>
          <cell r="Q862"/>
          <cell r="R862"/>
          <cell r="S862"/>
        </row>
        <row r="863">
          <cell r="G863">
            <v>0</v>
          </cell>
          <cell r="H863">
            <v>0</v>
          </cell>
          <cell r="I863" t="e">
            <v>#REF!</v>
          </cell>
          <cell r="J863"/>
          <cell r="K863"/>
          <cell r="L863"/>
          <cell r="M863"/>
          <cell r="N863"/>
          <cell r="O863"/>
          <cell r="P863"/>
          <cell r="Q863"/>
          <cell r="R863"/>
          <cell r="S863"/>
        </row>
        <row r="864">
          <cell r="G864">
            <v>0</v>
          </cell>
          <cell r="H864">
            <v>0</v>
          </cell>
          <cell r="I864" t="e">
            <v>#REF!</v>
          </cell>
          <cell r="J864"/>
          <cell r="K864"/>
          <cell r="L864"/>
          <cell r="M864"/>
          <cell r="N864"/>
          <cell r="O864"/>
          <cell r="P864"/>
          <cell r="Q864"/>
          <cell r="R864"/>
          <cell r="S864"/>
        </row>
        <row r="865">
          <cell r="G865">
            <v>0</v>
          </cell>
          <cell r="H865">
            <v>0</v>
          </cell>
          <cell r="I865" t="e">
            <v>#REF!</v>
          </cell>
          <cell r="J865"/>
          <cell r="K865"/>
          <cell r="L865"/>
          <cell r="M865"/>
          <cell r="N865"/>
          <cell r="O865"/>
          <cell r="P865"/>
          <cell r="Q865"/>
          <cell r="R865"/>
          <cell r="S865"/>
        </row>
        <row r="866">
          <cell r="G866">
            <v>0</v>
          </cell>
          <cell r="H866">
            <v>0</v>
          </cell>
          <cell r="I866" t="e">
            <v>#REF!</v>
          </cell>
          <cell r="J866"/>
          <cell r="K866"/>
          <cell r="L866"/>
          <cell r="M866"/>
          <cell r="N866"/>
          <cell r="O866"/>
          <cell r="P866"/>
          <cell r="Q866"/>
          <cell r="R866"/>
          <cell r="S866"/>
        </row>
        <row r="867">
          <cell r="G867">
            <v>0</v>
          </cell>
          <cell r="H867">
            <v>0</v>
          </cell>
          <cell r="I867" t="e">
            <v>#REF!</v>
          </cell>
          <cell r="J867"/>
          <cell r="K867"/>
          <cell r="L867"/>
          <cell r="M867"/>
          <cell r="N867"/>
          <cell r="O867"/>
          <cell r="P867"/>
          <cell r="Q867"/>
          <cell r="R867"/>
          <cell r="S867"/>
        </row>
        <row r="868">
          <cell r="G868">
            <v>0</v>
          </cell>
          <cell r="H868">
            <v>0</v>
          </cell>
          <cell r="I868" t="e">
            <v>#REF!</v>
          </cell>
          <cell r="J868"/>
          <cell r="K868"/>
          <cell r="L868"/>
          <cell r="M868"/>
          <cell r="N868"/>
          <cell r="O868"/>
          <cell r="P868"/>
          <cell r="Q868"/>
          <cell r="R868"/>
          <cell r="S868"/>
        </row>
        <row r="869">
          <cell r="G869">
            <v>0</v>
          </cell>
          <cell r="H869">
            <v>0</v>
          </cell>
          <cell r="I869" t="e">
            <v>#REF!</v>
          </cell>
          <cell r="J869"/>
          <cell r="K869"/>
          <cell r="L869"/>
          <cell r="M869"/>
          <cell r="N869"/>
          <cell r="O869"/>
          <cell r="P869"/>
          <cell r="Q869"/>
          <cell r="R869"/>
          <cell r="S869"/>
        </row>
        <row r="870">
          <cell r="G870">
            <v>0</v>
          </cell>
          <cell r="H870">
            <v>0</v>
          </cell>
          <cell r="I870" t="e">
            <v>#REF!</v>
          </cell>
          <cell r="J870"/>
          <cell r="K870"/>
          <cell r="L870"/>
          <cell r="M870"/>
          <cell r="N870"/>
          <cell r="O870"/>
          <cell r="P870"/>
          <cell r="Q870"/>
          <cell r="R870"/>
          <cell r="S870"/>
        </row>
        <row r="871">
          <cell r="G871">
            <v>0</v>
          </cell>
          <cell r="H871">
            <v>0</v>
          </cell>
          <cell r="I871" t="e">
            <v>#REF!</v>
          </cell>
          <cell r="J871"/>
          <cell r="K871"/>
          <cell r="L871"/>
          <cell r="M871"/>
          <cell r="N871"/>
          <cell r="O871"/>
          <cell r="P871"/>
          <cell r="Q871"/>
          <cell r="R871"/>
          <cell r="S871"/>
        </row>
        <row r="872">
          <cell r="G872">
            <v>0</v>
          </cell>
          <cell r="H872">
            <v>0</v>
          </cell>
          <cell r="I872" t="e">
            <v>#REF!</v>
          </cell>
          <cell r="J872"/>
          <cell r="K872"/>
          <cell r="L872"/>
          <cell r="M872"/>
          <cell r="N872"/>
          <cell r="O872"/>
          <cell r="P872"/>
          <cell r="Q872"/>
          <cell r="R872"/>
          <cell r="S872"/>
        </row>
        <row r="873">
          <cell r="G873">
            <v>0</v>
          </cell>
          <cell r="H873">
            <v>0</v>
          </cell>
          <cell r="I873" t="e">
            <v>#REF!</v>
          </cell>
          <cell r="J873"/>
          <cell r="K873"/>
          <cell r="L873"/>
          <cell r="M873"/>
          <cell r="N873"/>
          <cell r="O873"/>
          <cell r="P873"/>
          <cell r="Q873"/>
          <cell r="R873"/>
          <cell r="S873"/>
        </row>
        <row r="874">
          <cell r="G874">
            <v>0</v>
          </cell>
          <cell r="H874">
            <v>0</v>
          </cell>
          <cell r="I874" t="e">
            <v>#REF!</v>
          </cell>
          <cell r="J874"/>
          <cell r="K874"/>
          <cell r="L874"/>
          <cell r="M874"/>
          <cell r="N874"/>
          <cell r="O874"/>
          <cell r="P874"/>
          <cell r="Q874"/>
          <cell r="R874"/>
          <cell r="S874"/>
        </row>
        <row r="875">
          <cell r="G875">
            <v>0</v>
          </cell>
          <cell r="H875">
            <v>0</v>
          </cell>
          <cell r="I875" t="e">
            <v>#REF!</v>
          </cell>
          <cell r="J875"/>
          <cell r="K875"/>
          <cell r="L875"/>
          <cell r="M875"/>
          <cell r="N875"/>
          <cell r="O875"/>
          <cell r="P875"/>
          <cell r="Q875"/>
          <cell r="R875"/>
          <cell r="S875"/>
        </row>
        <row r="876">
          <cell r="G876">
            <v>0</v>
          </cell>
          <cell r="H876">
            <v>0</v>
          </cell>
          <cell r="I876" t="e">
            <v>#REF!</v>
          </cell>
          <cell r="J876"/>
          <cell r="K876"/>
          <cell r="L876"/>
          <cell r="M876"/>
          <cell r="N876"/>
          <cell r="O876"/>
          <cell r="P876"/>
          <cell r="Q876"/>
          <cell r="R876"/>
          <cell r="S876"/>
        </row>
        <row r="877">
          <cell r="G877">
            <v>0</v>
          </cell>
          <cell r="H877">
            <v>0</v>
          </cell>
          <cell r="I877" t="e">
            <v>#REF!</v>
          </cell>
          <cell r="J877"/>
          <cell r="K877"/>
          <cell r="L877"/>
          <cell r="M877"/>
          <cell r="N877"/>
          <cell r="O877"/>
          <cell r="P877"/>
          <cell r="Q877"/>
          <cell r="R877"/>
          <cell r="S877"/>
        </row>
        <row r="878">
          <cell r="G878">
            <v>0</v>
          </cell>
          <cell r="H878">
            <v>0</v>
          </cell>
          <cell r="I878" t="e">
            <v>#REF!</v>
          </cell>
          <cell r="J878"/>
          <cell r="K878"/>
          <cell r="L878"/>
          <cell r="M878"/>
          <cell r="N878"/>
          <cell r="O878"/>
          <cell r="P878"/>
          <cell r="Q878"/>
          <cell r="R878"/>
          <cell r="S878"/>
        </row>
        <row r="879">
          <cell r="G879">
            <v>0</v>
          </cell>
          <cell r="H879">
            <v>0</v>
          </cell>
          <cell r="I879" t="e">
            <v>#REF!</v>
          </cell>
          <cell r="J879"/>
          <cell r="K879"/>
          <cell r="L879"/>
          <cell r="M879"/>
          <cell r="N879"/>
          <cell r="O879"/>
          <cell r="P879"/>
          <cell r="Q879"/>
          <cell r="R879"/>
          <cell r="S879"/>
        </row>
        <row r="880">
          <cell r="G880">
            <v>0</v>
          </cell>
          <cell r="H880">
            <v>0</v>
          </cell>
          <cell r="I880" t="e">
            <v>#REF!</v>
          </cell>
          <cell r="J880"/>
          <cell r="K880"/>
          <cell r="L880"/>
          <cell r="M880"/>
          <cell r="N880"/>
          <cell r="O880"/>
          <cell r="P880"/>
          <cell r="Q880"/>
          <cell r="R880"/>
          <cell r="S880"/>
        </row>
        <row r="881">
          <cell r="G881">
            <v>0</v>
          </cell>
          <cell r="H881">
            <v>0</v>
          </cell>
          <cell r="I881" t="e">
            <v>#REF!</v>
          </cell>
          <cell r="J881"/>
          <cell r="K881"/>
          <cell r="L881"/>
          <cell r="M881"/>
          <cell r="N881"/>
          <cell r="O881"/>
          <cell r="P881"/>
          <cell r="Q881"/>
          <cell r="R881"/>
          <cell r="S881"/>
        </row>
        <row r="882">
          <cell r="G882">
            <v>0</v>
          </cell>
          <cell r="H882">
            <v>0</v>
          </cell>
          <cell r="I882" t="e">
            <v>#REF!</v>
          </cell>
          <cell r="J882"/>
          <cell r="K882"/>
          <cell r="L882"/>
          <cell r="M882"/>
          <cell r="N882"/>
          <cell r="O882"/>
          <cell r="P882"/>
          <cell r="Q882"/>
          <cell r="R882"/>
          <cell r="S882"/>
        </row>
        <row r="883">
          <cell r="G883">
            <v>0</v>
          </cell>
          <cell r="H883">
            <v>0</v>
          </cell>
          <cell r="I883" t="e">
            <v>#REF!</v>
          </cell>
          <cell r="J883"/>
          <cell r="K883"/>
          <cell r="L883"/>
          <cell r="M883"/>
          <cell r="N883"/>
          <cell r="O883"/>
          <cell r="P883"/>
          <cell r="Q883"/>
          <cell r="R883"/>
          <cell r="S883"/>
        </row>
        <row r="884">
          <cell r="G884">
            <v>0</v>
          </cell>
          <cell r="H884">
            <v>0</v>
          </cell>
          <cell r="I884" t="e">
            <v>#REF!</v>
          </cell>
          <cell r="J884"/>
          <cell r="K884"/>
          <cell r="L884"/>
          <cell r="M884"/>
          <cell r="N884"/>
          <cell r="O884"/>
          <cell r="P884"/>
          <cell r="Q884"/>
          <cell r="R884"/>
          <cell r="S884"/>
        </row>
        <row r="885">
          <cell r="G885">
            <v>0</v>
          </cell>
          <cell r="H885">
            <v>0</v>
          </cell>
          <cell r="I885" t="e">
            <v>#REF!</v>
          </cell>
          <cell r="J885"/>
          <cell r="K885"/>
          <cell r="L885"/>
          <cell r="M885"/>
          <cell r="N885"/>
          <cell r="O885"/>
          <cell r="P885"/>
          <cell r="Q885"/>
          <cell r="R885"/>
          <cell r="S885"/>
        </row>
        <row r="886">
          <cell r="G886">
            <v>0</v>
          </cell>
          <cell r="H886">
            <v>0</v>
          </cell>
          <cell r="I886" t="e">
            <v>#REF!</v>
          </cell>
          <cell r="J886"/>
          <cell r="K886"/>
          <cell r="L886"/>
          <cell r="M886"/>
          <cell r="N886"/>
          <cell r="O886"/>
          <cell r="P886"/>
          <cell r="Q886"/>
          <cell r="R886"/>
          <cell r="S886"/>
        </row>
        <row r="887">
          <cell r="G887">
            <v>0</v>
          </cell>
          <cell r="H887">
            <v>0</v>
          </cell>
          <cell r="I887" t="e">
            <v>#REF!</v>
          </cell>
          <cell r="J887"/>
          <cell r="K887"/>
          <cell r="L887"/>
          <cell r="M887"/>
          <cell r="N887"/>
          <cell r="O887"/>
          <cell r="P887"/>
          <cell r="Q887"/>
          <cell r="R887"/>
          <cell r="S887"/>
        </row>
        <row r="888">
          <cell r="G888">
            <v>0</v>
          </cell>
          <cell r="H888">
            <v>0</v>
          </cell>
          <cell r="I888" t="e">
            <v>#REF!</v>
          </cell>
          <cell r="J888"/>
          <cell r="K888"/>
          <cell r="L888"/>
          <cell r="M888"/>
          <cell r="N888"/>
          <cell r="O888"/>
          <cell r="P888"/>
          <cell r="Q888"/>
          <cell r="R888"/>
          <cell r="S888"/>
        </row>
        <row r="889">
          <cell r="G889">
            <v>0</v>
          </cell>
          <cell r="H889">
            <v>0</v>
          </cell>
          <cell r="I889" t="e">
            <v>#REF!</v>
          </cell>
          <cell r="J889"/>
          <cell r="K889"/>
          <cell r="L889"/>
          <cell r="M889"/>
          <cell r="N889"/>
          <cell r="O889"/>
          <cell r="P889"/>
          <cell r="Q889"/>
          <cell r="R889"/>
          <cell r="S889"/>
        </row>
        <row r="890">
          <cell r="G890">
            <v>0</v>
          </cell>
          <cell r="H890">
            <v>0</v>
          </cell>
          <cell r="I890" t="e">
            <v>#REF!</v>
          </cell>
          <cell r="J890"/>
          <cell r="K890"/>
          <cell r="L890"/>
          <cell r="M890"/>
          <cell r="N890"/>
          <cell r="O890"/>
          <cell r="P890"/>
          <cell r="Q890"/>
          <cell r="R890"/>
          <cell r="S890"/>
        </row>
        <row r="891">
          <cell r="G891">
            <v>0</v>
          </cell>
          <cell r="H891">
            <v>0</v>
          </cell>
          <cell r="I891" t="e">
            <v>#REF!</v>
          </cell>
          <cell r="J891"/>
          <cell r="K891"/>
          <cell r="L891"/>
          <cell r="M891"/>
          <cell r="N891"/>
          <cell r="O891"/>
          <cell r="P891"/>
          <cell r="Q891"/>
          <cell r="R891"/>
          <cell r="S891"/>
        </row>
        <row r="892">
          <cell r="G892">
            <v>0</v>
          </cell>
          <cell r="H892">
            <v>0</v>
          </cell>
          <cell r="I892" t="e">
            <v>#REF!</v>
          </cell>
          <cell r="J892"/>
          <cell r="K892"/>
          <cell r="L892"/>
          <cell r="M892"/>
          <cell r="N892"/>
          <cell r="O892"/>
          <cell r="P892"/>
          <cell r="Q892"/>
          <cell r="R892"/>
          <cell r="S892"/>
        </row>
        <row r="893">
          <cell r="G893">
            <v>0</v>
          </cell>
          <cell r="H893">
            <v>0</v>
          </cell>
          <cell r="I893" t="e">
            <v>#REF!</v>
          </cell>
          <cell r="J893"/>
          <cell r="K893"/>
          <cell r="L893"/>
          <cell r="M893"/>
          <cell r="N893"/>
          <cell r="O893"/>
          <cell r="P893"/>
          <cell r="Q893"/>
          <cell r="R893"/>
          <cell r="S893"/>
        </row>
        <row r="894">
          <cell r="G894">
            <v>0</v>
          </cell>
          <cell r="H894">
            <v>0</v>
          </cell>
          <cell r="I894" t="e">
            <v>#REF!</v>
          </cell>
          <cell r="J894"/>
          <cell r="K894"/>
          <cell r="L894"/>
          <cell r="M894"/>
          <cell r="N894"/>
          <cell r="O894"/>
          <cell r="P894"/>
          <cell r="Q894"/>
          <cell r="R894"/>
          <cell r="S894"/>
        </row>
        <row r="895">
          <cell r="G895">
            <v>0</v>
          </cell>
          <cell r="H895">
            <v>0</v>
          </cell>
          <cell r="I895" t="e">
            <v>#REF!</v>
          </cell>
          <cell r="J895"/>
          <cell r="K895"/>
          <cell r="L895"/>
          <cell r="M895"/>
          <cell r="N895"/>
          <cell r="O895"/>
          <cell r="P895"/>
          <cell r="Q895"/>
          <cell r="R895"/>
          <cell r="S895"/>
        </row>
        <row r="896">
          <cell r="G896">
            <v>0</v>
          </cell>
          <cell r="H896">
            <v>0</v>
          </cell>
          <cell r="I896" t="e">
            <v>#REF!</v>
          </cell>
          <cell r="J896"/>
          <cell r="K896"/>
          <cell r="L896"/>
          <cell r="M896"/>
          <cell r="N896"/>
          <cell r="O896"/>
          <cell r="P896"/>
          <cell r="Q896"/>
          <cell r="R896"/>
          <cell r="S896"/>
        </row>
        <row r="897">
          <cell r="G897">
            <v>0</v>
          </cell>
          <cell r="H897">
            <v>0</v>
          </cell>
          <cell r="I897" t="e">
            <v>#REF!</v>
          </cell>
          <cell r="J897"/>
          <cell r="K897"/>
          <cell r="L897"/>
          <cell r="M897"/>
          <cell r="N897"/>
          <cell r="O897"/>
          <cell r="P897"/>
          <cell r="Q897"/>
          <cell r="R897"/>
          <cell r="S897"/>
        </row>
        <row r="898">
          <cell r="G898">
            <v>0</v>
          </cell>
          <cell r="H898">
            <v>0</v>
          </cell>
          <cell r="I898" t="e">
            <v>#REF!</v>
          </cell>
          <cell r="J898"/>
          <cell r="K898"/>
          <cell r="L898"/>
          <cell r="M898"/>
          <cell r="N898"/>
          <cell r="O898"/>
          <cell r="P898"/>
          <cell r="Q898"/>
          <cell r="R898"/>
          <cell r="S898"/>
        </row>
        <row r="899">
          <cell r="G899">
            <v>0</v>
          </cell>
          <cell r="H899">
            <v>0</v>
          </cell>
          <cell r="I899" t="e">
            <v>#REF!</v>
          </cell>
          <cell r="J899"/>
          <cell r="K899"/>
          <cell r="L899"/>
          <cell r="M899"/>
          <cell r="N899"/>
          <cell r="O899"/>
          <cell r="P899"/>
          <cell r="Q899"/>
          <cell r="R899"/>
          <cell r="S899"/>
        </row>
        <row r="900">
          <cell r="G900">
            <v>0</v>
          </cell>
          <cell r="H900">
            <v>0</v>
          </cell>
          <cell r="I900" t="e">
            <v>#REF!</v>
          </cell>
          <cell r="J900"/>
          <cell r="K900"/>
          <cell r="L900"/>
          <cell r="M900"/>
          <cell r="N900"/>
          <cell r="O900"/>
          <cell r="P900"/>
          <cell r="Q900"/>
          <cell r="R900"/>
          <cell r="S900"/>
        </row>
        <row r="901">
          <cell r="G901">
            <v>0</v>
          </cell>
          <cell r="H901">
            <v>0</v>
          </cell>
          <cell r="I901" t="e">
            <v>#REF!</v>
          </cell>
          <cell r="J901"/>
          <cell r="K901"/>
          <cell r="L901"/>
          <cell r="M901"/>
          <cell r="N901"/>
          <cell r="O901"/>
          <cell r="P901"/>
          <cell r="Q901"/>
          <cell r="R901"/>
          <cell r="S901"/>
        </row>
        <row r="902">
          <cell r="G902">
            <v>0</v>
          </cell>
          <cell r="H902">
            <v>0</v>
          </cell>
          <cell r="I902" t="e">
            <v>#REF!</v>
          </cell>
          <cell r="J902"/>
          <cell r="K902"/>
          <cell r="L902"/>
          <cell r="M902"/>
          <cell r="N902"/>
          <cell r="O902"/>
          <cell r="P902"/>
          <cell r="Q902"/>
          <cell r="R902"/>
          <cell r="S902"/>
        </row>
        <row r="903">
          <cell r="G903">
            <v>0</v>
          </cell>
          <cell r="H903">
            <v>0</v>
          </cell>
          <cell r="I903" t="e">
            <v>#REF!</v>
          </cell>
          <cell r="J903"/>
          <cell r="K903"/>
          <cell r="L903"/>
          <cell r="M903"/>
          <cell r="N903"/>
          <cell r="O903"/>
          <cell r="P903"/>
          <cell r="Q903"/>
          <cell r="R903"/>
          <cell r="S903"/>
        </row>
        <row r="904">
          <cell r="G904">
            <v>0</v>
          </cell>
          <cell r="H904">
            <v>0</v>
          </cell>
          <cell r="I904" t="e">
            <v>#REF!</v>
          </cell>
          <cell r="J904"/>
          <cell r="K904"/>
          <cell r="L904"/>
          <cell r="M904"/>
          <cell r="N904"/>
          <cell r="O904"/>
          <cell r="P904"/>
          <cell r="Q904"/>
          <cell r="R904"/>
          <cell r="S904"/>
        </row>
        <row r="905">
          <cell r="G905">
            <v>0</v>
          </cell>
          <cell r="H905">
            <v>0</v>
          </cell>
          <cell r="I905" t="e">
            <v>#REF!</v>
          </cell>
          <cell r="J905"/>
          <cell r="K905"/>
          <cell r="L905"/>
          <cell r="M905"/>
          <cell r="N905"/>
          <cell r="O905"/>
          <cell r="P905"/>
          <cell r="Q905"/>
          <cell r="R905"/>
          <cell r="S905"/>
        </row>
        <row r="906">
          <cell r="G906">
            <v>0</v>
          </cell>
          <cell r="H906">
            <v>0</v>
          </cell>
          <cell r="I906" t="e">
            <v>#REF!</v>
          </cell>
          <cell r="J906"/>
          <cell r="K906"/>
          <cell r="L906"/>
          <cell r="M906"/>
          <cell r="N906"/>
          <cell r="O906"/>
          <cell r="P906"/>
          <cell r="Q906"/>
          <cell r="R906"/>
          <cell r="S906"/>
        </row>
        <row r="907">
          <cell r="G907">
            <v>0</v>
          </cell>
          <cell r="H907">
            <v>0</v>
          </cell>
          <cell r="I907" t="e">
            <v>#REF!</v>
          </cell>
          <cell r="J907"/>
          <cell r="K907"/>
          <cell r="L907"/>
          <cell r="M907"/>
          <cell r="N907"/>
          <cell r="O907"/>
          <cell r="P907"/>
          <cell r="Q907"/>
          <cell r="R907"/>
          <cell r="S907"/>
        </row>
        <row r="908">
          <cell r="G908">
            <v>0</v>
          </cell>
          <cell r="H908">
            <v>0</v>
          </cell>
          <cell r="I908" t="e">
            <v>#REF!</v>
          </cell>
          <cell r="J908"/>
          <cell r="K908"/>
          <cell r="L908"/>
          <cell r="M908"/>
          <cell r="N908"/>
          <cell r="O908"/>
          <cell r="P908"/>
          <cell r="Q908"/>
          <cell r="R908"/>
          <cell r="S908"/>
        </row>
        <row r="909">
          <cell r="G909">
            <v>0</v>
          </cell>
          <cell r="H909">
            <v>0</v>
          </cell>
          <cell r="I909" t="e">
            <v>#REF!</v>
          </cell>
          <cell r="J909"/>
          <cell r="K909"/>
          <cell r="L909"/>
          <cell r="M909"/>
          <cell r="N909"/>
          <cell r="O909"/>
          <cell r="P909"/>
          <cell r="Q909"/>
          <cell r="R909"/>
          <cell r="S909"/>
        </row>
        <row r="910">
          <cell r="G910">
            <v>0</v>
          </cell>
          <cell r="H910">
            <v>0</v>
          </cell>
          <cell r="I910" t="e">
            <v>#REF!</v>
          </cell>
          <cell r="J910"/>
          <cell r="K910"/>
          <cell r="L910"/>
          <cell r="M910"/>
          <cell r="N910"/>
          <cell r="O910"/>
          <cell r="P910"/>
          <cell r="Q910"/>
          <cell r="R910"/>
          <cell r="S910"/>
        </row>
        <row r="911">
          <cell r="G911">
            <v>0</v>
          </cell>
          <cell r="H911">
            <v>0</v>
          </cell>
          <cell r="I911" t="e">
            <v>#REF!</v>
          </cell>
          <cell r="J911"/>
          <cell r="K911"/>
          <cell r="L911"/>
          <cell r="M911"/>
          <cell r="N911"/>
          <cell r="O911"/>
          <cell r="P911"/>
          <cell r="Q911"/>
          <cell r="R911"/>
          <cell r="S911"/>
        </row>
        <row r="912">
          <cell r="G912">
            <v>0</v>
          </cell>
          <cell r="H912">
            <v>0</v>
          </cell>
          <cell r="I912" t="e">
            <v>#REF!</v>
          </cell>
          <cell r="J912"/>
          <cell r="K912"/>
          <cell r="L912"/>
          <cell r="M912"/>
          <cell r="N912"/>
          <cell r="O912"/>
          <cell r="P912"/>
          <cell r="Q912"/>
          <cell r="R912"/>
          <cell r="S912"/>
        </row>
        <row r="913">
          <cell r="G913">
            <v>0</v>
          </cell>
          <cell r="H913">
            <v>0</v>
          </cell>
          <cell r="I913" t="e">
            <v>#REF!</v>
          </cell>
          <cell r="J913"/>
          <cell r="K913"/>
          <cell r="L913"/>
          <cell r="M913"/>
          <cell r="N913"/>
          <cell r="O913"/>
          <cell r="P913"/>
          <cell r="Q913"/>
          <cell r="R913"/>
          <cell r="S913"/>
        </row>
        <row r="914">
          <cell r="G914">
            <v>0</v>
          </cell>
          <cell r="H914">
            <v>0</v>
          </cell>
          <cell r="I914" t="e">
            <v>#REF!</v>
          </cell>
          <cell r="J914"/>
          <cell r="K914"/>
          <cell r="L914"/>
          <cell r="M914"/>
          <cell r="N914"/>
          <cell r="O914"/>
          <cell r="P914"/>
          <cell r="Q914"/>
          <cell r="R914"/>
          <cell r="S914"/>
        </row>
        <row r="915">
          <cell r="G915">
            <v>0</v>
          </cell>
          <cell r="H915">
            <v>0</v>
          </cell>
          <cell r="I915" t="e">
            <v>#REF!</v>
          </cell>
          <cell r="J915"/>
          <cell r="K915"/>
          <cell r="L915"/>
          <cell r="M915"/>
          <cell r="N915"/>
          <cell r="O915"/>
          <cell r="P915"/>
          <cell r="Q915"/>
          <cell r="R915"/>
          <cell r="S915"/>
        </row>
        <row r="916">
          <cell r="G916">
            <v>0</v>
          </cell>
          <cell r="H916">
            <v>0</v>
          </cell>
          <cell r="I916" t="e">
            <v>#REF!</v>
          </cell>
          <cell r="J916"/>
          <cell r="K916"/>
          <cell r="L916"/>
          <cell r="M916"/>
          <cell r="N916"/>
          <cell r="O916"/>
          <cell r="P916"/>
          <cell r="Q916"/>
          <cell r="R916"/>
          <cell r="S916"/>
        </row>
        <row r="917">
          <cell r="G917">
            <v>0</v>
          </cell>
          <cell r="H917">
            <v>0</v>
          </cell>
          <cell r="I917" t="e">
            <v>#REF!</v>
          </cell>
          <cell r="J917"/>
          <cell r="K917"/>
          <cell r="L917"/>
          <cell r="M917"/>
          <cell r="N917"/>
          <cell r="O917"/>
          <cell r="P917"/>
          <cell r="Q917"/>
          <cell r="R917"/>
          <cell r="S917"/>
        </row>
        <row r="918">
          <cell r="G918">
            <v>0</v>
          </cell>
          <cell r="H918">
            <v>0</v>
          </cell>
          <cell r="I918" t="e">
            <v>#REF!</v>
          </cell>
          <cell r="J918"/>
          <cell r="K918"/>
          <cell r="L918"/>
          <cell r="M918"/>
          <cell r="N918"/>
          <cell r="O918"/>
          <cell r="P918"/>
          <cell r="Q918"/>
          <cell r="R918"/>
          <cell r="S918"/>
        </row>
        <row r="919">
          <cell r="G919">
            <v>0</v>
          </cell>
          <cell r="H919">
            <v>0</v>
          </cell>
          <cell r="I919" t="e">
            <v>#REF!</v>
          </cell>
          <cell r="J919"/>
          <cell r="K919"/>
          <cell r="L919"/>
          <cell r="M919"/>
          <cell r="N919"/>
          <cell r="O919"/>
          <cell r="P919"/>
          <cell r="Q919"/>
          <cell r="R919"/>
          <cell r="S919"/>
        </row>
        <row r="920">
          <cell r="G920">
            <v>0</v>
          </cell>
          <cell r="H920">
            <v>0</v>
          </cell>
          <cell r="I920" t="e">
            <v>#REF!</v>
          </cell>
          <cell r="J920"/>
          <cell r="K920"/>
          <cell r="L920"/>
          <cell r="M920"/>
          <cell r="N920"/>
          <cell r="O920"/>
          <cell r="P920"/>
          <cell r="Q920"/>
          <cell r="R920"/>
          <cell r="S920"/>
        </row>
        <row r="921">
          <cell r="G921">
            <v>0</v>
          </cell>
          <cell r="H921">
            <v>0</v>
          </cell>
          <cell r="I921" t="e">
            <v>#REF!</v>
          </cell>
          <cell r="J921"/>
          <cell r="K921"/>
          <cell r="L921"/>
          <cell r="M921"/>
          <cell r="N921"/>
          <cell r="O921"/>
          <cell r="P921"/>
          <cell r="Q921"/>
          <cell r="R921"/>
          <cell r="S921"/>
        </row>
        <row r="922">
          <cell r="G922">
            <v>0</v>
          </cell>
          <cell r="H922">
            <v>0</v>
          </cell>
          <cell r="I922" t="e">
            <v>#REF!</v>
          </cell>
          <cell r="J922"/>
          <cell r="K922"/>
          <cell r="L922"/>
          <cell r="M922"/>
          <cell r="N922"/>
          <cell r="O922"/>
          <cell r="P922"/>
          <cell r="Q922"/>
          <cell r="R922"/>
          <cell r="S922"/>
        </row>
        <row r="923">
          <cell r="G923">
            <v>0</v>
          </cell>
          <cell r="H923">
            <v>0</v>
          </cell>
          <cell r="I923" t="e">
            <v>#REF!</v>
          </cell>
          <cell r="J923"/>
          <cell r="K923"/>
          <cell r="L923"/>
          <cell r="M923"/>
          <cell r="N923"/>
          <cell r="O923"/>
          <cell r="P923"/>
          <cell r="Q923"/>
          <cell r="R923"/>
          <cell r="S923"/>
        </row>
        <row r="924">
          <cell r="G924">
            <v>0</v>
          </cell>
          <cell r="H924">
            <v>0</v>
          </cell>
          <cell r="I924" t="e">
            <v>#REF!</v>
          </cell>
          <cell r="J924"/>
          <cell r="K924"/>
          <cell r="L924"/>
          <cell r="M924"/>
          <cell r="N924"/>
          <cell r="O924"/>
          <cell r="P924"/>
          <cell r="Q924"/>
          <cell r="R924"/>
          <cell r="S924"/>
        </row>
        <row r="925">
          <cell r="G925">
            <v>0</v>
          </cell>
          <cell r="H925">
            <v>0</v>
          </cell>
          <cell r="I925" t="e">
            <v>#REF!</v>
          </cell>
          <cell r="J925"/>
          <cell r="K925"/>
          <cell r="L925"/>
          <cell r="M925"/>
          <cell r="N925"/>
          <cell r="O925"/>
          <cell r="P925"/>
          <cell r="Q925"/>
          <cell r="R925"/>
          <cell r="S925"/>
        </row>
        <row r="926">
          <cell r="G926">
            <v>0</v>
          </cell>
          <cell r="H926">
            <v>0</v>
          </cell>
          <cell r="I926" t="e">
            <v>#REF!</v>
          </cell>
          <cell r="J926"/>
          <cell r="K926"/>
          <cell r="L926"/>
          <cell r="M926"/>
          <cell r="N926"/>
          <cell r="O926"/>
          <cell r="P926"/>
          <cell r="Q926"/>
          <cell r="R926"/>
          <cell r="S926"/>
        </row>
        <row r="927">
          <cell r="G927">
            <v>0</v>
          </cell>
          <cell r="H927">
            <v>0</v>
          </cell>
          <cell r="I927" t="e">
            <v>#REF!</v>
          </cell>
          <cell r="J927"/>
          <cell r="K927"/>
          <cell r="L927"/>
          <cell r="M927"/>
          <cell r="N927"/>
          <cell r="O927"/>
          <cell r="P927"/>
          <cell r="Q927"/>
          <cell r="R927"/>
          <cell r="S927"/>
        </row>
        <row r="928">
          <cell r="G928">
            <v>0</v>
          </cell>
          <cell r="H928">
            <v>0</v>
          </cell>
          <cell r="I928" t="e">
            <v>#REF!</v>
          </cell>
          <cell r="J928"/>
          <cell r="K928"/>
          <cell r="L928"/>
          <cell r="M928"/>
          <cell r="N928"/>
          <cell r="O928"/>
          <cell r="P928"/>
          <cell r="Q928"/>
          <cell r="R928"/>
          <cell r="S928"/>
        </row>
        <row r="929">
          <cell r="G929">
            <v>0</v>
          </cell>
          <cell r="H929">
            <v>0</v>
          </cell>
          <cell r="I929" t="e">
            <v>#REF!</v>
          </cell>
          <cell r="J929"/>
          <cell r="K929"/>
          <cell r="L929"/>
          <cell r="M929"/>
          <cell r="N929"/>
          <cell r="O929"/>
          <cell r="P929"/>
          <cell r="Q929"/>
          <cell r="R929"/>
          <cell r="S929"/>
        </row>
        <row r="930">
          <cell r="G930">
            <v>0</v>
          </cell>
          <cell r="H930">
            <v>0</v>
          </cell>
          <cell r="I930" t="e">
            <v>#REF!</v>
          </cell>
          <cell r="J930"/>
          <cell r="K930"/>
          <cell r="L930"/>
          <cell r="M930"/>
          <cell r="N930"/>
          <cell r="O930"/>
          <cell r="P930"/>
          <cell r="Q930"/>
          <cell r="R930"/>
          <cell r="S930"/>
        </row>
        <row r="931">
          <cell r="G931">
            <v>0</v>
          </cell>
          <cell r="H931">
            <v>0</v>
          </cell>
          <cell r="I931" t="e">
            <v>#REF!</v>
          </cell>
          <cell r="J931"/>
          <cell r="K931"/>
          <cell r="L931"/>
          <cell r="M931"/>
          <cell r="N931"/>
          <cell r="O931"/>
          <cell r="P931"/>
          <cell r="Q931"/>
          <cell r="R931"/>
          <cell r="S931"/>
        </row>
        <row r="932">
          <cell r="G932">
            <v>0</v>
          </cell>
          <cell r="H932">
            <v>0</v>
          </cell>
          <cell r="I932" t="e">
            <v>#REF!</v>
          </cell>
          <cell r="J932"/>
          <cell r="K932"/>
          <cell r="L932"/>
          <cell r="M932"/>
          <cell r="N932"/>
          <cell r="O932"/>
          <cell r="P932"/>
          <cell r="Q932"/>
          <cell r="R932"/>
          <cell r="S932"/>
        </row>
        <row r="933">
          <cell r="G933">
            <v>0</v>
          </cell>
          <cell r="H933">
            <v>0</v>
          </cell>
          <cell r="I933" t="e">
            <v>#REF!</v>
          </cell>
          <cell r="J933"/>
          <cell r="K933"/>
          <cell r="L933"/>
          <cell r="M933"/>
          <cell r="N933"/>
          <cell r="O933"/>
          <cell r="P933"/>
          <cell r="Q933"/>
          <cell r="R933"/>
          <cell r="S933"/>
        </row>
        <row r="934">
          <cell r="G934">
            <v>0</v>
          </cell>
          <cell r="H934">
            <v>0</v>
          </cell>
          <cell r="I934" t="e">
            <v>#REF!</v>
          </cell>
          <cell r="J934"/>
          <cell r="K934"/>
          <cell r="L934"/>
          <cell r="M934"/>
          <cell r="N934"/>
          <cell r="O934"/>
          <cell r="P934"/>
          <cell r="Q934"/>
          <cell r="R934"/>
          <cell r="S934"/>
        </row>
        <row r="935">
          <cell r="G935">
            <v>0</v>
          </cell>
          <cell r="H935">
            <v>0</v>
          </cell>
          <cell r="I935" t="e">
            <v>#REF!</v>
          </cell>
          <cell r="J935"/>
          <cell r="K935"/>
          <cell r="L935"/>
          <cell r="M935"/>
          <cell r="N935"/>
          <cell r="O935"/>
          <cell r="P935"/>
          <cell r="Q935"/>
          <cell r="R935"/>
          <cell r="S935"/>
        </row>
        <row r="936">
          <cell r="G936">
            <v>0</v>
          </cell>
          <cell r="H936">
            <v>0</v>
          </cell>
          <cell r="I936" t="e">
            <v>#REF!</v>
          </cell>
          <cell r="J936"/>
          <cell r="K936"/>
          <cell r="L936"/>
          <cell r="M936"/>
          <cell r="N936"/>
          <cell r="O936"/>
          <cell r="P936"/>
          <cell r="Q936"/>
          <cell r="R936"/>
          <cell r="S936"/>
        </row>
        <row r="937">
          <cell r="G937">
            <v>0</v>
          </cell>
          <cell r="H937">
            <v>0</v>
          </cell>
          <cell r="I937" t="e">
            <v>#REF!</v>
          </cell>
          <cell r="J937"/>
          <cell r="K937"/>
          <cell r="L937"/>
          <cell r="M937"/>
          <cell r="N937"/>
          <cell r="O937"/>
          <cell r="P937"/>
          <cell r="Q937"/>
          <cell r="R937"/>
          <cell r="S937"/>
        </row>
        <row r="938">
          <cell r="G938">
            <v>0</v>
          </cell>
          <cell r="H938">
            <v>0</v>
          </cell>
          <cell r="I938" t="e">
            <v>#REF!</v>
          </cell>
          <cell r="J938"/>
          <cell r="K938"/>
          <cell r="L938"/>
          <cell r="M938"/>
          <cell r="N938"/>
          <cell r="O938"/>
          <cell r="P938"/>
          <cell r="Q938"/>
          <cell r="R938"/>
          <cell r="S938"/>
        </row>
        <row r="939">
          <cell r="G939">
            <v>0</v>
          </cell>
          <cell r="H939">
            <v>0</v>
          </cell>
          <cell r="I939" t="e">
            <v>#REF!</v>
          </cell>
          <cell r="J939"/>
          <cell r="K939"/>
          <cell r="L939"/>
          <cell r="M939"/>
          <cell r="N939"/>
          <cell r="O939"/>
          <cell r="P939"/>
          <cell r="Q939"/>
          <cell r="R939"/>
          <cell r="S939"/>
        </row>
        <row r="940">
          <cell r="G940">
            <v>0</v>
          </cell>
          <cell r="H940">
            <v>0</v>
          </cell>
          <cell r="I940" t="e">
            <v>#REF!</v>
          </cell>
          <cell r="J940"/>
          <cell r="K940"/>
          <cell r="L940"/>
          <cell r="M940"/>
          <cell r="N940"/>
          <cell r="O940"/>
          <cell r="P940"/>
          <cell r="Q940"/>
          <cell r="R940"/>
          <cell r="S940"/>
        </row>
        <row r="941">
          <cell r="G941">
            <v>0</v>
          </cell>
          <cell r="H941">
            <v>0</v>
          </cell>
          <cell r="I941" t="e">
            <v>#REF!</v>
          </cell>
          <cell r="J941"/>
          <cell r="K941"/>
          <cell r="L941"/>
          <cell r="M941"/>
          <cell r="N941"/>
          <cell r="O941"/>
          <cell r="P941"/>
          <cell r="Q941"/>
          <cell r="R941"/>
          <cell r="S941"/>
        </row>
        <row r="942">
          <cell r="G942">
            <v>0</v>
          </cell>
          <cell r="H942">
            <v>0</v>
          </cell>
          <cell r="I942" t="e">
            <v>#REF!</v>
          </cell>
          <cell r="J942"/>
          <cell r="K942"/>
          <cell r="L942"/>
          <cell r="M942"/>
          <cell r="N942"/>
          <cell r="O942"/>
          <cell r="P942"/>
          <cell r="Q942"/>
          <cell r="R942"/>
          <cell r="S942"/>
        </row>
        <row r="943">
          <cell r="G943">
            <v>0</v>
          </cell>
          <cell r="H943">
            <v>0</v>
          </cell>
          <cell r="I943" t="e">
            <v>#REF!</v>
          </cell>
          <cell r="J943"/>
          <cell r="K943"/>
          <cell r="L943"/>
          <cell r="M943"/>
          <cell r="N943"/>
          <cell r="O943"/>
          <cell r="P943"/>
          <cell r="Q943"/>
          <cell r="R943"/>
          <cell r="S943"/>
        </row>
        <row r="944">
          <cell r="G944">
            <v>0</v>
          </cell>
          <cell r="H944">
            <v>0</v>
          </cell>
          <cell r="I944" t="e">
            <v>#REF!</v>
          </cell>
          <cell r="J944"/>
          <cell r="K944"/>
          <cell r="L944"/>
          <cell r="M944"/>
          <cell r="N944"/>
          <cell r="O944"/>
          <cell r="P944"/>
          <cell r="Q944"/>
          <cell r="R944"/>
          <cell r="S944"/>
        </row>
        <row r="945">
          <cell r="G945">
            <v>0</v>
          </cell>
          <cell r="H945">
            <v>0</v>
          </cell>
          <cell r="I945" t="e">
            <v>#REF!</v>
          </cell>
          <cell r="J945"/>
          <cell r="K945"/>
          <cell r="L945"/>
          <cell r="M945"/>
          <cell r="N945"/>
          <cell r="O945"/>
          <cell r="P945"/>
          <cell r="Q945"/>
          <cell r="R945"/>
          <cell r="S945"/>
        </row>
        <row r="946">
          <cell r="G946">
            <v>0</v>
          </cell>
          <cell r="H946">
            <v>0</v>
          </cell>
          <cell r="I946" t="e">
            <v>#REF!</v>
          </cell>
          <cell r="J946"/>
          <cell r="K946"/>
          <cell r="L946"/>
          <cell r="M946"/>
          <cell r="N946"/>
          <cell r="O946"/>
          <cell r="P946"/>
          <cell r="Q946"/>
          <cell r="R946"/>
          <cell r="S946"/>
        </row>
        <row r="947">
          <cell r="G947">
            <v>0</v>
          </cell>
          <cell r="H947">
            <v>0</v>
          </cell>
          <cell r="I947" t="e">
            <v>#REF!</v>
          </cell>
          <cell r="J947"/>
          <cell r="K947"/>
          <cell r="L947"/>
          <cell r="M947"/>
          <cell r="N947"/>
          <cell r="O947"/>
          <cell r="P947"/>
          <cell r="Q947"/>
          <cell r="R947"/>
          <cell r="S947"/>
        </row>
        <row r="948">
          <cell r="G948">
            <v>0</v>
          </cell>
          <cell r="H948">
            <v>0</v>
          </cell>
          <cell r="I948" t="e">
            <v>#REF!</v>
          </cell>
          <cell r="J948"/>
          <cell r="K948"/>
          <cell r="L948"/>
          <cell r="M948"/>
          <cell r="N948"/>
          <cell r="O948"/>
          <cell r="P948"/>
          <cell r="Q948"/>
          <cell r="R948"/>
          <cell r="S948"/>
        </row>
        <row r="949">
          <cell r="G949">
            <v>0</v>
          </cell>
          <cell r="H949">
            <v>0</v>
          </cell>
          <cell r="I949" t="e">
            <v>#REF!</v>
          </cell>
          <cell r="J949"/>
          <cell r="K949"/>
          <cell r="L949"/>
          <cell r="M949"/>
          <cell r="N949"/>
          <cell r="O949"/>
          <cell r="P949"/>
          <cell r="Q949"/>
          <cell r="R949"/>
          <cell r="S949"/>
        </row>
        <row r="950">
          <cell r="G950">
            <v>0</v>
          </cell>
          <cell r="H950">
            <v>0</v>
          </cell>
          <cell r="I950" t="e">
            <v>#REF!</v>
          </cell>
          <cell r="J950"/>
          <cell r="K950"/>
          <cell r="L950"/>
          <cell r="M950"/>
          <cell r="N950"/>
          <cell r="O950"/>
          <cell r="P950"/>
          <cell r="Q950"/>
          <cell r="R950"/>
          <cell r="S950"/>
        </row>
        <row r="951">
          <cell r="G951">
            <v>0</v>
          </cell>
          <cell r="H951">
            <v>0</v>
          </cell>
          <cell r="I951" t="e">
            <v>#REF!</v>
          </cell>
          <cell r="J951"/>
          <cell r="K951"/>
          <cell r="L951"/>
          <cell r="M951"/>
          <cell r="N951"/>
          <cell r="O951"/>
          <cell r="P951"/>
          <cell r="Q951"/>
          <cell r="R951"/>
          <cell r="S951"/>
        </row>
        <row r="952">
          <cell r="G952">
            <v>0</v>
          </cell>
          <cell r="H952">
            <v>0</v>
          </cell>
          <cell r="I952" t="e">
            <v>#REF!</v>
          </cell>
          <cell r="J952"/>
          <cell r="K952"/>
          <cell r="L952"/>
          <cell r="M952"/>
          <cell r="N952"/>
          <cell r="O952"/>
          <cell r="P952"/>
          <cell r="Q952"/>
          <cell r="R952"/>
          <cell r="S952"/>
        </row>
        <row r="953">
          <cell r="G953">
            <v>0</v>
          </cell>
          <cell r="H953">
            <v>0</v>
          </cell>
          <cell r="I953" t="e">
            <v>#REF!</v>
          </cell>
          <cell r="J953"/>
          <cell r="K953"/>
          <cell r="L953"/>
          <cell r="M953"/>
          <cell r="N953"/>
          <cell r="O953"/>
          <cell r="P953"/>
          <cell r="Q953"/>
          <cell r="R953"/>
          <cell r="S953"/>
        </row>
        <row r="954">
          <cell r="G954">
            <v>0</v>
          </cell>
          <cell r="H954">
            <v>0</v>
          </cell>
          <cell r="I954" t="e">
            <v>#REF!</v>
          </cell>
          <cell r="J954"/>
          <cell r="K954"/>
          <cell r="L954"/>
          <cell r="M954"/>
          <cell r="N954"/>
          <cell r="O954"/>
          <cell r="P954"/>
          <cell r="Q954"/>
          <cell r="R954"/>
          <cell r="S954"/>
        </row>
        <row r="955">
          <cell r="G955">
            <v>0</v>
          </cell>
          <cell r="H955">
            <v>0</v>
          </cell>
          <cell r="I955" t="e">
            <v>#REF!</v>
          </cell>
          <cell r="J955"/>
          <cell r="K955"/>
          <cell r="L955"/>
          <cell r="M955"/>
          <cell r="N955"/>
          <cell r="O955"/>
          <cell r="P955"/>
          <cell r="Q955"/>
          <cell r="R955"/>
          <cell r="S955"/>
        </row>
        <row r="956">
          <cell r="G956">
            <v>0</v>
          </cell>
          <cell r="H956">
            <v>0</v>
          </cell>
          <cell r="I956" t="e">
            <v>#REF!</v>
          </cell>
          <cell r="J956"/>
          <cell r="K956"/>
          <cell r="L956"/>
          <cell r="M956"/>
          <cell r="N956"/>
          <cell r="O956"/>
          <cell r="P956"/>
          <cell r="Q956"/>
          <cell r="R956"/>
          <cell r="S956"/>
        </row>
        <row r="957">
          <cell r="G957">
            <v>0</v>
          </cell>
          <cell r="H957">
            <v>0</v>
          </cell>
          <cell r="I957" t="e">
            <v>#REF!</v>
          </cell>
          <cell r="J957"/>
          <cell r="K957"/>
          <cell r="L957"/>
          <cell r="M957"/>
          <cell r="N957"/>
          <cell r="O957"/>
          <cell r="P957"/>
          <cell r="Q957"/>
          <cell r="R957"/>
          <cell r="S957"/>
        </row>
        <row r="958">
          <cell r="G958">
            <v>0</v>
          </cell>
          <cell r="H958">
            <v>0</v>
          </cell>
          <cell r="I958" t="e">
            <v>#REF!</v>
          </cell>
          <cell r="J958"/>
          <cell r="K958"/>
          <cell r="L958"/>
          <cell r="M958"/>
          <cell r="N958"/>
          <cell r="O958"/>
          <cell r="P958"/>
          <cell r="Q958"/>
          <cell r="R958"/>
          <cell r="S958"/>
        </row>
        <row r="959">
          <cell r="G959">
            <v>0</v>
          </cell>
          <cell r="H959">
            <v>0</v>
          </cell>
          <cell r="I959" t="e">
            <v>#REF!</v>
          </cell>
          <cell r="J959"/>
          <cell r="K959"/>
          <cell r="L959"/>
          <cell r="M959"/>
          <cell r="N959"/>
          <cell r="O959"/>
          <cell r="P959"/>
          <cell r="Q959"/>
          <cell r="R959"/>
          <cell r="S959"/>
        </row>
        <row r="960">
          <cell r="G960">
            <v>0</v>
          </cell>
          <cell r="H960">
            <v>0</v>
          </cell>
          <cell r="I960" t="e">
            <v>#REF!</v>
          </cell>
          <cell r="J960"/>
          <cell r="K960"/>
          <cell r="L960"/>
          <cell r="M960"/>
          <cell r="N960"/>
          <cell r="O960"/>
          <cell r="P960"/>
          <cell r="Q960"/>
          <cell r="R960"/>
          <cell r="S960"/>
        </row>
        <row r="961">
          <cell r="G961">
            <v>0</v>
          </cell>
          <cell r="H961">
            <v>0</v>
          </cell>
          <cell r="I961" t="e">
            <v>#REF!</v>
          </cell>
          <cell r="J961"/>
          <cell r="K961"/>
          <cell r="L961"/>
          <cell r="M961"/>
          <cell r="N961"/>
          <cell r="O961"/>
          <cell r="P961"/>
          <cell r="Q961"/>
          <cell r="R961"/>
          <cell r="S961"/>
        </row>
        <row r="962">
          <cell r="G962">
            <v>0</v>
          </cell>
          <cell r="H962">
            <v>0</v>
          </cell>
          <cell r="I962" t="e">
            <v>#REF!</v>
          </cell>
          <cell r="J962"/>
          <cell r="K962"/>
          <cell r="L962"/>
          <cell r="M962"/>
          <cell r="N962"/>
          <cell r="O962"/>
          <cell r="P962"/>
          <cell r="Q962"/>
          <cell r="R962"/>
          <cell r="S962"/>
        </row>
        <row r="963">
          <cell r="G963">
            <v>0</v>
          </cell>
          <cell r="H963">
            <v>0</v>
          </cell>
          <cell r="I963" t="e">
            <v>#REF!</v>
          </cell>
          <cell r="J963"/>
          <cell r="K963"/>
          <cell r="L963"/>
          <cell r="M963"/>
          <cell r="N963"/>
          <cell r="O963"/>
          <cell r="P963"/>
          <cell r="Q963"/>
          <cell r="R963"/>
          <cell r="S963"/>
        </row>
        <row r="964">
          <cell r="G964">
            <v>0</v>
          </cell>
          <cell r="H964">
            <v>0</v>
          </cell>
          <cell r="I964" t="e">
            <v>#REF!</v>
          </cell>
          <cell r="J964"/>
          <cell r="K964"/>
          <cell r="L964"/>
          <cell r="M964"/>
          <cell r="N964"/>
          <cell r="O964"/>
          <cell r="P964"/>
          <cell r="Q964"/>
          <cell r="R964"/>
          <cell r="S964"/>
        </row>
        <row r="965">
          <cell r="G965">
            <v>0</v>
          </cell>
          <cell r="H965">
            <v>0</v>
          </cell>
          <cell r="I965" t="e">
            <v>#REF!</v>
          </cell>
          <cell r="J965"/>
          <cell r="K965"/>
          <cell r="L965"/>
          <cell r="M965"/>
          <cell r="N965"/>
          <cell r="O965"/>
          <cell r="P965"/>
          <cell r="Q965"/>
          <cell r="R965"/>
          <cell r="S965"/>
        </row>
        <row r="966">
          <cell r="G966">
            <v>0</v>
          </cell>
          <cell r="H966">
            <v>0</v>
          </cell>
          <cell r="I966" t="e">
            <v>#REF!</v>
          </cell>
          <cell r="J966"/>
          <cell r="K966"/>
          <cell r="L966"/>
          <cell r="M966"/>
          <cell r="N966"/>
          <cell r="O966"/>
          <cell r="P966"/>
          <cell r="Q966"/>
          <cell r="R966"/>
          <cell r="S966"/>
        </row>
        <row r="967">
          <cell r="G967">
            <v>0</v>
          </cell>
          <cell r="H967">
            <v>0</v>
          </cell>
          <cell r="I967" t="e">
            <v>#REF!</v>
          </cell>
          <cell r="J967"/>
          <cell r="K967"/>
          <cell r="L967"/>
          <cell r="M967"/>
          <cell r="N967"/>
          <cell r="O967"/>
          <cell r="P967"/>
          <cell r="Q967"/>
          <cell r="R967"/>
          <cell r="S967"/>
        </row>
        <row r="968">
          <cell r="G968">
            <v>0</v>
          </cell>
          <cell r="H968">
            <v>0</v>
          </cell>
          <cell r="I968" t="e">
            <v>#REF!</v>
          </cell>
          <cell r="J968"/>
          <cell r="K968"/>
          <cell r="L968"/>
          <cell r="M968"/>
          <cell r="N968"/>
          <cell r="O968"/>
          <cell r="P968"/>
          <cell r="Q968"/>
          <cell r="R968"/>
          <cell r="S968"/>
        </row>
        <row r="969">
          <cell r="G969">
            <v>0</v>
          </cell>
          <cell r="H969">
            <v>0</v>
          </cell>
          <cell r="I969" t="e">
            <v>#REF!</v>
          </cell>
          <cell r="J969"/>
          <cell r="K969"/>
          <cell r="L969"/>
          <cell r="M969"/>
          <cell r="N969"/>
          <cell r="O969"/>
          <cell r="P969"/>
          <cell r="Q969"/>
          <cell r="R969"/>
          <cell r="S969"/>
        </row>
        <row r="970">
          <cell r="G970">
            <v>0</v>
          </cell>
          <cell r="H970">
            <v>0</v>
          </cell>
          <cell r="I970" t="e">
            <v>#REF!</v>
          </cell>
          <cell r="J970"/>
          <cell r="K970"/>
          <cell r="L970"/>
          <cell r="M970"/>
          <cell r="N970"/>
          <cell r="O970"/>
          <cell r="P970"/>
          <cell r="Q970"/>
          <cell r="R970"/>
          <cell r="S970"/>
        </row>
        <row r="971">
          <cell r="G971">
            <v>0</v>
          </cell>
          <cell r="H971">
            <v>0</v>
          </cell>
          <cell r="I971" t="e">
            <v>#REF!</v>
          </cell>
          <cell r="J971"/>
          <cell r="K971"/>
          <cell r="L971"/>
          <cell r="M971"/>
          <cell r="N971"/>
          <cell r="O971"/>
          <cell r="P971"/>
          <cell r="Q971"/>
          <cell r="R971"/>
          <cell r="S971"/>
        </row>
        <row r="972">
          <cell r="G972">
            <v>0</v>
          </cell>
          <cell r="H972">
            <v>0</v>
          </cell>
          <cell r="I972" t="e">
            <v>#REF!</v>
          </cell>
          <cell r="J972"/>
          <cell r="K972"/>
          <cell r="L972"/>
          <cell r="M972"/>
          <cell r="N972"/>
          <cell r="O972"/>
          <cell r="P972"/>
          <cell r="Q972"/>
          <cell r="R972"/>
          <cell r="S972"/>
        </row>
        <row r="973">
          <cell r="G973">
            <v>0</v>
          </cell>
          <cell r="H973">
            <v>0</v>
          </cell>
          <cell r="I973" t="e">
            <v>#REF!</v>
          </cell>
          <cell r="J973"/>
          <cell r="K973"/>
          <cell r="L973"/>
          <cell r="M973"/>
          <cell r="N973"/>
          <cell r="O973"/>
          <cell r="P973"/>
          <cell r="Q973"/>
          <cell r="R973"/>
          <cell r="S973"/>
        </row>
        <row r="974">
          <cell r="G974">
            <v>0</v>
          </cell>
          <cell r="H974">
            <v>0</v>
          </cell>
          <cell r="I974" t="e">
            <v>#REF!</v>
          </cell>
          <cell r="J974"/>
          <cell r="K974"/>
          <cell r="L974"/>
          <cell r="M974"/>
          <cell r="N974"/>
          <cell r="O974"/>
          <cell r="P974"/>
          <cell r="Q974"/>
          <cell r="R974"/>
          <cell r="S974"/>
        </row>
        <row r="975">
          <cell r="G975">
            <v>0</v>
          </cell>
          <cell r="H975">
            <v>0</v>
          </cell>
          <cell r="I975" t="e">
            <v>#REF!</v>
          </cell>
          <cell r="J975"/>
          <cell r="K975"/>
          <cell r="L975"/>
          <cell r="M975"/>
          <cell r="N975"/>
          <cell r="O975"/>
          <cell r="P975"/>
          <cell r="Q975"/>
          <cell r="R975"/>
          <cell r="S975"/>
        </row>
        <row r="976">
          <cell r="G976">
            <v>0</v>
          </cell>
          <cell r="H976">
            <v>0</v>
          </cell>
          <cell r="I976" t="e">
            <v>#REF!</v>
          </cell>
          <cell r="J976"/>
          <cell r="K976"/>
          <cell r="L976"/>
          <cell r="M976"/>
          <cell r="N976"/>
          <cell r="O976"/>
          <cell r="P976"/>
          <cell r="Q976"/>
          <cell r="R976"/>
          <cell r="S976"/>
        </row>
        <row r="977">
          <cell r="G977">
            <v>0</v>
          </cell>
          <cell r="H977">
            <v>0</v>
          </cell>
          <cell r="I977" t="e">
            <v>#REF!</v>
          </cell>
          <cell r="J977"/>
          <cell r="K977"/>
          <cell r="L977"/>
          <cell r="M977"/>
          <cell r="N977"/>
          <cell r="O977"/>
          <cell r="P977"/>
          <cell r="Q977"/>
          <cell r="R977"/>
          <cell r="S977"/>
        </row>
        <row r="978">
          <cell r="G978">
            <v>0</v>
          </cell>
          <cell r="H978">
            <v>0</v>
          </cell>
          <cell r="I978" t="e">
            <v>#REF!</v>
          </cell>
          <cell r="J978"/>
          <cell r="K978"/>
          <cell r="L978"/>
          <cell r="M978"/>
          <cell r="N978"/>
          <cell r="O978"/>
          <cell r="P978"/>
          <cell r="Q978"/>
          <cell r="R978"/>
          <cell r="S978"/>
        </row>
        <row r="979">
          <cell r="G979">
            <v>0</v>
          </cell>
          <cell r="H979">
            <v>0</v>
          </cell>
          <cell r="I979" t="e">
            <v>#REF!</v>
          </cell>
          <cell r="J979"/>
          <cell r="K979"/>
          <cell r="L979"/>
          <cell r="M979"/>
          <cell r="N979"/>
          <cell r="O979"/>
          <cell r="P979"/>
          <cell r="Q979"/>
          <cell r="R979"/>
          <cell r="S979"/>
        </row>
        <row r="980">
          <cell r="G980">
            <v>0</v>
          </cell>
          <cell r="H980">
            <v>0</v>
          </cell>
          <cell r="I980" t="e">
            <v>#REF!</v>
          </cell>
          <cell r="J980"/>
          <cell r="K980"/>
          <cell r="L980"/>
          <cell r="M980"/>
          <cell r="N980"/>
          <cell r="O980"/>
          <cell r="P980"/>
          <cell r="Q980"/>
          <cell r="R980"/>
          <cell r="S980"/>
        </row>
        <row r="981">
          <cell r="G981">
            <v>0</v>
          </cell>
          <cell r="H981">
            <v>0</v>
          </cell>
          <cell r="I981" t="e">
            <v>#REF!</v>
          </cell>
          <cell r="J981"/>
          <cell r="K981"/>
          <cell r="L981"/>
          <cell r="M981"/>
          <cell r="N981"/>
          <cell r="O981"/>
          <cell r="P981"/>
          <cell r="Q981"/>
          <cell r="R981"/>
          <cell r="S981"/>
        </row>
        <row r="982">
          <cell r="G982">
            <v>0</v>
          </cell>
          <cell r="H982">
            <v>0</v>
          </cell>
          <cell r="I982" t="e">
            <v>#REF!</v>
          </cell>
          <cell r="J982"/>
          <cell r="K982"/>
          <cell r="L982"/>
          <cell r="M982"/>
          <cell r="N982"/>
          <cell r="O982"/>
          <cell r="P982"/>
          <cell r="Q982"/>
          <cell r="R982"/>
          <cell r="S982"/>
        </row>
        <row r="983">
          <cell r="G983">
            <v>0</v>
          </cell>
          <cell r="H983">
            <v>0</v>
          </cell>
          <cell r="I983" t="e">
            <v>#REF!</v>
          </cell>
          <cell r="J983"/>
          <cell r="K983"/>
          <cell r="L983"/>
          <cell r="M983"/>
          <cell r="N983"/>
          <cell r="O983"/>
          <cell r="P983"/>
          <cell r="Q983"/>
          <cell r="R983"/>
          <cell r="S983"/>
        </row>
        <row r="984">
          <cell r="G984">
            <v>0</v>
          </cell>
          <cell r="H984">
            <v>0</v>
          </cell>
          <cell r="I984" t="e">
            <v>#REF!</v>
          </cell>
          <cell r="J984"/>
          <cell r="K984"/>
          <cell r="L984"/>
          <cell r="M984"/>
          <cell r="N984"/>
          <cell r="O984"/>
          <cell r="P984"/>
          <cell r="Q984"/>
          <cell r="R984"/>
          <cell r="S984"/>
        </row>
        <row r="985">
          <cell r="G985">
            <v>0</v>
          </cell>
          <cell r="H985">
            <v>0</v>
          </cell>
          <cell r="I985" t="e">
            <v>#REF!</v>
          </cell>
          <cell r="J985"/>
          <cell r="K985"/>
          <cell r="L985"/>
          <cell r="M985"/>
          <cell r="N985"/>
          <cell r="O985"/>
          <cell r="P985"/>
          <cell r="Q985"/>
          <cell r="R985"/>
          <cell r="S985"/>
        </row>
        <row r="986">
          <cell r="G986">
            <v>0</v>
          </cell>
          <cell r="H986">
            <v>0</v>
          </cell>
          <cell r="I986" t="e">
            <v>#REF!</v>
          </cell>
          <cell r="J986"/>
          <cell r="K986"/>
          <cell r="L986"/>
          <cell r="M986"/>
          <cell r="N986"/>
          <cell r="O986"/>
          <cell r="P986"/>
          <cell r="Q986"/>
          <cell r="R986"/>
          <cell r="S986"/>
        </row>
        <row r="987">
          <cell r="G987">
            <v>0</v>
          </cell>
          <cell r="H987">
            <v>0</v>
          </cell>
          <cell r="I987" t="e">
            <v>#REF!</v>
          </cell>
          <cell r="J987"/>
          <cell r="K987"/>
          <cell r="L987"/>
          <cell r="M987"/>
          <cell r="N987"/>
          <cell r="O987"/>
          <cell r="P987"/>
          <cell r="Q987"/>
          <cell r="R987"/>
          <cell r="S987"/>
        </row>
        <row r="988">
          <cell r="G988">
            <v>0</v>
          </cell>
          <cell r="H988">
            <v>0</v>
          </cell>
          <cell r="I988" t="e">
            <v>#REF!</v>
          </cell>
          <cell r="J988"/>
          <cell r="K988"/>
          <cell r="L988"/>
          <cell r="M988"/>
          <cell r="N988"/>
          <cell r="O988"/>
          <cell r="P988"/>
          <cell r="Q988"/>
          <cell r="R988"/>
          <cell r="S988"/>
        </row>
        <row r="989">
          <cell r="G989">
            <v>0</v>
          </cell>
          <cell r="H989">
            <v>0</v>
          </cell>
          <cell r="I989" t="e">
            <v>#REF!</v>
          </cell>
          <cell r="J989"/>
          <cell r="K989"/>
          <cell r="L989"/>
          <cell r="M989"/>
          <cell r="N989"/>
          <cell r="O989"/>
          <cell r="P989"/>
          <cell r="Q989"/>
          <cell r="R989"/>
          <cell r="S989"/>
        </row>
        <row r="990">
          <cell r="G990">
            <v>0</v>
          </cell>
          <cell r="H990">
            <v>0</v>
          </cell>
          <cell r="I990" t="e">
            <v>#REF!</v>
          </cell>
          <cell r="J990"/>
          <cell r="K990"/>
          <cell r="L990"/>
          <cell r="M990"/>
          <cell r="N990"/>
          <cell r="O990"/>
          <cell r="P990"/>
          <cell r="Q990"/>
          <cell r="R990"/>
          <cell r="S990"/>
        </row>
        <row r="991">
          <cell r="G991">
            <v>0</v>
          </cell>
          <cell r="H991">
            <v>0</v>
          </cell>
          <cell r="I991" t="e">
            <v>#REF!</v>
          </cell>
          <cell r="J991"/>
          <cell r="K991"/>
          <cell r="L991"/>
          <cell r="M991"/>
          <cell r="N991"/>
          <cell r="O991"/>
          <cell r="P991"/>
          <cell r="Q991"/>
          <cell r="R991"/>
          <cell r="S991"/>
        </row>
        <row r="992">
          <cell r="G992">
            <v>0</v>
          </cell>
          <cell r="H992">
            <v>0</v>
          </cell>
          <cell r="I992" t="e">
            <v>#REF!</v>
          </cell>
          <cell r="J992"/>
          <cell r="K992"/>
          <cell r="L992"/>
          <cell r="M992"/>
          <cell r="N992"/>
          <cell r="O992"/>
          <cell r="P992"/>
          <cell r="Q992"/>
          <cell r="R992"/>
          <cell r="S992"/>
        </row>
        <row r="993">
          <cell r="G993">
            <v>0</v>
          </cell>
          <cell r="H993">
            <v>0</v>
          </cell>
          <cell r="I993" t="e">
            <v>#REF!</v>
          </cell>
          <cell r="J993"/>
          <cell r="K993"/>
          <cell r="L993"/>
          <cell r="M993"/>
          <cell r="N993"/>
          <cell r="O993"/>
          <cell r="P993"/>
          <cell r="Q993"/>
          <cell r="R993"/>
          <cell r="S993"/>
        </row>
        <row r="994">
          <cell r="G994">
            <v>0</v>
          </cell>
          <cell r="H994">
            <v>0</v>
          </cell>
          <cell r="I994" t="e">
            <v>#REF!</v>
          </cell>
          <cell r="J994"/>
          <cell r="K994"/>
          <cell r="L994"/>
          <cell r="M994"/>
          <cell r="N994"/>
          <cell r="O994"/>
          <cell r="P994"/>
          <cell r="Q994"/>
          <cell r="R994"/>
          <cell r="S994"/>
        </row>
        <row r="995">
          <cell r="G995">
            <v>0</v>
          </cell>
          <cell r="H995">
            <v>0</v>
          </cell>
          <cell r="I995" t="e">
            <v>#REF!</v>
          </cell>
          <cell r="J995"/>
          <cell r="K995"/>
          <cell r="L995"/>
          <cell r="M995"/>
          <cell r="N995"/>
          <cell r="O995"/>
          <cell r="P995"/>
          <cell r="Q995"/>
          <cell r="R995"/>
          <cell r="S995"/>
        </row>
        <row r="996">
          <cell r="G996">
            <v>0</v>
          </cell>
          <cell r="H996">
            <v>0</v>
          </cell>
          <cell r="I996" t="e">
            <v>#REF!</v>
          </cell>
          <cell r="J996"/>
          <cell r="K996"/>
          <cell r="L996"/>
          <cell r="M996"/>
          <cell r="N996"/>
          <cell r="O996"/>
          <cell r="P996"/>
          <cell r="Q996"/>
          <cell r="R996"/>
          <cell r="S996"/>
        </row>
        <row r="997">
          <cell r="G997">
            <v>0</v>
          </cell>
          <cell r="H997">
            <v>0</v>
          </cell>
          <cell r="I997" t="e">
            <v>#REF!</v>
          </cell>
          <cell r="J997"/>
          <cell r="K997"/>
          <cell r="L997"/>
          <cell r="M997"/>
          <cell r="N997"/>
          <cell r="O997"/>
          <cell r="P997"/>
          <cell r="Q997"/>
          <cell r="R997"/>
          <cell r="S997"/>
        </row>
        <row r="998">
          <cell r="G998">
            <v>0</v>
          </cell>
          <cell r="H998">
            <v>0</v>
          </cell>
          <cell r="I998" t="e">
            <v>#REF!</v>
          </cell>
          <cell r="J998"/>
          <cell r="K998"/>
          <cell r="L998"/>
          <cell r="M998"/>
          <cell r="N998"/>
          <cell r="O998"/>
          <cell r="P998"/>
          <cell r="Q998"/>
          <cell r="R998"/>
          <cell r="S998"/>
        </row>
        <row r="999">
          <cell r="G999">
            <v>0</v>
          </cell>
          <cell r="H999">
            <v>0</v>
          </cell>
          <cell r="I999" t="e">
            <v>#REF!</v>
          </cell>
          <cell r="J999"/>
          <cell r="K999"/>
          <cell r="L999"/>
          <cell r="M999"/>
          <cell r="N999"/>
          <cell r="O999"/>
          <cell r="P999"/>
          <cell r="Q999"/>
          <cell r="R999"/>
          <cell r="S999"/>
        </row>
        <row r="1000">
          <cell r="G1000">
            <v>0</v>
          </cell>
          <cell r="H1000">
            <v>0</v>
          </cell>
          <cell r="I1000" t="e">
            <v>#REF!</v>
          </cell>
          <cell r="J1000"/>
          <cell r="K1000"/>
          <cell r="L1000"/>
          <cell r="M1000"/>
          <cell r="N1000"/>
          <cell r="O1000"/>
          <cell r="P1000"/>
          <cell r="Q1000"/>
          <cell r="R1000"/>
          <cell r="S1000"/>
        </row>
        <row r="1001">
          <cell r="G1001">
            <v>0</v>
          </cell>
          <cell r="H1001">
            <v>0</v>
          </cell>
          <cell r="I1001" t="e">
            <v>#REF!</v>
          </cell>
          <cell r="J1001"/>
          <cell r="K1001"/>
          <cell r="L1001"/>
          <cell r="M1001"/>
          <cell r="N1001"/>
          <cell r="O1001"/>
          <cell r="P1001"/>
          <cell r="Q1001"/>
          <cell r="R1001"/>
          <cell r="S1001"/>
        </row>
        <row r="1002">
          <cell r="G1002">
            <v>0</v>
          </cell>
          <cell r="H1002">
            <v>0</v>
          </cell>
          <cell r="I1002" t="e">
            <v>#REF!</v>
          </cell>
          <cell r="J1002"/>
          <cell r="K1002"/>
          <cell r="L1002"/>
          <cell r="M1002"/>
          <cell r="N1002"/>
          <cell r="O1002"/>
          <cell r="P1002"/>
          <cell r="Q1002"/>
          <cell r="R1002"/>
          <cell r="S1002"/>
        </row>
        <row r="1003">
          <cell r="G1003">
            <v>0</v>
          </cell>
          <cell r="H1003">
            <v>0</v>
          </cell>
          <cell r="I1003" t="e">
            <v>#REF!</v>
          </cell>
          <cell r="J1003"/>
          <cell r="K1003"/>
          <cell r="L1003"/>
          <cell r="M1003"/>
          <cell r="N1003"/>
          <cell r="O1003"/>
          <cell r="P1003"/>
          <cell r="Q1003"/>
          <cell r="R1003"/>
          <cell r="S1003"/>
        </row>
        <row r="1004">
          <cell r="G1004">
            <v>0</v>
          </cell>
          <cell r="H1004">
            <v>0</v>
          </cell>
          <cell r="I1004" t="e">
            <v>#REF!</v>
          </cell>
          <cell r="J1004"/>
          <cell r="K1004"/>
          <cell r="L1004"/>
          <cell r="M1004"/>
          <cell r="N1004"/>
          <cell r="O1004"/>
          <cell r="P1004"/>
          <cell r="Q1004"/>
          <cell r="R1004"/>
          <cell r="S1004"/>
        </row>
        <row r="1005">
          <cell r="G1005">
            <v>0</v>
          </cell>
          <cell r="H1005">
            <v>0</v>
          </cell>
          <cell r="I1005" t="e">
            <v>#REF!</v>
          </cell>
          <cell r="J1005"/>
          <cell r="K1005"/>
          <cell r="L1005"/>
          <cell r="M1005"/>
          <cell r="N1005"/>
          <cell r="O1005"/>
          <cell r="P1005"/>
          <cell r="Q1005"/>
          <cell r="R1005"/>
          <cell r="S1005"/>
        </row>
        <row r="1006">
          <cell r="G1006">
            <v>0</v>
          </cell>
          <cell r="H1006">
            <v>0</v>
          </cell>
          <cell r="I1006" t="e">
            <v>#REF!</v>
          </cell>
          <cell r="J1006"/>
          <cell r="K1006"/>
          <cell r="L1006"/>
          <cell r="M1006"/>
          <cell r="N1006"/>
          <cell r="O1006"/>
          <cell r="P1006"/>
          <cell r="Q1006"/>
          <cell r="R1006"/>
          <cell r="S1006"/>
        </row>
        <row r="1007">
          <cell r="G1007">
            <v>0</v>
          </cell>
          <cell r="H1007">
            <v>0</v>
          </cell>
          <cell r="I1007" t="e">
            <v>#REF!</v>
          </cell>
          <cell r="J1007"/>
          <cell r="K1007"/>
          <cell r="L1007"/>
          <cell r="M1007"/>
          <cell r="N1007"/>
          <cell r="O1007"/>
          <cell r="P1007"/>
          <cell r="Q1007"/>
          <cell r="R1007"/>
          <cell r="S1007"/>
        </row>
        <row r="1008">
          <cell r="G1008">
            <v>0</v>
          </cell>
          <cell r="H1008">
            <v>0</v>
          </cell>
          <cell r="I1008" t="e">
            <v>#REF!</v>
          </cell>
          <cell r="J1008"/>
          <cell r="K1008"/>
          <cell r="L1008"/>
          <cell r="M1008"/>
          <cell r="N1008"/>
          <cell r="O1008"/>
          <cell r="P1008"/>
          <cell r="Q1008"/>
          <cell r="R1008"/>
          <cell r="S1008"/>
        </row>
        <row r="1009">
          <cell r="G1009">
            <v>0</v>
          </cell>
          <cell r="H1009">
            <v>0</v>
          </cell>
          <cell r="I1009" t="e">
            <v>#REF!</v>
          </cell>
          <cell r="J1009"/>
          <cell r="K1009"/>
          <cell r="L1009"/>
          <cell r="M1009"/>
          <cell r="N1009"/>
          <cell r="O1009"/>
          <cell r="P1009"/>
          <cell r="Q1009"/>
          <cell r="R1009"/>
          <cell r="S1009"/>
        </row>
        <row r="1010">
          <cell r="G1010">
            <v>0</v>
          </cell>
          <cell r="H1010">
            <v>0</v>
          </cell>
          <cell r="I1010" t="e">
            <v>#REF!</v>
          </cell>
          <cell r="J1010"/>
          <cell r="K1010"/>
          <cell r="L1010"/>
          <cell r="M1010"/>
          <cell r="N1010"/>
          <cell r="O1010"/>
          <cell r="P1010"/>
          <cell r="Q1010"/>
          <cell r="R1010"/>
          <cell r="S1010"/>
        </row>
        <row r="1011">
          <cell r="G1011">
            <v>0</v>
          </cell>
          <cell r="H1011">
            <v>0</v>
          </cell>
          <cell r="I1011" t="e">
            <v>#REF!</v>
          </cell>
          <cell r="J1011"/>
          <cell r="K1011"/>
          <cell r="L1011"/>
          <cell r="M1011"/>
          <cell r="N1011"/>
          <cell r="O1011"/>
          <cell r="P1011"/>
          <cell r="Q1011"/>
          <cell r="R1011"/>
          <cell r="S1011"/>
        </row>
        <row r="1012">
          <cell r="G1012">
            <v>0</v>
          </cell>
          <cell r="H1012">
            <v>0</v>
          </cell>
          <cell r="I1012" t="e">
            <v>#REF!</v>
          </cell>
          <cell r="J1012"/>
          <cell r="K1012"/>
          <cell r="L1012"/>
          <cell r="M1012"/>
          <cell r="N1012"/>
          <cell r="O1012"/>
          <cell r="P1012"/>
          <cell r="Q1012"/>
          <cell r="R1012"/>
          <cell r="S1012"/>
        </row>
        <row r="1013">
          <cell r="G1013">
            <v>0</v>
          </cell>
          <cell r="H1013">
            <v>0</v>
          </cell>
          <cell r="I1013" t="e">
            <v>#REF!</v>
          </cell>
          <cell r="J1013"/>
          <cell r="K1013"/>
          <cell r="L1013"/>
          <cell r="M1013"/>
          <cell r="N1013"/>
          <cell r="O1013"/>
          <cell r="P1013"/>
          <cell r="Q1013"/>
          <cell r="R1013"/>
          <cell r="S1013"/>
        </row>
        <row r="1014">
          <cell r="G1014">
            <v>0</v>
          </cell>
          <cell r="H1014">
            <v>0</v>
          </cell>
          <cell r="I1014" t="e">
            <v>#REF!</v>
          </cell>
          <cell r="J1014"/>
          <cell r="K1014"/>
          <cell r="L1014"/>
          <cell r="M1014"/>
          <cell r="N1014"/>
          <cell r="O1014"/>
          <cell r="P1014"/>
          <cell r="Q1014"/>
          <cell r="R1014"/>
          <cell r="S1014"/>
        </row>
        <row r="1015">
          <cell r="G1015">
            <v>0</v>
          </cell>
          <cell r="H1015">
            <v>0</v>
          </cell>
          <cell r="I1015" t="e">
            <v>#REF!</v>
          </cell>
          <cell r="J1015"/>
          <cell r="K1015"/>
          <cell r="L1015"/>
          <cell r="M1015"/>
          <cell r="N1015"/>
          <cell r="O1015"/>
          <cell r="P1015"/>
          <cell r="Q1015"/>
          <cell r="R1015"/>
          <cell r="S1015"/>
        </row>
        <row r="1016">
          <cell r="G1016">
            <v>0</v>
          </cell>
          <cell r="H1016">
            <v>0</v>
          </cell>
          <cell r="I1016" t="e">
            <v>#REF!</v>
          </cell>
          <cell r="J1016"/>
          <cell r="K1016"/>
          <cell r="L1016"/>
          <cell r="M1016"/>
          <cell r="N1016"/>
          <cell r="O1016"/>
          <cell r="P1016"/>
          <cell r="Q1016"/>
          <cell r="R1016"/>
          <cell r="S1016"/>
        </row>
        <row r="1017">
          <cell r="G1017">
            <v>0</v>
          </cell>
          <cell r="H1017">
            <v>0</v>
          </cell>
          <cell r="I1017" t="e">
            <v>#REF!</v>
          </cell>
          <cell r="J1017"/>
          <cell r="K1017"/>
          <cell r="L1017"/>
          <cell r="M1017"/>
          <cell r="N1017"/>
          <cell r="O1017"/>
          <cell r="P1017"/>
          <cell r="Q1017"/>
          <cell r="R1017"/>
          <cell r="S1017"/>
        </row>
        <row r="1018">
          <cell r="G1018">
            <v>0</v>
          </cell>
          <cell r="H1018">
            <v>0</v>
          </cell>
          <cell r="I1018" t="e">
            <v>#REF!</v>
          </cell>
          <cell r="J1018"/>
          <cell r="K1018"/>
          <cell r="L1018"/>
          <cell r="M1018"/>
          <cell r="N1018"/>
          <cell r="O1018"/>
          <cell r="P1018"/>
          <cell r="Q1018"/>
          <cell r="R1018"/>
          <cell r="S1018"/>
        </row>
        <row r="1019">
          <cell r="G1019">
            <v>0</v>
          </cell>
          <cell r="H1019">
            <v>0</v>
          </cell>
          <cell r="I1019" t="e">
            <v>#REF!</v>
          </cell>
          <cell r="J1019"/>
          <cell r="K1019"/>
          <cell r="L1019"/>
          <cell r="M1019"/>
          <cell r="N1019"/>
          <cell r="O1019"/>
          <cell r="P1019"/>
          <cell r="Q1019"/>
          <cell r="R1019"/>
          <cell r="S1019"/>
        </row>
        <row r="1020">
          <cell r="G1020">
            <v>0</v>
          </cell>
          <cell r="H1020">
            <v>0</v>
          </cell>
          <cell r="I1020" t="e">
            <v>#REF!</v>
          </cell>
          <cell r="J1020"/>
          <cell r="K1020"/>
          <cell r="L1020"/>
          <cell r="M1020"/>
          <cell r="N1020"/>
          <cell r="O1020"/>
          <cell r="P1020"/>
          <cell r="Q1020"/>
          <cell r="R1020"/>
          <cell r="S1020"/>
        </row>
        <row r="1021">
          <cell r="G1021">
            <v>0</v>
          </cell>
          <cell r="H1021">
            <v>0</v>
          </cell>
          <cell r="I1021" t="e">
            <v>#REF!</v>
          </cell>
          <cell r="J1021"/>
          <cell r="K1021"/>
          <cell r="L1021"/>
          <cell r="M1021"/>
          <cell r="N1021"/>
          <cell r="O1021"/>
          <cell r="P1021"/>
          <cell r="Q1021"/>
          <cell r="R1021"/>
          <cell r="S1021"/>
        </row>
        <row r="1022">
          <cell r="G1022">
            <v>0</v>
          </cell>
          <cell r="H1022">
            <v>0</v>
          </cell>
          <cell r="I1022" t="e">
            <v>#REF!</v>
          </cell>
          <cell r="J1022"/>
          <cell r="K1022"/>
          <cell r="L1022"/>
          <cell r="M1022"/>
          <cell r="N1022"/>
          <cell r="O1022"/>
          <cell r="P1022"/>
          <cell r="Q1022"/>
          <cell r="R1022"/>
          <cell r="S1022"/>
        </row>
        <row r="1023">
          <cell r="G1023">
            <v>0</v>
          </cell>
          <cell r="H1023">
            <v>0</v>
          </cell>
          <cell r="I1023" t="e">
            <v>#REF!</v>
          </cell>
          <cell r="J1023"/>
          <cell r="K1023"/>
          <cell r="L1023"/>
          <cell r="M1023"/>
          <cell r="N1023"/>
          <cell r="O1023"/>
          <cell r="P1023"/>
          <cell r="Q1023"/>
          <cell r="R1023"/>
          <cell r="S1023"/>
        </row>
        <row r="1024">
          <cell r="G1024">
            <v>0</v>
          </cell>
          <cell r="H1024">
            <v>0</v>
          </cell>
          <cell r="I1024" t="e">
            <v>#REF!</v>
          </cell>
          <cell r="J1024"/>
          <cell r="K1024"/>
          <cell r="L1024"/>
          <cell r="M1024"/>
          <cell r="N1024"/>
          <cell r="O1024"/>
          <cell r="P1024"/>
          <cell r="Q1024"/>
          <cell r="R1024"/>
          <cell r="S1024"/>
        </row>
        <row r="1025">
          <cell r="G1025">
            <v>0</v>
          </cell>
          <cell r="H1025">
            <v>0</v>
          </cell>
          <cell r="I1025" t="e">
            <v>#REF!</v>
          </cell>
          <cell r="J1025"/>
          <cell r="K1025"/>
          <cell r="L1025"/>
          <cell r="M1025"/>
          <cell r="N1025"/>
          <cell r="O1025"/>
          <cell r="P1025"/>
          <cell r="Q1025"/>
          <cell r="R1025"/>
          <cell r="S1025"/>
        </row>
        <row r="1026">
          <cell r="G1026">
            <v>0</v>
          </cell>
          <cell r="H1026">
            <v>0</v>
          </cell>
          <cell r="I1026" t="e">
            <v>#REF!</v>
          </cell>
          <cell r="J1026"/>
          <cell r="K1026"/>
          <cell r="L1026"/>
          <cell r="M1026"/>
          <cell r="N1026"/>
          <cell r="O1026"/>
          <cell r="P1026"/>
          <cell r="Q1026"/>
          <cell r="R1026"/>
          <cell r="S1026"/>
        </row>
        <row r="1027">
          <cell r="G1027">
            <v>0</v>
          </cell>
          <cell r="H1027">
            <v>0</v>
          </cell>
          <cell r="I1027" t="e">
            <v>#REF!</v>
          </cell>
          <cell r="J1027"/>
          <cell r="K1027"/>
          <cell r="L1027"/>
          <cell r="M1027"/>
          <cell r="N1027"/>
          <cell r="O1027"/>
          <cell r="P1027"/>
          <cell r="Q1027"/>
          <cell r="R1027"/>
          <cell r="S1027"/>
        </row>
        <row r="1028">
          <cell r="G1028">
            <v>0</v>
          </cell>
          <cell r="H1028">
            <v>0</v>
          </cell>
          <cell r="I1028" t="e">
            <v>#REF!</v>
          </cell>
          <cell r="J1028"/>
          <cell r="K1028"/>
          <cell r="L1028"/>
          <cell r="M1028"/>
          <cell r="N1028"/>
          <cell r="O1028"/>
          <cell r="P1028"/>
          <cell r="Q1028"/>
          <cell r="R1028"/>
          <cell r="S1028"/>
        </row>
        <row r="1029">
          <cell r="G1029">
            <v>0</v>
          </cell>
          <cell r="H1029">
            <v>0</v>
          </cell>
          <cell r="I1029" t="e">
            <v>#REF!</v>
          </cell>
          <cell r="J1029"/>
          <cell r="K1029"/>
          <cell r="L1029"/>
          <cell r="M1029"/>
          <cell r="N1029"/>
          <cell r="O1029"/>
          <cell r="P1029"/>
          <cell r="Q1029"/>
          <cell r="R1029"/>
          <cell r="S1029"/>
        </row>
        <row r="1030">
          <cell r="G1030">
            <v>0</v>
          </cell>
          <cell r="H1030">
            <v>0</v>
          </cell>
          <cell r="I1030" t="e">
            <v>#REF!</v>
          </cell>
          <cell r="J1030"/>
          <cell r="K1030"/>
          <cell r="L1030"/>
          <cell r="M1030"/>
          <cell r="N1030"/>
          <cell r="O1030"/>
          <cell r="P1030"/>
          <cell r="Q1030"/>
          <cell r="R1030"/>
          <cell r="S1030"/>
        </row>
        <row r="1031">
          <cell r="G1031">
            <v>0</v>
          </cell>
          <cell r="H1031">
            <v>0</v>
          </cell>
          <cell r="I1031" t="e">
            <v>#REF!</v>
          </cell>
          <cell r="J1031"/>
          <cell r="K1031"/>
          <cell r="L1031"/>
          <cell r="M1031"/>
          <cell r="N1031"/>
          <cell r="O1031"/>
          <cell r="P1031"/>
          <cell r="Q1031"/>
          <cell r="R1031"/>
          <cell r="S1031"/>
        </row>
        <row r="1032">
          <cell r="G1032">
            <v>0</v>
          </cell>
          <cell r="H1032">
            <v>0</v>
          </cell>
          <cell r="I1032" t="e">
            <v>#REF!</v>
          </cell>
          <cell r="J1032"/>
          <cell r="K1032"/>
          <cell r="L1032"/>
          <cell r="M1032"/>
          <cell r="N1032"/>
          <cell r="O1032"/>
          <cell r="P1032"/>
          <cell r="Q1032"/>
          <cell r="R1032"/>
          <cell r="S1032"/>
        </row>
        <row r="1033">
          <cell r="G1033">
            <v>0</v>
          </cell>
          <cell r="H1033">
            <v>0</v>
          </cell>
          <cell r="I1033" t="e">
            <v>#REF!</v>
          </cell>
          <cell r="J1033"/>
          <cell r="K1033"/>
          <cell r="L1033"/>
          <cell r="M1033"/>
          <cell r="N1033"/>
          <cell r="O1033"/>
          <cell r="P1033"/>
          <cell r="Q1033"/>
          <cell r="R1033"/>
          <cell r="S1033"/>
        </row>
        <row r="1034">
          <cell r="G1034">
            <v>0</v>
          </cell>
          <cell r="H1034">
            <v>0</v>
          </cell>
          <cell r="I1034" t="e">
            <v>#REF!</v>
          </cell>
          <cell r="J1034"/>
          <cell r="K1034"/>
          <cell r="L1034"/>
          <cell r="M1034"/>
          <cell r="N1034"/>
          <cell r="O1034"/>
          <cell r="P1034"/>
          <cell r="Q1034"/>
          <cell r="R1034"/>
          <cell r="S1034"/>
        </row>
        <row r="1035">
          <cell r="G1035">
            <v>0</v>
          </cell>
          <cell r="H1035">
            <v>0</v>
          </cell>
          <cell r="I1035" t="e">
            <v>#REF!</v>
          </cell>
          <cell r="J1035"/>
          <cell r="K1035"/>
          <cell r="L1035"/>
          <cell r="M1035"/>
          <cell r="N1035"/>
          <cell r="O1035"/>
          <cell r="P1035"/>
          <cell r="Q1035"/>
          <cell r="R1035"/>
          <cell r="S1035"/>
        </row>
        <row r="1036">
          <cell r="G1036">
            <v>0</v>
          </cell>
          <cell r="H1036">
            <v>0</v>
          </cell>
          <cell r="I1036" t="e">
            <v>#REF!</v>
          </cell>
          <cell r="J1036"/>
          <cell r="K1036"/>
          <cell r="L1036"/>
          <cell r="M1036"/>
          <cell r="N1036"/>
          <cell r="O1036"/>
          <cell r="P1036"/>
          <cell r="Q1036"/>
          <cell r="R1036"/>
          <cell r="S1036"/>
        </row>
        <row r="1037">
          <cell r="G1037">
            <v>0</v>
          </cell>
          <cell r="H1037">
            <v>0</v>
          </cell>
          <cell r="I1037" t="e">
            <v>#REF!</v>
          </cell>
          <cell r="J1037"/>
          <cell r="K1037"/>
          <cell r="L1037"/>
          <cell r="M1037"/>
          <cell r="N1037"/>
          <cell r="O1037"/>
          <cell r="P1037"/>
          <cell r="Q1037"/>
          <cell r="R1037"/>
          <cell r="S1037"/>
        </row>
        <row r="1038">
          <cell r="G1038">
            <v>0</v>
          </cell>
          <cell r="H1038">
            <v>0</v>
          </cell>
          <cell r="I1038" t="e">
            <v>#REF!</v>
          </cell>
          <cell r="J1038"/>
          <cell r="K1038"/>
          <cell r="L1038"/>
          <cell r="M1038"/>
          <cell r="N1038"/>
          <cell r="O1038"/>
          <cell r="P1038"/>
          <cell r="Q1038"/>
          <cell r="R1038"/>
          <cell r="S1038"/>
        </row>
        <row r="1039">
          <cell r="G1039">
            <v>0</v>
          </cell>
          <cell r="H1039">
            <v>0</v>
          </cell>
          <cell r="I1039" t="e">
            <v>#REF!</v>
          </cell>
          <cell r="J1039"/>
          <cell r="K1039"/>
          <cell r="L1039"/>
          <cell r="M1039"/>
          <cell r="N1039"/>
          <cell r="O1039"/>
          <cell r="P1039"/>
          <cell r="Q1039"/>
          <cell r="R1039"/>
          <cell r="S1039"/>
        </row>
        <row r="1040">
          <cell r="G1040">
            <v>0</v>
          </cell>
          <cell r="H1040">
            <v>0</v>
          </cell>
          <cell r="I1040" t="e">
            <v>#REF!</v>
          </cell>
          <cell r="J1040"/>
          <cell r="K1040"/>
          <cell r="L1040"/>
          <cell r="M1040"/>
          <cell r="N1040"/>
          <cell r="O1040"/>
          <cell r="P1040"/>
          <cell r="Q1040"/>
          <cell r="R1040"/>
          <cell r="S1040"/>
        </row>
        <row r="1041">
          <cell r="G1041">
            <v>0</v>
          </cell>
          <cell r="H1041">
            <v>0</v>
          </cell>
          <cell r="I1041" t="e">
            <v>#REF!</v>
          </cell>
          <cell r="J1041"/>
          <cell r="K1041"/>
          <cell r="L1041"/>
          <cell r="M1041"/>
          <cell r="N1041"/>
          <cell r="O1041"/>
          <cell r="P1041"/>
          <cell r="Q1041"/>
          <cell r="R1041"/>
          <cell r="S1041"/>
        </row>
        <row r="1042">
          <cell r="G1042">
            <v>0</v>
          </cell>
          <cell r="H1042">
            <v>0</v>
          </cell>
          <cell r="I1042" t="e">
            <v>#REF!</v>
          </cell>
          <cell r="J1042"/>
          <cell r="K1042"/>
          <cell r="L1042"/>
          <cell r="M1042"/>
          <cell r="N1042"/>
          <cell r="O1042"/>
          <cell r="P1042"/>
          <cell r="Q1042"/>
          <cell r="R1042"/>
          <cell r="S1042"/>
        </row>
        <row r="1043">
          <cell r="G1043">
            <v>0</v>
          </cell>
          <cell r="H1043">
            <v>0</v>
          </cell>
          <cell r="I1043" t="e">
            <v>#REF!</v>
          </cell>
          <cell r="J1043"/>
          <cell r="K1043"/>
          <cell r="L1043"/>
          <cell r="M1043"/>
          <cell r="N1043"/>
          <cell r="O1043"/>
          <cell r="P1043"/>
          <cell r="Q1043"/>
          <cell r="R1043"/>
          <cell r="S1043"/>
        </row>
        <row r="1044">
          <cell r="G1044">
            <v>0</v>
          </cell>
          <cell r="H1044">
            <v>0</v>
          </cell>
          <cell r="I1044" t="e">
            <v>#REF!</v>
          </cell>
          <cell r="J1044"/>
          <cell r="K1044"/>
          <cell r="L1044"/>
          <cell r="M1044"/>
          <cell r="N1044"/>
          <cell r="O1044"/>
          <cell r="P1044"/>
          <cell r="Q1044"/>
          <cell r="R1044"/>
          <cell r="S1044"/>
        </row>
        <row r="1045">
          <cell r="G1045">
            <v>0</v>
          </cell>
          <cell r="H1045">
            <v>0</v>
          </cell>
          <cell r="I1045" t="e">
            <v>#REF!</v>
          </cell>
          <cell r="J1045"/>
          <cell r="K1045"/>
          <cell r="L1045"/>
          <cell r="M1045"/>
          <cell r="N1045"/>
          <cell r="O1045"/>
          <cell r="P1045"/>
          <cell r="Q1045"/>
          <cell r="R1045"/>
          <cell r="S1045"/>
        </row>
        <row r="1046">
          <cell r="G1046">
            <v>0</v>
          </cell>
          <cell r="H1046">
            <v>0</v>
          </cell>
          <cell r="I1046" t="e">
            <v>#REF!</v>
          </cell>
          <cell r="J1046"/>
          <cell r="K1046"/>
          <cell r="L1046"/>
          <cell r="M1046"/>
          <cell r="N1046"/>
          <cell r="O1046"/>
          <cell r="P1046"/>
          <cell r="Q1046"/>
          <cell r="R1046"/>
          <cell r="S1046"/>
        </row>
        <row r="1047">
          <cell r="G1047">
            <v>0</v>
          </cell>
          <cell r="H1047">
            <v>0</v>
          </cell>
          <cell r="I1047" t="e">
            <v>#REF!</v>
          </cell>
          <cell r="J1047"/>
          <cell r="K1047"/>
          <cell r="L1047"/>
          <cell r="M1047"/>
          <cell r="N1047"/>
          <cell r="O1047"/>
          <cell r="P1047"/>
          <cell r="Q1047"/>
          <cell r="R1047"/>
          <cell r="S1047"/>
        </row>
        <row r="1048">
          <cell r="G1048">
            <v>0</v>
          </cell>
          <cell r="H1048">
            <v>0</v>
          </cell>
          <cell r="I1048" t="e">
            <v>#REF!</v>
          </cell>
          <cell r="J1048"/>
          <cell r="K1048"/>
          <cell r="L1048"/>
          <cell r="M1048"/>
          <cell r="N1048"/>
          <cell r="O1048"/>
          <cell r="P1048"/>
          <cell r="Q1048"/>
          <cell r="R1048"/>
          <cell r="S1048"/>
        </row>
        <row r="1049">
          <cell r="G1049">
            <v>0</v>
          </cell>
          <cell r="H1049">
            <v>0</v>
          </cell>
          <cell r="I1049" t="e">
            <v>#REF!</v>
          </cell>
          <cell r="J1049"/>
          <cell r="K1049"/>
          <cell r="L1049"/>
          <cell r="M1049"/>
          <cell r="N1049"/>
          <cell r="O1049"/>
          <cell r="P1049"/>
          <cell r="Q1049"/>
          <cell r="R1049"/>
          <cell r="S1049"/>
        </row>
        <row r="1050">
          <cell r="G1050">
            <v>0</v>
          </cell>
          <cell r="H1050">
            <v>0</v>
          </cell>
          <cell r="I1050" t="e">
            <v>#REF!</v>
          </cell>
          <cell r="J1050"/>
          <cell r="K1050"/>
          <cell r="L1050"/>
          <cell r="M1050"/>
          <cell r="N1050"/>
          <cell r="O1050"/>
          <cell r="P1050"/>
          <cell r="Q1050"/>
          <cell r="R1050"/>
          <cell r="S1050"/>
        </row>
        <row r="1051">
          <cell r="G1051">
            <v>0</v>
          </cell>
          <cell r="H1051">
            <v>0</v>
          </cell>
          <cell r="I1051" t="e">
            <v>#REF!</v>
          </cell>
          <cell r="J1051"/>
          <cell r="K1051"/>
          <cell r="L1051"/>
          <cell r="M1051"/>
          <cell r="N1051"/>
          <cell r="O1051"/>
          <cell r="P1051"/>
          <cell r="Q1051"/>
          <cell r="R1051"/>
          <cell r="S1051"/>
        </row>
        <row r="1052">
          <cell r="G1052">
            <v>0</v>
          </cell>
          <cell r="H1052">
            <v>0</v>
          </cell>
          <cell r="I1052" t="e">
            <v>#REF!</v>
          </cell>
          <cell r="J1052"/>
          <cell r="K1052"/>
          <cell r="L1052"/>
          <cell r="M1052"/>
          <cell r="N1052"/>
          <cell r="O1052"/>
          <cell r="P1052"/>
          <cell r="Q1052"/>
          <cell r="R1052"/>
          <cell r="S1052"/>
        </row>
        <row r="1053">
          <cell r="G1053">
            <v>0</v>
          </cell>
          <cell r="H1053">
            <v>0</v>
          </cell>
          <cell r="I1053" t="e">
            <v>#REF!</v>
          </cell>
          <cell r="J1053"/>
          <cell r="K1053"/>
          <cell r="L1053"/>
          <cell r="M1053"/>
          <cell r="N1053"/>
          <cell r="O1053"/>
          <cell r="P1053"/>
          <cell r="Q1053"/>
          <cell r="R1053"/>
          <cell r="S1053"/>
        </row>
        <row r="1054">
          <cell r="G1054">
            <v>0</v>
          </cell>
          <cell r="H1054">
            <v>0</v>
          </cell>
          <cell r="I1054" t="e">
            <v>#REF!</v>
          </cell>
          <cell r="J1054"/>
          <cell r="K1054"/>
          <cell r="L1054"/>
          <cell r="M1054"/>
          <cell r="N1054"/>
          <cell r="O1054"/>
          <cell r="P1054"/>
          <cell r="Q1054"/>
          <cell r="R1054"/>
          <cell r="S1054"/>
        </row>
        <row r="1055">
          <cell r="G1055">
            <v>0</v>
          </cell>
          <cell r="H1055">
            <v>0</v>
          </cell>
          <cell r="I1055" t="e">
            <v>#REF!</v>
          </cell>
          <cell r="J1055"/>
          <cell r="K1055"/>
          <cell r="L1055"/>
          <cell r="M1055"/>
          <cell r="N1055"/>
          <cell r="O1055"/>
          <cell r="P1055"/>
          <cell r="Q1055"/>
          <cell r="R1055"/>
          <cell r="S1055"/>
        </row>
        <row r="1056">
          <cell r="G1056">
            <v>0</v>
          </cell>
          <cell r="H1056">
            <v>0</v>
          </cell>
          <cell r="I1056" t="e">
            <v>#REF!</v>
          </cell>
          <cell r="J1056"/>
          <cell r="K1056"/>
          <cell r="L1056"/>
          <cell r="M1056"/>
          <cell r="N1056"/>
          <cell r="O1056"/>
          <cell r="P1056"/>
          <cell r="Q1056"/>
          <cell r="R1056"/>
          <cell r="S1056"/>
        </row>
        <row r="1057">
          <cell r="G1057">
            <v>0</v>
          </cell>
          <cell r="H1057">
            <v>0</v>
          </cell>
          <cell r="I1057" t="e">
            <v>#REF!</v>
          </cell>
          <cell r="J1057"/>
          <cell r="K1057"/>
          <cell r="L1057"/>
          <cell r="M1057"/>
          <cell r="N1057"/>
          <cell r="O1057"/>
          <cell r="P1057"/>
          <cell r="Q1057"/>
          <cell r="R1057"/>
          <cell r="S1057"/>
        </row>
        <row r="1058">
          <cell r="G1058">
            <v>0</v>
          </cell>
          <cell r="H1058">
            <v>0</v>
          </cell>
          <cell r="I1058" t="e">
            <v>#REF!</v>
          </cell>
          <cell r="J1058"/>
          <cell r="K1058"/>
          <cell r="L1058"/>
          <cell r="M1058"/>
          <cell r="N1058"/>
          <cell r="O1058"/>
          <cell r="P1058"/>
          <cell r="Q1058"/>
          <cell r="R1058"/>
          <cell r="S1058"/>
        </row>
        <row r="1059">
          <cell r="G1059">
            <v>0</v>
          </cell>
          <cell r="H1059">
            <v>0</v>
          </cell>
          <cell r="I1059" t="e">
            <v>#REF!</v>
          </cell>
          <cell r="J1059"/>
          <cell r="K1059"/>
          <cell r="L1059"/>
          <cell r="M1059"/>
          <cell r="N1059"/>
          <cell r="O1059"/>
          <cell r="P1059"/>
          <cell r="Q1059"/>
          <cell r="R1059"/>
          <cell r="S1059"/>
        </row>
        <row r="1060">
          <cell r="G1060">
            <v>0</v>
          </cell>
          <cell r="H1060">
            <v>0</v>
          </cell>
          <cell r="I1060" t="e">
            <v>#REF!</v>
          </cell>
          <cell r="J1060"/>
          <cell r="K1060"/>
          <cell r="L1060"/>
          <cell r="M1060"/>
          <cell r="N1060"/>
          <cell r="O1060"/>
          <cell r="P1060"/>
          <cell r="Q1060"/>
          <cell r="R1060"/>
          <cell r="S1060"/>
        </row>
        <row r="1061">
          <cell r="G1061">
            <v>0</v>
          </cell>
          <cell r="H1061">
            <v>0</v>
          </cell>
          <cell r="I1061" t="e">
            <v>#REF!</v>
          </cell>
          <cell r="J1061"/>
          <cell r="K1061"/>
          <cell r="L1061"/>
          <cell r="M1061"/>
          <cell r="N1061"/>
          <cell r="O1061"/>
          <cell r="P1061"/>
          <cell r="Q1061"/>
          <cell r="R1061"/>
          <cell r="S1061"/>
        </row>
        <row r="1062">
          <cell r="G1062">
            <v>0</v>
          </cell>
          <cell r="H1062">
            <v>0</v>
          </cell>
          <cell r="I1062" t="e">
            <v>#REF!</v>
          </cell>
          <cell r="J1062"/>
          <cell r="K1062"/>
          <cell r="L1062"/>
          <cell r="M1062"/>
          <cell r="N1062"/>
          <cell r="O1062"/>
          <cell r="P1062"/>
          <cell r="Q1062"/>
          <cell r="R1062"/>
          <cell r="S1062"/>
        </row>
        <row r="1063">
          <cell r="G1063">
            <v>0</v>
          </cell>
          <cell r="H1063">
            <v>0</v>
          </cell>
          <cell r="I1063" t="e">
            <v>#REF!</v>
          </cell>
          <cell r="J1063"/>
          <cell r="K1063"/>
          <cell r="L1063"/>
          <cell r="M1063"/>
          <cell r="N1063"/>
          <cell r="O1063"/>
          <cell r="P1063"/>
          <cell r="Q1063"/>
          <cell r="R1063"/>
          <cell r="S1063"/>
        </row>
        <row r="1064">
          <cell r="G1064">
            <v>0</v>
          </cell>
          <cell r="H1064">
            <v>0</v>
          </cell>
          <cell r="I1064" t="e">
            <v>#REF!</v>
          </cell>
          <cell r="J1064"/>
          <cell r="K1064"/>
          <cell r="L1064"/>
          <cell r="M1064"/>
          <cell r="N1064"/>
          <cell r="O1064"/>
          <cell r="P1064"/>
          <cell r="Q1064"/>
          <cell r="R1064"/>
          <cell r="S1064"/>
        </row>
        <row r="1065">
          <cell r="G1065">
            <v>0</v>
          </cell>
          <cell r="H1065">
            <v>0</v>
          </cell>
          <cell r="I1065" t="e">
            <v>#REF!</v>
          </cell>
          <cell r="J1065"/>
          <cell r="K1065"/>
          <cell r="L1065"/>
          <cell r="M1065"/>
          <cell r="N1065"/>
          <cell r="O1065"/>
          <cell r="P1065"/>
          <cell r="Q1065"/>
          <cell r="R1065"/>
          <cell r="S1065"/>
        </row>
        <row r="1066">
          <cell r="G1066">
            <v>0</v>
          </cell>
          <cell r="H1066">
            <v>0</v>
          </cell>
          <cell r="I1066" t="e">
            <v>#REF!</v>
          </cell>
          <cell r="J1066"/>
          <cell r="K1066"/>
          <cell r="L1066"/>
          <cell r="M1066"/>
          <cell r="N1066"/>
          <cell r="O1066"/>
          <cell r="P1066"/>
          <cell r="Q1066"/>
          <cell r="R1066"/>
          <cell r="S1066"/>
        </row>
        <row r="1067">
          <cell r="G1067">
            <v>0</v>
          </cell>
          <cell r="H1067">
            <v>0</v>
          </cell>
          <cell r="I1067" t="e">
            <v>#REF!</v>
          </cell>
          <cell r="J1067"/>
          <cell r="K1067"/>
          <cell r="L1067"/>
          <cell r="M1067"/>
          <cell r="N1067"/>
          <cell r="O1067"/>
          <cell r="P1067"/>
          <cell r="Q1067"/>
          <cell r="R1067"/>
          <cell r="S1067"/>
        </row>
        <row r="1068">
          <cell r="G1068">
            <v>0</v>
          </cell>
          <cell r="H1068">
            <v>0</v>
          </cell>
          <cell r="I1068" t="e">
            <v>#REF!</v>
          </cell>
          <cell r="J1068"/>
          <cell r="K1068"/>
          <cell r="L1068"/>
          <cell r="M1068"/>
          <cell r="N1068"/>
          <cell r="O1068"/>
          <cell r="P1068"/>
          <cell r="Q1068"/>
          <cell r="R1068"/>
          <cell r="S1068"/>
        </row>
        <row r="1069">
          <cell r="G1069">
            <v>0</v>
          </cell>
          <cell r="H1069">
            <v>0</v>
          </cell>
          <cell r="I1069" t="e">
            <v>#REF!</v>
          </cell>
          <cell r="J1069"/>
          <cell r="K1069"/>
          <cell r="L1069"/>
          <cell r="M1069"/>
          <cell r="N1069"/>
          <cell r="O1069"/>
          <cell r="P1069"/>
          <cell r="Q1069"/>
          <cell r="R1069"/>
          <cell r="S1069"/>
        </row>
        <row r="1070">
          <cell r="G1070">
            <v>0</v>
          </cell>
          <cell r="H1070">
            <v>0</v>
          </cell>
          <cell r="I1070" t="e">
            <v>#REF!</v>
          </cell>
          <cell r="J1070"/>
          <cell r="K1070"/>
          <cell r="L1070"/>
          <cell r="M1070"/>
          <cell r="N1070"/>
          <cell r="O1070"/>
          <cell r="P1070"/>
          <cell r="Q1070"/>
          <cell r="R1070"/>
          <cell r="S1070"/>
        </row>
        <row r="1071">
          <cell r="G1071">
            <v>0</v>
          </cell>
          <cell r="H1071">
            <v>0</v>
          </cell>
          <cell r="I1071" t="e">
            <v>#REF!</v>
          </cell>
          <cell r="J1071"/>
          <cell r="K1071"/>
          <cell r="L1071"/>
          <cell r="M1071"/>
          <cell r="N1071"/>
          <cell r="O1071"/>
          <cell r="P1071"/>
          <cell r="Q1071"/>
          <cell r="R1071"/>
          <cell r="S1071"/>
        </row>
        <row r="1072">
          <cell r="G1072">
            <v>0</v>
          </cell>
          <cell r="H1072">
            <v>0</v>
          </cell>
          <cell r="I1072" t="e">
            <v>#REF!</v>
          </cell>
          <cell r="J1072"/>
          <cell r="K1072"/>
          <cell r="L1072"/>
          <cell r="M1072"/>
          <cell r="N1072"/>
          <cell r="O1072"/>
          <cell r="P1072"/>
          <cell r="Q1072"/>
          <cell r="R1072"/>
          <cell r="S1072"/>
        </row>
        <row r="1073">
          <cell r="G1073">
            <v>0</v>
          </cell>
          <cell r="H1073">
            <v>0</v>
          </cell>
          <cell r="I1073" t="e">
            <v>#REF!</v>
          </cell>
          <cell r="J1073"/>
          <cell r="K1073"/>
          <cell r="L1073"/>
          <cell r="M1073"/>
          <cell r="N1073"/>
          <cell r="O1073"/>
          <cell r="P1073"/>
          <cell r="Q1073"/>
          <cell r="R1073"/>
          <cell r="S1073"/>
        </row>
        <row r="1074">
          <cell r="G1074">
            <v>0</v>
          </cell>
          <cell r="H1074">
            <v>0</v>
          </cell>
          <cell r="I1074" t="e">
            <v>#REF!</v>
          </cell>
          <cell r="J1074"/>
          <cell r="K1074"/>
          <cell r="L1074"/>
          <cell r="M1074"/>
          <cell r="N1074"/>
          <cell r="O1074"/>
          <cell r="P1074"/>
          <cell r="Q1074"/>
          <cell r="R1074"/>
          <cell r="S1074"/>
        </row>
        <row r="1075">
          <cell r="G1075">
            <v>0</v>
          </cell>
          <cell r="H1075">
            <v>0</v>
          </cell>
          <cell r="I1075" t="e">
            <v>#REF!</v>
          </cell>
          <cell r="J1075"/>
          <cell r="K1075"/>
          <cell r="L1075"/>
          <cell r="M1075"/>
          <cell r="N1075"/>
          <cell r="O1075"/>
          <cell r="P1075"/>
          <cell r="Q1075"/>
          <cell r="R1075"/>
          <cell r="S1075"/>
        </row>
        <row r="1076">
          <cell r="G1076">
            <v>0</v>
          </cell>
          <cell r="H1076">
            <v>0</v>
          </cell>
          <cell r="I1076" t="e">
            <v>#REF!</v>
          </cell>
          <cell r="J1076"/>
          <cell r="K1076"/>
          <cell r="L1076"/>
          <cell r="M1076"/>
          <cell r="N1076"/>
          <cell r="O1076"/>
          <cell r="P1076"/>
          <cell r="Q1076"/>
          <cell r="R1076"/>
          <cell r="S1076"/>
        </row>
        <row r="1077">
          <cell r="G1077">
            <v>0</v>
          </cell>
          <cell r="H1077">
            <v>0</v>
          </cell>
          <cell r="I1077" t="e">
            <v>#REF!</v>
          </cell>
          <cell r="J1077"/>
          <cell r="K1077"/>
          <cell r="L1077"/>
          <cell r="M1077"/>
          <cell r="N1077"/>
          <cell r="O1077"/>
          <cell r="P1077"/>
          <cell r="Q1077"/>
          <cell r="R1077"/>
          <cell r="S1077"/>
        </row>
        <row r="1078">
          <cell r="G1078">
            <v>0</v>
          </cell>
          <cell r="H1078">
            <v>0</v>
          </cell>
          <cell r="I1078" t="e">
            <v>#REF!</v>
          </cell>
          <cell r="J1078"/>
          <cell r="K1078"/>
          <cell r="L1078"/>
          <cell r="M1078"/>
          <cell r="N1078"/>
          <cell r="O1078"/>
          <cell r="P1078"/>
          <cell r="Q1078"/>
          <cell r="R1078"/>
          <cell r="S1078"/>
        </row>
        <row r="1079">
          <cell r="G1079">
            <v>0</v>
          </cell>
          <cell r="H1079">
            <v>0</v>
          </cell>
          <cell r="I1079" t="e">
            <v>#REF!</v>
          </cell>
          <cell r="J1079"/>
          <cell r="K1079"/>
          <cell r="L1079"/>
          <cell r="M1079"/>
          <cell r="N1079"/>
          <cell r="O1079"/>
          <cell r="P1079"/>
          <cell r="Q1079"/>
          <cell r="R1079"/>
          <cell r="S1079"/>
        </row>
        <row r="1080">
          <cell r="G1080">
            <v>0</v>
          </cell>
          <cell r="H1080">
            <v>0</v>
          </cell>
          <cell r="I1080" t="e">
            <v>#REF!</v>
          </cell>
          <cell r="J1080"/>
          <cell r="K1080"/>
          <cell r="L1080"/>
          <cell r="M1080"/>
          <cell r="N1080"/>
          <cell r="O1080"/>
          <cell r="P1080"/>
          <cell r="Q1080"/>
          <cell r="R1080"/>
          <cell r="S1080"/>
        </row>
        <row r="1081">
          <cell r="G1081">
            <v>0</v>
          </cell>
          <cell r="H1081">
            <v>0</v>
          </cell>
          <cell r="I1081" t="e">
            <v>#REF!</v>
          </cell>
          <cell r="J1081"/>
          <cell r="K1081"/>
          <cell r="L1081"/>
          <cell r="M1081"/>
          <cell r="N1081"/>
          <cell r="O1081"/>
          <cell r="P1081"/>
          <cell r="Q1081"/>
          <cell r="R1081"/>
          <cell r="S1081"/>
        </row>
        <row r="1082">
          <cell r="G1082">
            <v>0</v>
          </cell>
          <cell r="H1082">
            <v>0</v>
          </cell>
          <cell r="I1082" t="e">
            <v>#REF!</v>
          </cell>
          <cell r="J1082"/>
          <cell r="K1082"/>
          <cell r="L1082"/>
          <cell r="M1082"/>
          <cell r="N1082"/>
          <cell r="O1082"/>
          <cell r="P1082"/>
          <cell r="Q1082"/>
          <cell r="R1082"/>
          <cell r="S1082"/>
        </row>
        <row r="1083">
          <cell r="G1083">
            <v>0</v>
          </cell>
          <cell r="H1083">
            <v>0</v>
          </cell>
          <cell r="I1083" t="e">
            <v>#REF!</v>
          </cell>
          <cell r="J1083"/>
          <cell r="K1083"/>
          <cell r="L1083"/>
          <cell r="M1083"/>
          <cell r="N1083"/>
          <cell r="O1083"/>
          <cell r="P1083"/>
          <cell r="Q1083"/>
          <cell r="R1083"/>
          <cell r="S1083"/>
        </row>
        <row r="1084">
          <cell r="G1084">
            <v>0</v>
          </cell>
          <cell r="H1084">
            <v>0</v>
          </cell>
          <cell r="I1084" t="e">
            <v>#REF!</v>
          </cell>
          <cell r="J1084"/>
          <cell r="K1084"/>
          <cell r="L1084"/>
          <cell r="M1084"/>
          <cell r="N1084"/>
          <cell r="O1084"/>
          <cell r="P1084"/>
          <cell r="Q1084"/>
          <cell r="R1084"/>
          <cell r="S1084"/>
        </row>
        <row r="1085">
          <cell r="G1085">
            <v>0</v>
          </cell>
          <cell r="H1085">
            <v>0</v>
          </cell>
          <cell r="I1085" t="e">
            <v>#REF!</v>
          </cell>
          <cell r="J1085"/>
          <cell r="K1085"/>
          <cell r="L1085"/>
          <cell r="M1085"/>
          <cell r="N1085"/>
          <cell r="O1085"/>
          <cell r="P1085"/>
          <cell r="Q1085"/>
          <cell r="R1085"/>
          <cell r="S1085"/>
        </row>
        <row r="1086">
          <cell r="G1086">
            <v>0</v>
          </cell>
          <cell r="H1086">
            <v>0</v>
          </cell>
          <cell r="I1086" t="e">
            <v>#REF!</v>
          </cell>
          <cell r="J1086"/>
          <cell r="K1086"/>
          <cell r="L1086"/>
          <cell r="M1086"/>
          <cell r="N1086"/>
          <cell r="O1086"/>
          <cell r="P1086"/>
          <cell r="Q1086"/>
          <cell r="R1086"/>
          <cell r="S1086"/>
        </row>
        <row r="1087">
          <cell r="G1087">
            <v>0</v>
          </cell>
          <cell r="H1087">
            <v>0</v>
          </cell>
          <cell r="I1087" t="e">
            <v>#REF!</v>
          </cell>
          <cell r="J1087"/>
          <cell r="K1087"/>
          <cell r="L1087"/>
          <cell r="M1087"/>
          <cell r="N1087"/>
          <cell r="O1087"/>
          <cell r="P1087"/>
          <cell r="Q1087"/>
          <cell r="R1087"/>
          <cell r="S1087"/>
        </row>
        <row r="1088">
          <cell r="G1088">
            <v>0</v>
          </cell>
          <cell r="H1088">
            <v>0</v>
          </cell>
          <cell r="I1088" t="e">
            <v>#REF!</v>
          </cell>
          <cell r="J1088"/>
          <cell r="K1088"/>
          <cell r="L1088"/>
          <cell r="M1088"/>
          <cell r="N1088"/>
          <cell r="O1088"/>
          <cell r="P1088"/>
          <cell r="Q1088"/>
          <cell r="R1088"/>
          <cell r="S1088"/>
        </row>
        <row r="1089">
          <cell r="G1089">
            <v>0</v>
          </cell>
          <cell r="H1089">
            <v>0</v>
          </cell>
          <cell r="I1089" t="e">
            <v>#REF!</v>
          </cell>
          <cell r="J1089"/>
          <cell r="K1089"/>
          <cell r="L1089"/>
          <cell r="M1089"/>
          <cell r="N1089"/>
          <cell r="O1089"/>
          <cell r="P1089"/>
          <cell r="Q1089"/>
          <cell r="R1089"/>
          <cell r="S1089"/>
        </row>
        <row r="1090">
          <cell r="G1090">
            <v>0</v>
          </cell>
          <cell r="H1090">
            <v>0</v>
          </cell>
          <cell r="I1090" t="e">
            <v>#REF!</v>
          </cell>
          <cell r="J1090"/>
          <cell r="K1090"/>
          <cell r="L1090"/>
          <cell r="M1090"/>
          <cell r="N1090"/>
          <cell r="O1090"/>
          <cell r="P1090"/>
          <cell r="Q1090"/>
          <cell r="R1090"/>
          <cell r="S1090"/>
        </row>
        <row r="1091">
          <cell r="G1091">
            <v>0</v>
          </cell>
          <cell r="H1091">
            <v>0</v>
          </cell>
          <cell r="I1091" t="e">
            <v>#REF!</v>
          </cell>
          <cell r="J1091"/>
          <cell r="K1091"/>
          <cell r="L1091"/>
          <cell r="M1091"/>
          <cell r="N1091"/>
          <cell r="O1091"/>
          <cell r="P1091"/>
          <cell r="Q1091"/>
          <cell r="R1091"/>
          <cell r="S1091"/>
        </row>
        <row r="1092">
          <cell r="G1092">
            <v>0</v>
          </cell>
          <cell r="H1092">
            <v>0</v>
          </cell>
          <cell r="I1092" t="e">
            <v>#REF!</v>
          </cell>
          <cell r="J1092"/>
          <cell r="K1092"/>
          <cell r="L1092"/>
          <cell r="M1092"/>
          <cell r="N1092"/>
          <cell r="O1092"/>
          <cell r="P1092"/>
          <cell r="Q1092"/>
          <cell r="R1092"/>
          <cell r="S1092"/>
        </row>
        <row r="1093">
          <cell r="G1093">
            <v>0</v>
          </cell>
          <cell r="H1093">
            <v>0</v>
          </cell>
          <cell r="I1093" t="e">
            <v>#REF!</v>
          </cell>
          <cell r="J1093"/>
          <cell r="K1093"/>
          <cell r="L1093"/>
          <cell r="M1093"/>
          <cell r="N1093"/>
          <cell r="O1093"/>
          <cell r="P1093"/>
          <cell r="Q1093"/>
          <cell r="R1093"/>
          <cell r="S1093"/>
        </row>
        <row r="1094">
          <cell r="G1094">
            <v>0</v>
          </cell>
          <cell r="H1094">
            <v>0</v>
          </cell>
          <cell r="I1094" t="e">
            <v>#REF!</v>
          </cell>
          <cell r="J1094"/>
          <cell r="K1094"/>
          <cell r="L1094"/>
          <cell r="M1094"/>
          <cell r="N1094"/>
          <cell r="O1094"/>
          <cell r="P1094"/>
          <cell r="Q1094"/>
          <cell r="R1094"/>
          <cell r="S1094"/>
        </row>
        <row r="1095">
          <cell r="G1095">
            <v>0</v>
          </cell>
          <cell r="H1095">
            <v>0</v>
          </cell>
          <cell r="I1095" t="e">
            <v>#REF!</v>
          </cell>
          <cell r="J1095"/>
          <cell r="K1095"/>
          <cell r="L1095"/>
          <cell r="M1095"/>
          <cell r="N1095"/>
          <cell r="O1095"/>
          <cell r="P1095"/>
          <cell r="Q1095"/>
          <cell r="R1095"/>
          <cell r="S1095"/>
        </row>
        <row r="1096">
          <cell r="G1096">
            <v>0</v>
          </cell>
          <cell r="H1096">
            <v>0</v>
          </cell>
          <cell r="I1096" t="e">
            <v>#REF!</v>
          </cell>
          <cell r="J1096"/>
          <cell r="K1096"/>
          <cell r="L1096"/>
          <cell r="M1096"/>
          <cell r="N1096"/>
          <cell r="O1096"/>
          <cell r="P1096"/>
          <cell r="Q1096"/>
          <cell r="R1096"/>
          <cell r="S1096"/>
        </row>
        <row r="1097">
          <cell r="G1097">
            <v>0</v>
          </cell>
          <cell r="H1097">
            <v>0</v>
          </cell>
          <cell r="I1097" t="e">
            <v>#REF!</v>
          </cell>
          <cell r="J1097"/>
          <cell r="K1097"/>
          <cell r="L1097"/>
          <cell r="M1097"/>
          <cell r="N1097"/>
          <cell r="O1097"/>
          <cell r="P1097"/>
          <cell r="Q1097"/>
          <cell r="R1097"/>
          <cell r="S1097"/>
        </row>
        <row r="1098">
          <cell r="G1098">
            <v>0</v>
          </cell>
          <cell r="H1098">
            <v>0</v>
          </cell>
          <cell r="I1098" t="e">
            <v>#REF!</v>
          </cell>
          <cell r="J1098"/>
          <cell r="K1098"/>
          <cell r="L1098"/>
          <cell r="M1098"/>
          <cell r="N1098"/>
          <cell r="O1098"/>
          <cell r="P1098"/>
          <cell r="Q1098"/>
          <cell r="R1098"/>
          <cell r="S1098"/>
        </row>
        <row r="1099">
          <cell r="G1099">
            <v>0</v>
          </cell>
          <cell r="H1099">
            <v>0</v>
          </cell>
          <cell r="I1099" t="e">
            <v>#REF!</v>
          </cell>
          <cell r="J1099"/>
          <cell r="K1099"/>
          <cell r="L1099"/>
          <cell r="M1099"/>
          <cell r="N1099"/>
          <cell r="O1099"/>
          <cell r="P1099"/>
          <cell r="Q1099"/>
          <cell r="R1099"/>
          <cell r="S1099"/>
        </row>
        <row r="1100">
          <cell r="G1100">
            <v>0</v>
          </cell>
          <cell r="H1100">
            <v>0</v>
          </cell>
          <cell r="I1100" t="e">
            <v>#REF!</v>
          </cell>
          <cell r="J1100"/>
          <cell r="K1100"/>
          <cell r="L1100"/>
          <cell r="M1100"/>
          <cell r="N1100"/>
          <cell r="O1100"/>
          <cell r="P1100"/>
          <cell r="Q1100"/>
          <cell r="R1100"/>
          <cell r="S1100"/>
        </row>
        <row r="1101">
          <cell r="G1101">
            <v>0</v>
          </cell>
          <cell r="H1101">
            <v>0</v>
          </cell>
          <cell r="I1101" t="e">
            <v>#REF!</v>
          </cell>
          <cell r="J1101"/>
          <cell r="K1101"/>
          <cell r="L1101"/>
          <cell r="M1101"/>
          <cell r="N1101"/>
          <cell r="O1101"/>
          <cell r="P1101"/>
          <cell r="Q1101"/>
          <cell r="R1101"/>
          <cell r="S1101"/>
        </row>
        <row r="1102">
          <cell r="G1102">
            <v>0</v>
          </cell>
          <cell r="H1102">
            <v>0</v>
          </cell>
          <cell r="I1102" t="e">
            <v>#REF!</v>
          </cell>
          <cell r="J1102"/>
          <cell r="K1102"/>
          <cell r="L1102"/>
          <cell r="M1102"/>
          <cell r="N1102"/>
          <cell r="O1102"/>
          <cell r="P1102"/>
          <cell r="Q1102"/>
          <cell r="R1102"/>
          <cell r="S1102"/>
        </row>
        <row r="1103">
          <cell r="G1103">
            <v>0</v>
          </cell>
          <cell r="H1103">
            <v>0</v>
          </cell>
          <cell r="I1103" t="e">
            <v>#REF!</v>
          </cell>
          <cell r="J1103"/>
          <cell r="K1103"/>
          <cell r="L1103"/>
          <cell r="M1103"/>
          <cell r="N1103"/>
          <cell r="O1103"/>
          <cell r="P1103"/>
          <cell r="Q1103"/>
          <cell r="R1103"/>
          <cell r="S1103"/>
        </row>
        <row r="1104">
          <cell r="G1104">
            <v>0</v>
          </cell>
          <cell r="H1104">
            <v>0</v>
          </cell>
          <cell r="I1104" t="e">
            <v>#REF!</v>
          </cell>
          <cell r="J1104"/>
          <cell r="K1104"/>
          <cell r="L1104"/>
          <cell r="M1104"/>
          <cell r="N1104"/>
          <cell r="O1104"/>
          <cell r="P1104"/>
          <cell r="Q1104"/>
          <cell r="R1104"/>
          <cell r="S1104"/>
        </row>
        <row r="1105">
          <cell r="G1105">
            <v>0</v>
          </cell>
          <cell r="H1105">
            <v>0</v>
          </cell>
          <cell r="I1105" t="e">
            <v>#REF!</v>
          </cell>
          <cell r="J1105"/>
          <cell r="K1105"/>
          <cell r="L1105"/>
          <cell r="M1105"/>
          <cell r="N1105"/>
          <cell r="O1105"/>
          <cell r="P1105"/>
          <cell r="Q1105"/>
          <cell r="R1105"/>
          <cell r="S1105"/>
        </row>
        <row r="1106">
          <cell r="G1106">
            <v>0</v>
          </cell>
          <cell r="H1106">
            <v>0</v>
          </cell>
          <cell r="I1106" t="e">
            <v>#REF!</v>
          </cell>
          <cell r="J1106"/>
          <cell r="K1106"/>
          <cell r="L1106"/>
          <cell r="M1106"/>
          <cell r="N1106"/>
          <cell r="O1106"/>
          <cell r="P1106"/>
          <cell r="Q1106"/>
          <cell r="R1106"/>
          <cell r="S1106"/>
        </row>
        <row r="1107">
          <cell r="G1107">
            <v>0</v>
          </cell>
          <cell r="H1107">
            <v>0</v>
          </cell>
          <cell r="I1107" t="e">
            <v>#REF!</v>
          </cell>
          <cell r="J1107"/>
          <cell r="K1107"/>
          <cell r="L1107"/>
          <cell r="M1107"/>
          <cell r="N1107"/>
          <cell r="O1107"/>
          <cell r="P1107"/>
          <cell r="Q1107"/>
          <cell r="R1107"/>
          <cell r="S1107"/>
        </row>
        <row r="1108">
          <cell r="G1108">
            <v>0</v>
          </cell>
          <cell r="H1108">
            <v>0</v>
          </cell>
          <cell r="I1108" t="e">
            <v>#REF!</v>
          </cell>
          <cell r="J1108"/>
          <cell r="K1108"/>
          <cell r="L1108"/>
          <cell r="M1108"/>
          <cell r="N1108"/>
          <cell r="O1108"/>
          <cell r="P1108"/>
          <cell r="Q1108"/>
          <cell r="R1108"/>
          <cell r="S1108"/>
        </row>
        <row r="1109">
          <cell r="G1109">
            <v>0</v>
          </cell>
          <cell r="H1109">
            <v>0</v>
          </cell>
          <cell r="I1109" t="e">
            <v>#REF!</v>
          </cell>
          <cell r="J1109"/>
          <cell r="K1109"/>
          <cell r="L1109"/>
          <cell r="M1109"/>
          <cell r="N1109"/>
          <cell r="O1109"/>
          <cell r="P1109"/>
          <cell r="Q1109"/>
          <cell r="R1109"/>
          <cell r="S1109"/>
        </row>
        <row r="1110">
          <cell r="G1110">
            <v>0</v>
          </cell>
          <cell r="H1110">
            <v>0</v>
          </cell>
          <cell r="I1110" t="e">
            <v>#REF!</v>
          </cell>
          <cell r="J1110"/>
          <cell r="K1110"/>
          <cell r="L1110"/>
          <cell r="M1110"/>
          <cell r="N1110"/>
          <cell r="O1110"/>
          <cell r="P1110"/>
          <cell r="Q1110"/>
          <cell r="R1110"/>
          <cell r="S1110"/>
        </row>
        <row r="1111">
          <cell r="G1111">
            <v>0</v>
          </cell>
          <cell r="H1111">
            <v>0</v>
          </cell>
          <cell r="I1111" t="e">
            <v>#REF!</v>
          </cell>
          <cell r="J1111"/>
          <cell r="K1111"/>
          <cell r="L1111"/>
          <cell r="M1111"/>
          <cell r="N1111"/>
          <cell r="O1111"/>
          <cell r="P1111"/>
          <cell r="Q1111"/>
          <cell r="R1111"/>
          <cell r="S1111"/>
        </row>
        <row r="1112">
          <cell r="G1112">
            <v>0</v>
          </cell>
          <cell r="H1112">
            <v>0</v>
          </cell>
          <cell r="I1112" t="e">
            <v>#REF!</v>
          </cell>
          <cell r="J1112"/>
          <cell r="K1112"/>
          <cell r="L1112"/>
          <cell r="M1112"/>
          <cell r="N1112"/>
          <cell r="O1112"/>
          <cell r="P1112"/>
          <cell r="Q1112"/>
          <cell r="R1112"/>
          <cell r="S1112"/>
        </row>
        <row r="1113">
          <cell r="G1113">
            <v>0</v>
          </cell>
          <cell r="H1113">
            <v>0</v>
          </cell>
          <cell r="I1113" t="e">
            <v>#REF!</v>
          </cell>
          <cell r="J1113"/>
          <cell r="K1113"/>
          <cell r="L1113"/>
          <cell r="M1113"/>
          <cell r="N1113"/>
          <cell r="O1113"/>
          <cell r="P1113"/>
          <cell r="Q1113"/>
          <cell r="R1113"/>
          <cell r="S1113"/>
        </row>
        <row r="1114">
          <cell r="G1114">
            <v>0</v>
          </cell>
          <cell r="H1114">
            <v>0</v>
          </cell>
          <cell r="I1114" t="e">
            <v>#REF!</v>
          </cell>
          <cell r="J1114"/>
          <cell r="K1114"/>
          <cell r="L1114"/>
          <cell r="M1114"/>
          <cell r="N1114"/>
          <cell r="O1114"/>
          <cell r="P1114"/>
          <cell r="Q1114"/>
          <cell r="R1114"/>
          <cell r="S1114"/>
        </row>
        <row r="1115">
          <cell r="G1115">
            <v>0</v>
          </cell>
          <cell r="H1115">
            <v>0</v>
          </cell>
          <cell r="I1115" t="e">
            <v>#REF!</v>
          </cell>
          <cell r="J1115"/>
          <cell r="K1115"/>
          <cell r="L1115"/>
          <cell r="M1115"/>
          <cell r="N1115"/>
          <cell r="O1115"/>
          <cell r="P1115"/>
          <cell r="Q1115"/>
          <cell r="R1115"/>
          <cell r="S1115"/>
        </row>
        <row r="1116">
          <cell r="G1116">
            <v>0</v>
          </cell>
          <cell r="H1116">
            <v>0</v>
          </cell>
          <cell r="I1116" t="e">
            <v>#REF!</v>
          </cell>
          <cell r="J1116"/>
          <cell r="K1116"/>
          <cell r="L1116"/>
          <cell r="M1116"/>
          <cell r="N1116"/>
          <cell r="O1116"/>
          <cell r="P1116"/>
          <cell r="Q1116"/>
          <cell r="R1116"/>
          <cell r="S1116"/>
        </row>
        <row r="1117">
          <cell r="G1117">
            <v>0</v>
          </cell>
          <cell r="H1117">
            <v>0</v>
          </cell>
          <cell r="I1117" t="e">
            <v>#REF!</v>
          </cell>
          <cell r="J1117"/>
          <cell r="K1117"/>
          <cell r="L1117"/>
          <cell r="M1117"/>
          <cell r="N1117"/>
          <cell r="O1117"/>
          <cell r="P1117"/>
          <cell r="Q1117"/>
          <cell r="R1117"/>
          <cell r="S1117"/>
        </row>
        <row r="1118">
          <cell r="G1118">
            <v>0</v>
          </cell>
          <cell r="H1118">
            <v>0</v>
          </cell>
          <cell r="I1118" t="e">
            <v>#REF!</v>
          </cell>
          <cell r="J1118"/>
          <cell r="K1118"/>
          <cell r="L1118"/>
          <cell r="M1118"/>
          <cell r="N1118"/>
          <cell r="O1118"/>
          <cell r="P1118"/>
          <cell r="Q1118"/>
          <cell r="R1118"/>
          <cell r="S1118"/>
        </row>
        <row r="1119">
          <cell r="G1119">
            <v>0</v>
          </cell>
          <cell r="H1119">
            <v>0</v>
          </cell>
          <cell r="I1119" t="e">
            <v>#REF!</v>
          </cell>
          <cell r="J1119"/>
          <cell r="K1119"/>
          <cell r="L1119"/>
          <cell r="M1119"/>
          <cell r="N1119"/>
          <cell r="O1119"/>
          <cell r="P1119"/>
          <cell r="Q1119"/>
          <cell r="R1119"/>
          <cell r="S1119"/>
        </row>
        <row r="1120">
          <cell r="G1120">
            <v>0</v>
          </cell>
          <cell r="H1120">
            <v>0</v>
          </cell>
          <cell r="I1120" t="e">
            <v>#REF!</v>
          </cell>
          <cell r="J1120"/>
          <cell r="K1120"/>
          <cell r="L1120"/>
          <cell r="M1120"/>
          <cell r="N1120"/>
          <cell r="O1120"/>
          <cell r="P1120"/>
          <cell r="Q1120"/>
          <cell r="R1120"/>
          <cell r="S1120"/>
        </row>
        <row r="1121">
          <cell r="G1121">
            <v>0</v>
          </cell>
          <cell r="H1121">
            <v>0</v>
          </cell>
          <cell r="I1121" t="e">
            <v>#REF!</v>
          </cell>
          <cell r="J1121"/>
          <cell r="K1121"/>
          <cell r="L1121"/>
          <cell r="M1121"/>
          <cell r="N1121"/>
          <cell r="O1121"/>
          <cell r="P1121"/>
          <cell r="Q1121"/>
          <cell r="R1121"/>
          <cell r="S1121"/>
        </row>
        <row r="1122">
          <cell r="G1122">
            <v>0</v>
          </cell>
          <cell r="H1122">
            <v>0</v>
          </cell>
          <cell r="I1122" t="e">
            <v>#REF!</v>
          </cell>
          <cell r="J1122"/>
          <cell r="K1122"/>
          <cell r="L1122"/>
          <cell r="M1122"/>
          <cell r="N1122"/>
          <cell r="O1122"/>
          <cell r="P1122"/>
          <cell r="Q1122"/>
          <cell r="R1122"/>
          <cell r="S1122"/>
        </row>
        <row r="1123">
          <cell r="G1123">
            <v>0</v>
          </cell>
          <cell r="H1123">
            <v>0</v>
          </cell>
          <cell r="I1123" t="e">
            <v>#REF!</v>
          </cell>
          <cell r="J1123"/>
          <cell r="K1123"/>
          <cell r="L1123"/>
          <cell r="M1123"/>
          <cell r="N1123"/>
          <cell r="O1123"/>
          <cell r="P1123"/>
          <cell r="Q1123"/>
          <cell r="R1123"/>
          <cell r="S1123"/>
        </row>
        <row r="1124">
          <cell r="G1124">
            <v>0</v>
          </cell>
          <cell r="H1124">
            <v>0</v>
          </cell>
          <cell r="I1124" t="e">
            <v>#REF!</v>
          </cell>
          <cell r="J1124"/>
          <cell r="K1124"/>
          <cell r="L1124"/>
          <cell r="M1124"/>
          <cell r="N1124"/>
          <cell r="O1124"/>
          <cell r="P1124"/>
          <cell r="Q1124"/>
          <cell r="R1124"/>
          <cell r="S1124"/>
        </row>
        <row r="1125">
          <cell r="G1125">
            <v>0</v>
          </cell>
          <cell r="H1125">
            <v>0</v>
          </cell>
          <cell r="I1125" t="e">
            <v>#REF!</v>
          </cell>
          <cell r="J1125"/>
          <cell r="K1125"/>
          <cell r="L1125"/>
          <cell r="M1125"/>
          <cell r="N1125"/>
          <cell r="O1125"/>
          <cell r="P1125"/>
          <cell r="Q1125"/>
          <cell r="R1125"/>
          <cell r="S1125"/>
        </row>
        <row r="1126">
          <cell r="G1126">
            <v>0</v>
          </cell>
          <cell r="H1126">
            <v>0</v>
          </cell>
          <cell r="I1126" t="e">
            <v>#REF!</v>
          </cell>
          <cell r="J1126"/>
          <cell r="K1126"/>
          <cell r="L1126"/>
          <cell r="M1126"/>
          <cell r="N1126"/>
          <cell r="O1126"/>
          <cell r="P1126"/>
          <cell r="Q1126"/>
          <cell r="R1126"/>
          <cell r="S1126"/>
        </row>
        <row r="1127">
          <cell r="G1127">
            <v>0</v>
          </cell>
          <cell r="H1127">
            <v>0</v>
          </cell>
          <cell r="I1127" t="e">
            <v>#REF!</v>
          </cell>
          <cell r="J1127"/>
          <cell r="K1127"/>
          <cell r="L1127"/>
          <cell r="M1127"/>
          <cell r="N1127"/>
          <cell r="O1127"/>
          <cell r="P1127"/>
          <cell r="Q1127"/>
          <cell r="R1127"/>
          <cell r="S1127"/>
        </row>
        <row r="1128">
          <cell r="G1128">
            <v>0</v>
          </cell>
          <cell r="H1128">
            <v>0</v>
          </cell>
          <cell r="I1128" t="e">
            <v>#REF!</v>
          </cell>
          <cell r="J1128"/>
          <cell r="K1128"/>
          <cell r="L1128"/>
          <cell r="M1128"/>
          <cell r="N1128"/>
          <cell r="O1128"/>
          <cell r="P1128"/>
          <cell r="Q1128"/>
          <cell r="R1128"/>
          <cell r="S1128"/>
        </row>
        <row r="1129">
          <cell r="G1129">
            <v>0</v>
          </cell>
          <cell r="H1129">
            <v>0</v>
          </cell>
          <cell r="I1129" t="e">
            <v>#REF!</v>
          </cell>
          <cell r="J1129"/>
          <cell r="K1129"/>
          <cell r="L1129"/>
          <cell r="M1129"/>
          <cell r="N1129"/>
          <cell r="O1129"/>
          <cell r="P1129"/>
          <cell r="Q1129"/>
          <cell r="R1129"/>
          <cell r="S1129"/>
        </row>
        <row r="1130">
          <cell r="G1130">
            <v>0</v>
          </cell>
          <cell r="H1130">
            <v>0</v>
          </cell>
          <cell r="I1130" t="e">
            <v>#REF!</v>
          </cell>
          <cell r="J1130"/>
          <cell r="K1130"/>
          <cell r="L1130"/>
          <cell r="M1130"/>
          <cell r="N1130"/>
          <cell r="O1130"/>
          <cell r="P1130"/>
          <cell r="Q1130"/>
          <cell r="R1130"/>
          <cell r="S1130"/>
        </row>
        <row r="1131">
          <cell r="G1131">
            <v>0</v>
          </cell>
          <cell r="H1131">
            <v>0</v>
          </cell>
          <cell r="I1131" t="e">
            <v>#REF!</v>
          </cell>
          <cell r="J1131"/>
          <cell r="K1131"/>
          <cell r="L1131"/>
          <cell r="M1131"/>
          <cell r="N1131"/>
          <cell r="O1131"/>
          <cell r="P1131"/>
          <cell r="Q1131"/>
          <cell r="R1131"/>
          <cell r="S1131"/>
        </row>
        <row r="1132">
          <cell r="G1132">
            <v>0</v>
          </cell>
          <cell r="H1132">
            <v>0</v>
          </cell>
          <cell r="I1132" t="e">
            <v>#REF!</v>
          </cell>
          <cell r="J1132"/>
          <cell r="K1132"/>
          <cell r="L1132"/>
          <cell r="M1132"/>
          <cell r="N1132"/>
          <cell r="O1132"/>
          <cell r="P1132"/>
          <cell r="Q1132"/>
          <cell r="R1132"/>
          <cell r="S1132"/>
        </row>
        <row r="1133">
          <cell r="G1133">
            <v>0</v>
          </cell>
          <cell r="H1133">
            <v>0</v>
          </cell>
          <cell r="I1133" t="e">
            <v>#REF!</v>
          </cell>
          <cell r="J1133"/>
          <cell r="K1133"/>
          <cell r="L1133"/>
          <cell r="M1133"/>
          <cell r="N1133"/>
          <cell r="O1133"/>
          <cell r="P1133"/>
          <cell r="Q1133"/>
          <cell r="R1133"/>
          <cell r="S1133"/>
        </row>
        <row r="1134">
          <cell r="G1134">
            <v>0</v>
          </cell>
          <cell r="H1134">
            <v>0</v>
          </cell>
          <cell r="I1134" t="e">
            <v>#REF!</v>
          </cell>
          <cell r="J1134"/>
          <cell r="K1134"/>
          <cell r="L1134"/>
          <cell r="M1134"/>
          <cell r="N1134"/>
          <cell r="O1134"/>
          <cell r="P1134"/>
          <cell r="Q1134"/>
          <cell r="R1134"/>
          <cell r="S1134"/>
        </row>
        <row r="1135">
          <cell r="G1135">
            <v>0</v>
          </cell>
          <cell r="H1135">
            <v>0</v>
          </cell>
          <cell r="I1135" t="e">
            <v>#REF!</v>
          </cell>
          <cell r="J1135"/>
          <cell r="K1135"/>
          <cell r="L1135"/>
          <cell r="M1135"/>
          <cell r="N1135"/>
          <cell r="O1135"/>
          <cell r="P1135"/>
          <cell r="Q1135"/>
          <cell r="R1135"/>
          <cell r="S1135"/>
        </row>
        <row r="1136">
          <cell r="G1136">
            <v>0</v>
          </cell>
          <cell r="H1136">
            <v>0</v>
          </cell>
          <cell r="I1136" t="e">
            <v>#REF!</v>
          </cell>
          <cell r="J1136"/>
          <cell r="K1136"/>
          <cell r="L1136"/>
          <cell r="M1136"/>
          <cell r="N1136"/>
          <cell r="O1136"/>
          <cell r="P1136"/>
          <cell r="Q1136"/>
          <cell r="R1136"/>
          <cell r="S1136"/>
        </row>
        <row r="1137">
          <cell r="G1137">
            <v>0</v>
          </cell>
          <cell r="H1137">
            <v>0</v>
          </cell>
          <cell r="I1137" t="e">
            <v>#REF!</v>
          </cell>
          <cell r="J1137"/>
          <cell r="K1137"/>
          <cell r="L1137"/>
          <cell r="M1137"/>
          <cell r="N1137"/>
          <cell r="O1137"/>
          <cell r="P1137"/>
          <cell r="Q1137"/>
          <cell r="R1137"/>
          <cell r="S1137"/>
        </row>
        <row r="1138">
          <cell r="G1138">
            <v>0</v>
          </cell>
          <cell r="H1138">
            <v>0</v>
          </cell>
          <cell r="I1138" t="e">
            <v>#REF!</v>
          </cell>
          <cell r="J1138"/>
          <cell r="K1138"/>
          <cell r="L1138"/>
          <cell r="M1138"/>
          <cell r="N1138"/>
          <cell r="O1138"/>
          <cell r="P1138"/>
          <cell r="Q1138"/>
          <cell r="R1138"/>
          <cell r="S1138"/>
        </row>
        <row r="1139">
          <cell r="G1139">
            <v>0</v>
          </cell>
          <cell r="H1139">
            <v>0</v>
          </cell>
          <cell r="I1139" t="e">
            <v>#REF!</v>
          </cell>
          <cell r="J1139"/>
          <cell r="K1139"/>
          <cell r="L1139"/>
          <cell r="M1139"/>
          <cell r="N1139"/>
          <cell r="O1139"/>
          <cell r="P1139"/>
          <cell r="Q1139"/>
          <cell r="R1139"/>
          <cell r="S1139"/>
        </row>
        <row r="1140">
          <cell r="G1140">
            <v>0</v>
          </cell>
          <cell r="H1140">
            <v>0</v>
          </cell>
          <cell r="I1140" t="e">
            <v>#REF!</v>
          </cell>
          <cell r="J1140"/>
          <cell r="K1140"/>
          <cell r="L1140"/>
          <cell r="M1140"/>
          <cell r="N1140"/>
          <cell r="O1140"/>
          <cell r="P1140"/>
          <cell r="Q1140"/>
          <cell r="R1140"/>
          <cell r="S1140"/>
        </row>
        <row r="1141">
          <cell r="G1141">
            <v>0</v>
          </cell>
          <cell r="H1141">
            <v>0</v>
          </cell>
          <cell r="I1141" t="e">
            <v>#REF!</v>
          </cell>
          <cell r="J1141"/>
          <cell r="K1141"/>
          <cell r="L1141"/>
          <cell r="M1141"/>
          <cell r="N1141"/>
          <cell r="O1141"/>
          <cell r="P1141"/>
          <cell r="Q1141"/>
          <cell r="R1141"/>
          <cell r="S1141"/>
        </row>
        <row r="1142">
          <cell r="G1142">
            <v>0</v>
          </cell>
          <cell r="H1142">
            <v>0</v>
          </cell>
          <cell r="I1142" t="e">
            <v>#REF!</v>
          </cell>
          <cell r="J1142"/>
          <cell r="K1142"/>
          <cell r="L1142"/>
          <cell r="M1142"/>
          <cell r="N1142"/>
          <cell r="O1142"/>
          <cell r="P1142"/>
          <cell r="Q1142"/>
          <cell r="R1142"/>
          <cell r="S1142"/>
        </row>
        <row r="1143">
          <cell r="G1143">
            <v>0</v>
          </cell>
          <cell r="H1143">
            <v>0</v>
          </cell>
          <cell r="I1143" t="e">
            <v>#REF!</v>
          </cell>
          <cell r="J1143"/>
          <cell r="K1143"/>
          <cell r="L1143"/>
          <cell r="M1143"/>
          <cell r="N1143"/>
          <cell r="O1143"/>
          <cell r="P1143"/>
          <cell r="Q1143"/>
          <cell r="R1143"/>
          <cell r="S1143"/>
        </row>
        <row r="1144">
          <cell r="G1144">
            <v>0</v>
          </cell>
          <cell r="H1144">
            <v>0</v>
          </cell>
          <cell r="I1144" t="e">
            <v>#REF!</v>
          </cell>
          <cell r="J1144"/>
          <cell r="K1144"/>
          <cell r="L1144"/>
          <cell r="M1144"/>
          <cell r="N1144"/>
          <cell r="O1144"/>
          <cell r="P1144"/>
          <cell r="Q1144"/>
          <cell r="R1144"/>
          <cell r="S1144"/>
        </row>
        <row r="1145">
          <cell r="G1145">
            <v>0</v>
          </cell>
          <cell r="H1145">
            <v>0</v>
          </cell>
          <cell r="I1145" t="e">
            <v>#REF!</v>
          </cell>
          <cell r="J1145"/>
          <cell r="K1145"/>
          <cell r="L1145"/>
          <cell r="M1145"/>
          <cell r="N1145"/>
          <cell r="O1145"/>
          <cell r="P1145"/>
          <cell r="Q1145"/>
          <cell r="R1145"/>
          <cell r="S1145"/>
        </row>
        <row r="1146">
          <cell r="G1146">
            <v>0</v>
          </cell>
          <cell r="H1146">
            <v>0</v>
          </cell>
          <cell r="I1146" t="e">
            <v>#REF!</v>
          </cell>
          <cell r="J1146"/>
          <cell r="K1146"/>
          <cell r="L1146"/>
          <cell r="M1146"/>
          <cell r="N1146"/>
          <cell r="O1146"/>
          <cell r="P1146"/>
          <cell r="Q1146"/>
          <cell r="R1146"/>
          <cell r="S1146"/>
        </row>
        <row r="1147">
          <cell r="G1147">
            <v>0</v>
          </cell>
          <cell r="H1147">
            <v>0</v>
          </cell>
          <cell r="I1147" t="e">
            <v>#REF!</v>
          </cell>
          <cell r="J1147"/>
          <cell r="K1147"/>
          <cell r="L1147"/>
          <cell r="M1147"/>
          <cell r="N1147"/>
          <cell r="O1147"/>
          <cell r="P1147"/>
          <cell r="Q1147"/>
          <cell r="R1147"/>
          <cell r="S1147"/>
        </row>
        <row r="1148">
          <cell r="G1148">
            <v>0</v>
          </cell>
          <cell r="H1148">
            <v>0</v>
          </cell>
          <cell r="I1148" t="e">
            <v>#REF!</v>
          </cell>
          <cell r="J1148"/>
          <cell r="K1148"/>
          <cell r="L1148"/>
          <cell r="M1148"/>
          <cell r="N1148"/>
          <cell r="O1148"/>
          <cell r="P1148"/>
          <cell r="Q1148"/>
          <cell r="R1148"/>
          <cell r="S1148"/>
        </row>
        <row r="1149">
          <cell r="G1149">
            <v>0</v>
          </cell>
          <cell r="H1149">
            <v>0</v>
          </cell>
          <cell r="I1149" t="e">
            <v>#REF!</v>
          </cell>
          <cell r="J1149"/>
          <cell r="K1149"/>
          <cell r="L1149"/>
          <cell r="M1149"/>
          <cell r="N1149"/>
          <cell r="O1149"/>
          <cell r="P1149"/>
          <cell r="Q1149"/>
          <cell r="R1149"/>
          <cell r="S1149"/>
        </row>
        <row r="1150">
          <cell r="G1150">
            <v>0</v>
          </cell>
          <cell r="H1150">
            <v>0</v>
          </cell>
          <cell r="I1150" t="e">
            <v>#REF!</v>
          </cell>
          <cell r="J1150"/>
          <cell r="K1150"/>
          <cell r="L1150"/>
          <cell r="M1150"/>
          <cell r="N1150"/>
          <cell r="O1150"/>
          <cell r="P1150"/>
          <cell r="Q1150"/>
          <cell r="R1150"/>
          <cell r="S1150"/>
        </row>
        <row r="1151">
          <cell r="G1151">
            <v>0</v>
          </cell>
          <cell r="H1151">
            <v>0</v>
          </cell>
          <cell r="I1151" t="e">
            <v>#REF!</v>
          </cell>
          <cell r="J1151"/>
          <cell r="K1151"/>
          <cell r="L1151"/>
          <cell r="M1151"/>
          <cell r="N1151"/>
          <cell r="O1151"/>
          <cell r="P1151"/>
          <cell r="Q1151"/>
          <cell r="R1151"/>
          <cell r="S1151"/>
        </row>
        <row r="1152">
          <cell r="G1152">
            <v>0</v>
          </cell>
          <cell r="H1152">
            <v>0</v>
          </cell>
          <cell r="I1152" t="e">
            <v>#REF!</v>
          </cell>
          <cell r="J1152"/>
          <cell r="K1152"/>
          <cell r="L1152"/>
          <cell r="M1152"/>
          <cell r="N1152"/>
          <cell r="O1152"/>
          <cell r="P1152"/>
          <cell r="Q1152"/>
          <cell r="R1152"/>
          <cell r="S1152"/>
        </row>
        <row r="1153">
          <cell r="G1153">
            <v>0</v>
          </cell>
          <cell r="H1153">
            <v>0</v>
          </cell>
          <cell r="I1153" t="e">
            <v>#REF!</v>
          </cell>
          <cell r="J1153"/>
          <cell r="K1153"/>
          <cell r="L1153"/>
          <cell r="M1153"/>
          <cell r="N1153"/>
          <cell r="O1153"/>
          <cell r="P1153"/>
          <cell r="Q1153"/>
          <cell r="R1153"/>
          <cell r="S1153"/>
        </row>
        <row r="1154">
          <cell r="G1154">
            <v>0</v>
          </cell>
          <cell r="H1154">
            <v>0</v>
          </cell>
          <cell r="I1154" t="e">
            <v>#REF!</v>
          </cell>
          <cell r="J1154"/>
          <cell r="K1154"/>
          <cell r="L1154"/>
          <cell r="M1154"/>
          <cell r="N1154"/>
          <cell r="O1154"/>
          <cell r="P1154"/>
          <cell r="Q1154"/>
          <cell r="R1154"/>
          <cell r="S1154"/>
        </row>
        <row r="1155">
          <cell r="G1155">
            <v>0</v>
          </cell>
          <cell r="H1155">
            <v>0</v>
          </cell>
          <cell r="I1155" t="e">
            <v>#REF!</v>
          </cell>
          <cell r="J1155"/>
          <cell r="K1155"/>
          <cell r="L1155"/>
          <cell r="M1155"/>
          <cell r="N1155"/>
          <cell r="O1155"/>
          <cell r="P1155"/>
          <cell r="Q1155"/>
          <cell r="R1155"/>
          <cell r="S1155"/>
        </row>
        <row r="1156">
          <cell r="G1156">
            <v>0</v>
          </cell>
          <cell r="H1156">
            <v>0</v>
          </cell>
          <cell r="I1156" t="e">
            <v>#REF!</v>
          </cell>
          <cell r="J1156"/>
          <cell r="K1156"/>
          <cell r="L1156"/>
          <cell r="M1156"/>
          <cell r="N1156"/>
          <cell r="O1156"/>
          <cell r="P1156"/>
          <cell r="Q1156"/>
          <cell r="R1156"/>
          <cell r="S1156"/>
        </row>
        <row r="1157">
          <cell r="G1157">
            <v>0</v>
          </cell>
          <cell r="H1157">
            <v>0</v>
          </cell>
          <cell r="I1157" t="e">
            <v>#REF!</v>
          </cell>
          <cell r="J1157"/>
          <cell r="K1157"/>
          <cell r="L1157"/>
          <cell r="M1157"/>
          <cell r="N1157"/>
          <cell r="O1157"/>
          <cell r="P1157"/>
          <cell r="Q1157"/>
          <cell r="R1157"/>
          <cell r="S1157"/>
        </row>
        <row r="1158">
          <cell r="G1158">
            <v>0</v>
          </cell>
          <cell r="H1158">
            <v>0</v>
          </cell>
          <cell r="I1158" t="e">
            <v>#REF!</v>
          </cell>
          <cell r="J1158"/>
          <cell r="K1158"/>
          <cell r="L1158"/>
          <cell r="M1158"/>
          <cell r="N1158"/>
          <cell r="O1158"/>
          <cell r="P1158"/>
          <cell r="Q1158"/>
          <cell r="R1158"/>
          <cell r="S1158"/>
        </row>
        <row r="1159">
          <cell r="G1159">
            <v>0</v>
          </cell>
          <cell r="H1159">
            <v>0</v>
          </cell>
          <cell r="I1159" t="e">
            <v>#REF!</v>
          </cell>
          <cell r="J1159"/>
          <cell r="K1159"/>
          <cell r="L1159"/>
          <cell r="M1159"/>
          <cell r="N1159"/>
          <cell r="O1159"/>
          <cell r="P1159"/>
          <cell r="Q1159"/>
          <cell r="R1159"/>
          <cell r="S1159"/>
        </row>
        <row r="1160">
          <cell r="G1160">
            <v>0</v>
          </cell>
          <cell r="H1160">
            <v>0</v>
          </cell>
          <cell r="I1160" t="e">
            <v>#REF!</v>
          </cell>
          <cell r="J1160"/>
          <cell r="K1160"/>
          <cell r="L1160"/>
          <cell r="M1160"/>
          <cell r="N1160"/>
          <cell r="O1160"/>
          <cell r="P1160"/>
          <cell r="Q1160"/>
          <cell r="R1160"/>
          <cell r="S1160"/>
        </row>
        <row r="1161">
          <cell r="G1161">
            <v>0</v>
          </cell>
          <cell r="H1161">
            <v>0</v>
          </cell>
          <cell r="I1161" t="e">
            <v>#REF!</v>
          </cell>
          <cell r="J1161"/>
          <cell r="K1161"/>
          <cell r="L1161"/>
          <cell r="M1161"/>
          <cell r="N1161"/>
          <cell r="O1161"/>
          <cell r="P1161"/>
          <cell r="Q1161"/>
          <cell r="R1161"/>
          <cell r="S1161"/>
        </row>
        <row r="1162">
          <cell r="G1162">
            <v>0</v>
          </cell>
          <cell r="H1162">
            <v>0</v>
          </cell>
          <cell r="I1162" t="e">
            <v>#REF!</v>
          </cell>
          <cell r="J1162"/>
          <cell r="K1162"/>
          <cell r="L1162"/>
          <cell r="M1162"/>
          <cell r="N1162"/>
          <cell r="O1162"/>
          <cell r="P1162"/>
          <cell r="Q1162"/>
          <cell r="R1162"/>
          <cell r="S1162"/>
        </row>
        <row r="1163">
          <cell r="G1163">
            <v>0</v>
          </cell>
          <cell r="H1163">
            <v>0</v>
          </cell>
          <cell r="I1163" t="e">
            <v>#REF!</v>
          </cell>
          <cell r="J1163"/>
          <cell r="K1163"/>
          <cell r="L1163"/>
          <cell r="M1163"/>
          <cell r="N1163"/>
          <cell r="O1163"/>
          <cell r="P1163"/>
          <cell r="Q1163"/>
          <cell r="R1163"/>
          <cell r="S1163"/>
        </row>
        <row r="1164">
          <cell r="G1164">
            <v>0</v>
          </cell>
          <cell r="H1164">
            <v>0</v>
          </cell>
          <cell r="I1164" t="e">
            <v>#REF!</v>
          </cell>
          <cell r="J1164"/>
          <cell r="K1164"/>
          <cell r="L1164"/>
          <cell r="M1164"/>
          <cell r="N1164"/>
          <cell r="O1164"/>
          <cell r="P1164"/>
          <cell r="Q1164"/>
          <cell r="R1164"/>
          <cell r="S1164"/>
        </row>
        <row r="1165">
          <cell r="G1165">
            <v>0</v>
          </cell>
          <cell r="H1165">
            <v>0</v>
          </cell>
          <cell r="I1165" t="e">
            <v>#REF!</v>
          </cell>
          <cell r="J1165"/>
          <cell r="K1165"/>
          <cell r="L1165"/>
          <cell r="M1165"/>
          <cell r="N1165"/>
          <cell r="O1165"/>
          <cell r="P1165"/>
          <cell r="Q1165"/>
          <cell r="R1165"/>
          <cell r="S1165"/>
        </row>
        <row r="1166">
          <cell r="G1166">
            <v>0</v>
          </cell>
          <cell r="H1166">
            <v>0</v>
          </cell>
          <cell r="I1166" t="e">
            <v>#REF!</v>
          </cell>
          <cell r="J1166"/>
          <cell r="K1166"/>
          <cell r="L1166"/>
          <cell r="M1166"/>
          <cell r="N1166"/>
          <cell r="O1166"/>
          <cell r="P1166"/>
          <cell r="Q1166"/>
          <cell r="R1166"/>
          <cell r="S1166"/>
        </row>
        <row r="1167">
          <cell r="G1167">
            <v>0</v>
          </cell>
          <cell r="H1167">
            <v>0</v>
          </cell>
          <cell r="I1167" t="e">
            <v>#REF!</v>
          </cell>
          <cell r="J1167"/>
          <cell r="K1167"/>
          <cell r="L1167"/>
          <cell r="M1167"/>
          <cell r="N1167"/>
          <cell r="O1167"/>
          <cell r="P1167"/>
          <cell r="Q1167"/>
          <cell r="R1167"/>
          <cell r="S1167"/>
        </row>
        <row r="1168">
          <cell r="G1168">
            <v>0</v>
          </cell>
          <cell r="H1168">
            <v>0</v>
          </cell>
          <cell r="I1168" t="e">
            <v>#REF!</v>
          </cell>
          <cell r="J1168"/>
          <cell r="K1168"/>
          <cell r="L1168"/>
          <cell r="M1168"/>
          <cell r="N1168"/>
          <cell r="O1168"/>
          <cell r="P1168"/>
          <cell r="Q1168"/>
          <cell r="R1168"/>
          <cell r="S1168"/>
        </row>
        <row r="1169">
          <cell r="G1169">
            <v>0</v>
          </cell>
          <cell r="H1169">
            <v>0</v>
          </cell>
          <cell r="I1169" t="e">
            <v>#REF!</v>
          </cell>
          <cell r="J1169"/>
          <cell r="K1169"/>
          <cell r="L1169"/>
          <cell r="M1169"/>
          <cell r="N1169"/>
          <cell r="O1169"/>
          <cell r="P1169"/>
          <cell r="Q1169"/>
          <cell r="R1169"/>
          <cell r="S1169"/>
        </row>
        <row r="1170">
          <cell r="G1170">
            <v>0</v>
          </cell>
          <cell r="H1170">
            <v>0</v>
          </cell>
          <cell r="I1170" t="e">
            <v>#REF!</v>
          </cell>
          <cell r="J1170"/>
          <cell r="K1170"/>
          <cell r="L1170"/>
          <cell r="M1170"/>
          <cell r="N1170"/>
          <cell r="O1170"/>
          <cell r="P1170"/>
          <cell r="Q1170"/>
          <cell r="R1170"/>
          <cell r="S1170"/>
        </row>
        <row r="1171">
          <cell r="G1171">
            <v>0</v>
          </cell>
          <cell r="H1171">
            <v>0</v>
          </cell>
          <cell r="I1171" t="e">
            <v>#REF!</v>
          </cell>
          <cell r="J1171"/>
          <cell r="K1171"/>
          <cell r="L1171"/>
          <cell r="M1171"/>
          <cell r="N1171"/>
          <cell r="O1171"/>
          <cell r="P1171"/>
          <cell r="Q1171"/>
          <cell r="R1171"/>
          <cell r="S1171"/>
        </row>
        <row r="1172">
          <cell r="G1172">
            <v>0</v>
          </cell>
          <cell r="H1172">
            <v>0</v>
          </cell>
          <cell r="I1172" t="e">
            <v>#REF!</v>
          </cell>
          <cell r="J1172"/>
          <cell r="K1172"/>
          <cell r="L1172"/>
          <cell r="M1172"/>
          <cell r="N1172"/>
          <cell r="O1172"/>
          <cell r="P1172"/>
          <cell r="Q1172"/>
          <cell r="R1172"/>
          <cell r="S1172"/>
        </row>
        <row r="1173">
          <cell r="G1173">
            <v>0</v>
          </cell>
          <cell r="H1173">
            <v>0</v>
          </cell>
          <cell r="I1173" t="e">
            <v>#REF!</v>
          </cell>
          <cell r="J1173"/>
          <cell r="K1173"/>
          <cell r="L1173"/>
          <cell r="M1173"/>
          <cell r="N1173"/>
          <cell r="O1173"/>
          <cell r="P1173"/>
          <cell r="Q1173"/>
          <cell r="R1173"/>
          <cell r="S1173"/>
        </row>
        <row r="1174">
          <cell r="G1174">
            <v>0</v>
          </cell>
          <cell r="H1174">
            <v>0</v>
          </cell>
          <cell r="I1174" t="e">
            <v>#REF!</v>
          </cell>
          <cell r="J1174"/>
          <cell r="K1174"/>
          <cell r="L1174"/>
          <cell r="M1174"/>
          <cell r="N1174"/>
          <cell r="O1174"/>
          <cell r="P1174"/>
          <cell r="Q1174"/>
          <cell r="R1174"/>
          <cell r="S1174"/>
        </row>
        <row r="1175">
          <cell r="G1175">
            <v>0</v>
          </cell>
          <cell r="H1175">
            <v>0</v>
          </cell>
          <cell r="I1175" t="e">
            <v>#REF!</v>
          </cell>
          <cell r="J1175"/>
          <cell r="K1175"/>
          <cell r="L1175"/>
          <cell r="M1175"/>
          <cell r="N1175"/>
          <cell r="O1175"/>
          <cell r="P1175"/>
          <cell r="Q1175"/>
          <cell r="R1175"/>
          <cell r="S1175"/>
        </row>
        <row r="1176">
          <cell r="G1176">
            <v>0</v>
          </cell>
          <cell r="H1176">
            <v>0</v>
          </cell>
          <cell r="I1176" t="e">
            <v>#REF!</v>
          </cell>
          <cell r="J1176"/>
          <cell r="K1176"/>
          <cell r="L1176"/>
          <cell r="M1176"/>
          <cell r="N1176"/>
          <cell r="O1176"/>
          <cell r="P1176"/>
          <cell r="Q1176"/>
          <cell r="R1176"/>
          <cell r="S1176"/>
        </row>
        <row r="1177">
          <cell r="G1177">
            <v>0</v>
          </cell>
          <cell r="H1177">
            <v>0</v>
          </cell>
          <cell r="I1177" t="e">
            <v>#REF!</v>
          </cell>
          <cell r="J1177"/>
          <cell r="K1177"/>
          <cell r="L1177"/>
          <cell r="M1177"/>
          <cell r="N1177"/>
          <cell r="O1177"/>
          <cell r="P1177"/>
          <cell r="Q1177"/>
          <cell r="R1177"/>
          <cell r="S1177"/>
        </row>
        <row r="1178">
          <cell r="G1178">
            <v>0</v>
          </cell>
          <cell r="H1178">
            <v>0</v>
          </cell>
          <cell r="I1178" t="e">
            <v>#REF!</v>
          </cell>
          <cell r="J1178"/>
          <cell r="K1178"/>
          <cell r="L1178"/>
          <cell r="M1178"/>
          <cell r="N1178"/>
          <cell r="O1178"/>
          <cell r="P1178"/>
          <cell r="Q1178"/>
          <cell r="R1178"/>
          <cell r="S1178"/>
        </row>
        <row r="1179">
          <cell r="G1179">
            <v>0</v>
          </cell>
          <cell r="H1179">
            <v>0</v>
          </cell>
          <cell r="I1179" t="e">
            <v>#REF!</v>
          </cell>
          <cell r="J1179"/>
          <cell r="K1179"/>
          <cell r="L1179"/>
          <cell r="M1179"/>
          <cell r="N1179"/>
          <cell r="O1179"/>
          <cell r="P1179"/>
          <cell r="Q1179"/>
          <cell r="R1179"/>
          <cell r="S1179"/>
        </row>
        <row r="1180">
          <cell r="G1180">
            <v>0</v>
          </cell>
          <cell r="H1180">
            <v>0</v>
          </cell>
          <cell r="I1180" t="e">
            <v>#REF!</v>
          </cell>
          <cell r="J1180"/>
          <cell r="K1180"/>
          <cell r="L1180"/>
          <cell r="M1180"/>
          <cell r="N1180"/>
          <cell r="O1180"/>
          <cell r="P1180"/>
          <cell r="Q1180"/>
          <cell r="R1180"/>
          <cell r="S1180"/>
        </row>
        <row r="1181">
          <cell r="G1181">
            <v>0</v>
          </cell>
          <cell r="H1181">
            <v>0</v>
          </cell>
          <cell r="I1181" t="e">
            <v>#REF!</v>
          </cell>
          <cell r="J1181"/>
          <cell r="K1181"/>
          <cell r="L1181"/>
          <cell r="M1181"/>
          <cell r="N1181"/>
          <cell r="O1181"/>
          <cell r="P1181"/>
          <cell r="Q1181"/>
          <cell r="R1181"/>
          <cell r="S1181"/>
        </row>
        <row r="1182">
          <cell r="G1182">
            <v>0</v>
          </cell>
          <cell r="H1182">
            <v>0</v>
          </cell>
          <cell r="I1182" t="e">
            <v>#REF!</v>
          </cell>
          <cell r="J1182"/>
          <cell r="K1182"/>
          <cell r="L1182"/>
          <cell r="M1182"/>
          <cell r="N1182"/>
          <cell r="O1182"/>
          <cell r="P1182"/>
          <cell r="Q1182"/>
          <cell r="R1182"/>
          <cell r="S1182"/>
        </row>
        <row r="1183">
          <cell r="G1183">
            <v>0</v>
          </cell>
          <cell r="H1183">
            <v>0</v>
          </cell>
          <cell r="I1183" t="e">
            <v>#REF!</v>
          </cell>
          <cell r="J1183"/>
          <cell r="K1183"/>
          <cell r="L1183"/>
          <cell r="M1183"/>
          <cell r="N1183"/>
          <cell r="O1183"/>
          <cell r="P1183"/>
          <cell r="Q1183"/>
          <cell r="R1183"/>
          <cell r="S1183"/>
        </row>
        <row r="1184">
          <cell r="G1184">
            <v>0</v>
          </cell>
          <cell r="H1184">
            <v>0</v>
          </cell>
          <cell r="I1184" t="e">
            <v>#REF!</v>
          </cell>
          <cell r="J1184"/>
          <cell r="K1184"/>
          <cell r="L1184"/>
          <cell r="M1184"/>
          <cell r="N1184"/>
          <cell r="O1184"/>
          <cell r="P1184"/>
          <cell r="Q1184"/>
          <cell r="R1184"/>
          <cell r="S1184"/>
        </row>
        <row r="1185">
          <cell r="G1185">
            <v>0</v>
          </cell>
          <cell r="H1185">
            <v>0</v>
          </cell>
          <cell r="I1185" t="e">
            <v>#REF!</v>
          </cell>
          <cell r="J1185"/>
          <cell r="K1185"/>
          <cell r="L1185"/>
          <cell r="M1185"/>
          <cell r="N1185"/>
          <cell r="O1185"/>
          <cell r="P1185"/>
          <cell r="Q1185"/>
          <cell r="R1185"/>
          <cell r="S1185"/>
        </row>
        <row r="1186">
          <cell r="G1186">
            <v>0</v>
          </cell>
          <cell r="H1186">
            <v>0</v>
          </cell>
          <cell r="I1186" t="e">
            <v>#REF!</v>
          </cell>
          <cell r="J1186"/>
          <cell r="K1186"/>
          <cell r="L1186"/>
          <cell r="M1186"/>
          <cell r="N1186"/>
          <cell r="O1186"/>
          <cell r="P1186"/>
          <cell r="Q1186"/>
          <cell r="R1186"/>
          <cell r="S1186"/>
        </row>
        <row r="1187">
          <cell r="G1187">
            <v>0</v>
          </cell>
          <cell r="H1187">
            <v>0</v>
          </cell>
          <cell r="I1187" t="e">
            <v>#REF!</v>
          </cell>
          <cell r="J1187"/>
          <cell r="K1187"/>
          <cell r="L1187"/>
          <cell r="M1187"/>
          <cell r="N1187"/>
          <cell r="O1187"/>
          <cell r="P1187"/>
          <cell r="Q1187"/>
          <cell r="R1187"/>
          <cell r="S1187"/>
        </row>
        <row r="1188">
          <cell r="G1188">
            <v>0</v>
          </cell>
          <cell r="H1188">
            <v>0</v>
          </cell>
          <cell r="I1188" t="e">
            <v>#REF!</v>
          </cell>
          <cell r="J1188"/>
          <cell r="K1188"/>
          <cell r="L1188"/>
          <cell r="M1188"/>
          <cell r="N1188"/>
          <cell r="O1188"/>
          <cell r="P1188"/>
          <cell r="Q1188"/>
          <cell r="R1188"/>
          <cell r="S1188"/>
        </row>
        <row r="1189">
          <cell r="G1189">
            <v>0</v>
          </cell>
          <cell r="H1189">
            <v>0</v>
          </cell>
          <cell r="I1189" t="e">
            <v>#REF!</v>
          </cell>
          <cell r="J1189"/>
          <cell r="K1189"/>
          <cell r="L1189"/>
          <cell r="M1189"/>
          <cell r="N1189"/>
          <cell r="O1189"/>
          <cell r="P1189"/>
          <cell r="Q1189"/>
          <cell r="R1189"/>
          <cell r="S1189"/>
        </row>
        <row r="1190">
          <cell r="G1190">
            <v>0</v>
          </cell>
          <cell r="H1190">
            <v>0</v>
          </cell>
          <cell r="I1190" t="e">
            <v>#REF!</v>
          </cell>
          <cell r="J1190"/>
          <cell r="K1190"/>
          <cell r="L1190"/>
          <cell r="M1190"/>
          <cell r="N1190"/>
          <cell r="O1190"/>
          <cell r="P1190"/>
          <cell r="Q1190"/>
          <cell r="R1190"/>
          <cell r="S1190"/>
        </row>
        <row r="1191">
          <cell r="G1191">
            <v>0</v>
          </cell>
          <cell r="H1191">
            <v>0</v>
          </cell>
          <cell r="I1191" t="e">
            <v>#REF!</v>
          </cell>
          <cell r="J1191"/>
          <cell r="K1191"/>
          <cell r="L1191"/>
          <cell r="M1191"/>
          <cell r="N1191"/>
          <cell r="O1191"/>
          <cell r="P1191"/>
          <cell r="Q1191"/>
          <cell r="R1191"/>
          <cell r="S1191"/>
        </row>
        <row r="1192">
          <cell r="G1192">
            <v>0</v>
          </cell>
          <cell r="H1192">
            <v>0</v>
          </cell>
          <cell r="I1192" t="e">
            <v>#REF!</v>
          </cell>
          <cell r="J1192"/>
          <cell r="K1192"/>
          <cell r="L1192"/>
          <cell r="M1192"/>
          <cell r="N1192"/>
          <cell r="O1192"/>
          <cell r="P1192"/>
          <cell r="Q1192"/>
          <cell r="R1192"/>
          <cell r="S1192"/>
        </row>
        <row r="1193">
          <cell r="G1193">
            <v>0</v>
          </cell>
          <cell r="H1193">
            <v>0</v>
          </cell>
          <cell r="I1193" t="e">
            <v>#REF!</v>
          </cell>
          <cell r="J1193"/>
          <cell r="K1193"/>
          <cell r="L1193"/>
          <cell r="M1193"/>
          <cell r="N1193"/>
          <cell r="O1193"/>
          <cell r="P1193"/>
          <cell r="Q1193"/>
          <cell r="R1193"/>
          <cell r="S1193"/>
        </row>
        <row r="1194">
          <cell r="G1194">
            <v>0</v>
          </cell>
          <cell r="H1194">
            <v>0</v>
          </cell>
          <cell r="I1194" t="e">
            <v>#REF!</v>
          </cell>
          <cell r="J1194"/>
          <cell r="K1194"/>
          <cell r="L1194"/>
          <cell r="M1194"/>
          <cell r="N1194"/>
          <cell r="O1194"/>
          <cell r="P1194"/>
          <cell r="Q1194"/>
          <cell r="R1194"/>
          <cell r="S1194"/>
        </row>
        <row r="1195">
          <cell r="G1195">
            <v>0</v>
          </cell>
          <cell r="H1195">
            <v>0</v>
          </cell>
          <cell r="I1195" t="e">
            <v>#REF!</v>
          </cell>
          <cell r="J1195"/>
          <cell r="K1195"/>
          <cell r="L1195"/>
          <cell r="M1195"/>
          <cell r="N1195"/>
          <cell r="O1195"/>
          <cell r="P1195"/>
          <cell r="Q1195"/>
          <cell r="R1195"/>
          <cell r="S1195"/>
        </row>
        <row r="1196">
          <cell r="G1196">
            <v>0</v>
          </cell>
          <cell r="H1196">
            <v>0</v>
          </cell>
          <cell r="I1196" t="e">
            <v>#REF!</v>
          </cell>
          <cell r="J1196"/>
          <cell r="K1196"/>
          <cell r="L1196"/>
          <cell r="M1196"/>
          <cell r="N1196"/>
          <cell r="O1196"/>
          <cell r="P1196"/>
          <cell r="Q1196"/>
          <cell r="R1196"/>
          <cell r="S1196"/>
        </row>
        <row r="1197">
          <cell r="G1197">
            <v>0</v>
          </cell>
          <cell r="H1197">
            <v>0</v>
          </cell>
          <cell r="I1197" t="e">
            <v>#REF!</v>
          </cell>
          <cell r="J1197"/>
          <cell r="K1197"/>
          <cell r="L1197"/>
          <cell r="M1197"/>
          <cell r="N1197"/>
          <cell r="O1197"/>
          <cell r="P1197"/>
          <cell r="Q1197"/>
          <cell r="R1197"/>
          <cell r="S1197"/>
        </row>
        <row r="1198">
          <cell r="G1198">
            <v>0</v>
          </cell>
          <cell r="H1198">
            <v>0</v>
          </cell>
          <cell r="I1198" t="e">
            <v>#REF!</v>
          </cell>
          <cell r="J1198"/>
          <cell r="K1198"/>
          <cell r="L1198"/>
          <cell r="M1198"/>
          <cell r="N1198"/>
          <cell r="O1198"/>
          <cell r="P1198"/>
          <cell r="Q1198"/>
          <cell r="R1198"/>
          <cell r="S1198"/>
        </row>
        <row r="1199">
          <cell r="G1199">
            <v>0</v>
          </cell>
          <cell r="H1199">
            <v>0</v>
          </cell>
          <cell r="I1199" t="e">
            <v>#REF!</v>
          </cell>
          <cell r="J1199"/>
          <cell r="K1199"/>
          <cell r="L1199"/>
          <cell r="M1199"/>
          <cell r="N1199"/>
          <cell r="O1199"/>
          <cell r="P1199"/>
          <cell r="Q1199"/>
          <cell r="R1199"/>
          <cell r="S1199"/>
        </row>
        <row r="1200">
          <cell r="G1200">
            <v>0</v>
          </cell>
          <cell r="H1200">
            <v>0</v>
          </cell>
          <cell r="I1200" t="e">
            <v>#REF!</v>
          </cell>
          <cell r="J1200"/>
          <cell r="K1200"/>
          <cell r="L1200"/>
          <cell r="M1200"/>
          <cell r="N1200"/>
          <cell r="O1200"/>
          <cell r="P1200"/>
          <cell r="Q1200"/>
          <cell r="R1200"/>
          <cell r="S1200"/>
        </row>
        <row r="1201">
          <cell r="G1201">
            <v>0</v>
          </cell>
          <cell r="H1201">
            <v>0</v>
          </cell>
          <cell r="I1201" t="e">
            <v>#REF!</v>
          </cell>
          <cell r="J1201"/>
          <cell r="K1201"/>
          <cell r="L1201"/>
          <cell r="M1201"/>
          <cell r="N1201"/>
          <cell r="O1201"/>
          <cell r="P1201"/>
          <cell r="Q1201"/>
          <cell r="R1201"/>
          <cell r="S1201"/>
        </row>
        <row r="1202">
          <cell r="G1202">
            <v>0</v>
          </cell>
          <cell r="H1202">
            <v>0</v>
          </cell>
          <cell r="I1202" t="e">
            <v>#REF!</v>
          </cell>
          <cell r="J1202"/>
          <cell r="K1202"/>
          <cell r="L1202"/>
          <cell r="M1202"/>
          <cell r="N1202"/>
          <cell r="O1202"/>
          <cell r="P1202"/>
          <cell r="Q1202"/>
          <cell r="R1202"/>
          <cell r="S1202"/>
        </row>
        <row r="1203">
          <cell r="G1203">
            <v>0</v>
          </cell>
          <cell r="H1203">
            <v>0</v>
          </cell>
          <cell r="I1203" t="e">
            <v>#REF!</v>
          </cell>
          <cell r="J1203"/>
          <cell r="K1203"/>
          <cell r="L1203"/>
          <cell r="M1203"/>
          <cell r="N1203"/>
          <cell r="O1203"/>
          <cell r="P1203"/>
          <cell r="Q1203"/>
          <cell r="R1203"/>
          <cell r="S1203"/>
        </row>
        <row r="1204">
          <cell r="G1204">
            <v>0</v>
          </cell>
          <cell r="H1204">
            <v>0</v>
          </cell>
          <cell r="I1204" t="e">
            <v>#REF!</v>
          </cell>
          <cell r="J1204"/>
          <cell r="K1204"/>
          <cell r="L1204"/>
          <cell r="M1204"/>
          <cell r="N1204"/>
          <cell r="O1204"/>
          <cell r="P1204"/>
          <cell r="Q1204"/>
          <cell r="R1204"/>
          <cell r="S1204"/>
        </row>
        <row r="1205">
          <cell r="G1205">
            <v>0</v>
          </cell>
          <cell r="H1205">
            <v>0</v>
          </cell>
          <cell r="I1205" t="e">
            <v>#REF!</v>
          </cell>
          <cell r="J1205"/>
          <cell r="K1205"/>
          <cell r="L1205"/>
          <cell r="M1205"/>
          <cell r="N1205"/>
          <cell r="O1205"/>
          <cell r="P1205"/>
          <cell r="Q1205"/>
          <cell r="R1205"/>
          <cell r="S1205"/>
        </row>
        <row r="1206">
          <cell r="G1206">
            <v>0</v>
          </cell>
          <cell r="H1206">
            <v>0</v>
          </cell>
          <cell r="I1206" t="e">
            <v>#REF!</v>
          </cell>
          <cell r="J1206"/>
          <cell r="K1206"/>
          <cell r="L1206"/>
          <cell r="M1206"/>
          <cell r="N1206"/>
          <cell r="O1206"/>
          <cell r="P1206"/>
          <cell r="Q1206"/>
          <cell r="R1206"/>
          <cell r="S1206"/>
        </row>
        <row r="1207">
          <cell r="G1207">
            <v>0</v>
          </cell>
          <cell r="H1207">
            <v>0</v>
          </cell>
          <cell r="I1207" t="e">
            <v>#REF!</v>
          </cell>
          <cell r="J1207"/>
          <cell r="K1207"/>
          <cell r="L1207"/>
          <cell r="M1207"/>
          <cell r="N1207"/>
          <cell r="O1207"/>
          <cell r="P1207"/>
          <cell r="Q1207"/>
          <cell r="R1207"/>
          <cell r="S1207"/>
        </row>
        <row r="1208">
          <cell r="G1208">
            <v>0</v>
          </cell>
          <cell r="H1208">
            <v>0</v>
          </cell>
          <cell r="I1208" t="e">
            <v>#REF!</v>
          </cell>
          <cell r="J1208"/>
          <cell r="K1208"/>
          <cell r="L1208"/>
          <cell r="M1208"/>
          <cell r="N1208"/>
          <cell r="O1208"/>
          <cell r="P1208"/>
          <cell r="Q1208"/>
          <cell r="R1208"/>
          <cell r="S1208"/>
        </row>
        <row r="1209">
          <cell r="G1209">
            <v>0</v>
          </cell>
          <cell r="H1209">
            <v>0</v>
          </cell>
          <cell r="I1209" t="e">
            <v>#REF!</v>
          </cell>
          <cell r="J1209"/>
          <cell r="K1209"/>
          <cell r="L1209"/>
          <cell r="M1209"/>
          <cell r="N1209"/>
          <cell r="O1209"/>
          <cell r="P1209"/>
          <cell r="Q1209"/>
          <cell r="R1209"/>
          <cell r="S1209"/>
        </row>
        <row r="1210">
          <cell r="G1210">
            <v>0</v>
          </cell>
          <cell r="H1210">
            <v>0</v>
          </cell>
          <cell r="I1210" t="e">
            <v>#REF!</v>
          </cell>
          <cell r="J1210"/>
          <cell r="K1210"/>
          <cell r="L1210"/>
          <cell r="M1210"/>
          <cell r="N1210"/>
          <cell r="O1210"/>
          <cell r="P1210"/>
          <cell r="Q1210"/>
          <cell r="R1210"/>
          <cell r="S1210"/>
        </row>
        <row r="1211">
          <cell r="G1211">
            <v>0</v>
          </cell>
          <cell r="H1211">
            <v>0</v>
          </cell>
          <cell r="I1211" t="e">
            <v>#REF!</v>
          </cell>
          <cell r="J1211"/>
          <cell r="K1211"/>
          <cell r="L1211"/>
          <cell r="M1211"/>
          <cell r="N1211"/>
          <cell r="O1211"/>
          <cell r="P1211"/>
          <cell r="Q1211"/>
          <cell r="R1211"/>
          <cell r="S1211"/>
        </row>
        <row r="1212">
          <cell r="G1212">
            <v>0</v>
          </cell>
          <cell r="H1212">
            <v>0</v>
          </cell>
          <cell r="I1212" t="e">
            <v>#REF!</v>
          </cell>
          <cell r="J1212"/>
          <cell r="K1212"/>
          <cell r="L1212"/>
          <cell r="M1212"/>
          <cell r="N1212"/>
          <cell r="O1212"/>
          <cell r="P1212"/>
          <cell r="Q1212"/>
          <cell r="R1212"/>
          <cell r="S1212"/>
        </row>
        <row r="1213">
          <cell r="G1213">
            <v>0</v>
          </cell>
          <cell r="H1213">
            <v>0</v>
          </cell>
          <cell r="I1213" t="e">
            <v>#REF!</v>
          </cell>
          <cell r="J1213"/>
          <cell r="K1213"/>
          <cell r="L1213"/>
          <cell r="M1213"/>
          <cell r="N1213"/>
          <cell r="O1213"/>
          <cell r="P1213"/>
          <cell r="Q1213"/>
          <cell r="R1213"/>
          <cell r="S1213"/>
        </row>
        <row r="1214">
          <cell r="G1214">
            <v>0</v>
          </cell>
          <cell r="H1214">
            <v>0</v>
          </cell>
          <cell r="I1214" t="e">
            <v>#REF!</v>
          </cell>
          <cell r="J1214"/>
          <cell r="K1214"/>
          <cell r="L1214"/>
          <cell r="M1214"/>
          <cell r="N1214"/>
          <cell r="O1214"/>
          <cell r="P1214"/>
          <cell r="Q1214"/>
          <cell r="R1214"/>
          <cell r="S1214"/>
        </row>
        <row r="1215">
          <cell r="G1215">
            <v>0</v>
          </cell>
          <cell r="H1215">
            <v>0</v>
          </cell>
          <cell r="I1215" t="e">
            <v>#REF!</v>
          </cell>
          <cell r="J1215"/>
          <cell r="K1215"/>
          <cell r="L1215"/>
          <cell r="M1215"/>
          <cell r="N1215"/>
          <cell r="O1215"/>
          <cell r="P1215"/>
          <cell r="Q1215"/>
          <cell r="R1215"/>
          <cell r="S1215"/>
        </row>
        <row r="1216">
          <cell r="G1216">
            <v>0</v>
          </cell>
          <cell r="H1216">
            <v>0</v>
          </cell>
          <cell r="I1216" t="e">
            <v>#REF!</v>
          </cell>
          <cell r="J1216"/>
          <cell r="K1216"/>
          <cell r="L1216"/>
          <cell r="M1216"/>
          <cell r="N1216"/>
          <cell r="O1216"/>
          <cell r="P1216"/>
          <cell r="Q1216"/>
          <cell r="R1216"/>
          <cell r="S1216"/>
        </row>
        <row r="1217">
          <cell r="G1217">
            <v>0</v>
          </cell>
          <cell r="H1217">
            <v>0</v>
          </cell>
          <cell r="I1217" t="e">
            <v>#REF!</v>
          </cell>
          <cell r="J1217"/>
          <cell r="K1217"/>
          <cell r="L1217"/>
          <cell r="M1217"/>
          <cell r="N1217"/>
          <cell r="O1217"/>
          <cell r="P1217"/>
          <cell r="Q1217"/>
          <cell r="R1217"/>
          <cell r="S1217"/>
        </row>
        <row r="1218">
          <cell r="G1218">
            <v>0</v>
          </cell>
          <cell r="H1218">
            <v>0</v>
          </cell>
          <cell r="I1218" t="e">
            <v>#REF!</v>
          </cell>
          <cell r="J1218"/>
          <cell r="K1218"/>
          <cell r="L1218"/>
          <cell r="M1218"/>
          <cell r="N1218"/>
          <cell r="O1218"/>
          <cell r="P1218"/>
          <cell r="Q1218"/>
          <cell r="R1218"/>
          <cell r="S1218"/>
        </row>
        <row r="1219">
          <cell r="G1219">
            <v>0</v>
          </cell>
          <cell r="H1219">
            <v>0</v>
          </cell>
          <cell r="I1219" t="e">
            <v>#REF!</v>
          </cell>
          <cell r="J1219"/>
          <cell r="K1219"/>
          <cell r="L1219"/>
          <cell r="M1219"/>
          <cell r="N1219"/>
          <cell r="O1219"/>
          <cell r="P1219"/>
          <cell r="Q1219"/>
          <cell r="R1219"/>
          <cell r="S1219"/>
        </row>
        <row r="1220">
          <cell r="G1220">
            <v>0</v>
          </cell>
          <cell r="H1220">
            <v>0</v>
          </cell>
          <cell r="I1220" t="e">
            <v>#REF!</v>
          </cell>
          <cell r="J1220"/>
          <cell r="K1220"/>
          <cell r="L1220"/>
          <cell r="M1220"/>
          <cell r="N1220"/>
          <cell r="O1220"/>
          <cell r="P1220"/>
          <cell r="Q1220"/>
          <cell r="R1220"/>
          <cell r="S1220"/>
        </row>
        <row r="1221">
          <cell r="G1221">
            <v>0</v>
          </cell>
          <cell r="H1221">
            <v>0</v>
          </cell>
          <cell r="I1221" t="e">
            <v>#REF!</v>
          </cell>
          <cell r="J1221"/>
          <cell r="K1221"/>
          <cell r="L1221"/>
          <cell r="M1221"/>
          <cell r="N1221"/>
          <cell r="O1221"/>
          <cell r="P1221"/>
          <cell r="Q1221"/>
          <cell r="R1221"/>
          <cell r="S1221"/>
        </row>
        <row r="1222">
          <cell r="G1222">
            <v>0</v>
          </cell>
          <cell r="H1222">
            <v>0</v>
          </cell>
          <cell r="I1222" t="e">
            <v>#REF!</v>
          </cell>
          <cell r="J1222"/>
          <cell r="K1222"/>
          <cell r="L1222"/>
          <cell r="M1222"/>
          <cell r="N1222"/>
          <cell r="O1222"/>
          <cell r="P1222"/>
          <cell r="Q1222"/>
          <cell r="R1222"/>
          <cell r="S1222"/>
        </row>
        <row r="1223">
          <cell r="G1223">
            <v>0</v>
          </cell>
          <cell r="H1223">
            <v>0</v>
          </cell>
          <cell r="I1223" t="e">
            <v>#REF!</v>
          </cell>
          <cell r="J1223"/>
          <cell r="K1223"/>
          <cell r="L1223"/>
          <cell r="M1223"/>
          <cell r="N1223"/>
          <cell r="O1223"/>
          <cell r="P1223"/>
          <cell r="Q1223"/>
          <cell r="R1223"/>
          <cell r="S1223"/>
        </row>
        <row r="1224">
          <cell r="G1224">
            <v>0</v>
          </cell>
          <cell r="H1224">
            <v>0</v>
          </cell>
          <cell r="I1224" t="e">
            <v>#REF!</v>
          </cell>
          <cell r="J1224"/>
          <cell r="K1224"/>
          <cell r="L1224"/>
          <cell r="M1224"/>
          <cell r="N1224"/>
          <cell r="O1224"/>
          <cell r="P1224"/>
          <cell r="Q1224"/>
          <cell r="R1224"/>
          <cell r="S1224"/>
        </row>
        <row r="1225">
          <cell r="G1225">
            <v>0</v>
          </cell>
          <cell r="H1225">
            <v>0</v>
          </cell>
          <cell r="I1225" t="e">
            <v>#REF!</v>
          </cell>
          <cell r="J1225"/>
          <cell r="K1225"/>
          <cell r="L1225"/>
          <cell r="M1225"/>
          <cell r="N1225"/>
          <cell r="O1225"/>
          <cell r="P1225"/>
          <cell r="Q1225"/>
          <cell r="R1225"/>
          <cell r="S1225"/>
        </row>
        <row r="1226">
          <cell r="G1226">
            <v>0</v>
          </cell>
          <cell r="H1226">
            <v>0</v>
          </cell>
          <cell r="I1226" t="e">
            <v>#REF!</v>
          </cell>
          <cell r="J1226"/>
          <cell r="K1226"/>
          <cell r="L1226"/>
          <cell r="M1226"/>
          <cell r="N1226"/>
          <cell r="O1226"/>
          <cell r="P1226"/>
          <cell r="Q1226"/>
          <cell r="R1226"/>
          <cell r="S1226"/>
        </row>
        <row r="1227">
          <cell r="G1227">
            <v>0</v>
          </cell>
          <cell r="H1227">
            <v>0</v>
          </cell>
          <cell r="I1227" t="e">
            <v>#REF!</v>
          </cell>
          <cell r="J1227"/>
          <cell r="K1227"/>
          <cell r="L1227"/>
          <cell r="M1227"/>
          <cell r="N1227"/>
          <cell r="O1227"/>
          <cell r="P1227"/>
          <cell r="Q1227"/>
          <cell r="R1227"/>
          <cell r="S1227"/>
        </row>
        <row r="1228">
          <cell r="G1228">
            <v>0</v>
          </cell>
          <cell r="H1228">
            <v>0</v>
          </cell>
          <cell r="I1228" t="e">
            <v>#REF!</v>
          </cell>
          <cell r="J1228"/>
          <cell r="K1228"/>
          <cell r="L1228"/>
          <cell r="M1228"/>
          <cell r="N1228"/>
          <cell r="O1228"/>
          <cell r="P1228"/>
          <cell r="Q1228"/>
          <cell r="R1228"/>
          <cell r="S1228"/>
        </row>
        <row r="1229">
          <cell r="G1229">
            <v>0</v>
          </cell>
          <cell r="H1229">
            <v>0</v>
          </cell>
          <cell r="I1229" t="e">
            <v>#REF!</v>
          </cell>
          <cell r="J1229"/>
          <cell r="K1229"/>
          <cell r="L1229"/>
          <cell r="M1229"/>
          <cell r="N1229"/>
          <cell r="O1229"/>
          <cell r="P1229"/>
          <cell r="Q1229"/>
          <cell r="R1229"/>
          <cell r="S1229"/>
        </row>
        <row r="1230">
          <cell r="G1230">
            <v>0</v>
          </cell>
          <cell r="H1230">
            <v>0</v>
          </cell>
          <cell r="I1230" t="e">
            <v>#REF!</v>
          </cell>
          <cell r="J1230"/>
          <cell r="K1230"/>
          <cell r="L1230"/>
          <cell r="M1230"/>
          <cell r="N1230"/>
          <cell r="O1230"/>
          <cell r="P1230"/>
          <cell r="Q1230"/>
          <cell r="R1230"/>
          <cell r="S1230"/>
        </row>
        <row r="1231">
          <cell r="G1231">
            <v>0</v>
          </cell>
          <cell r="H1231">
            <v>0</v>
          </cell>
          <cell r="I1231" t="e">
            <v>#REF!</v>
          </cell>
          <cell r="J1231"/>
          <cell r="K1231"/>
          <cell r="L1231"/>
          <cell r="M1231"/>
          <cell r="N1231"/>
          <cell r="O1231"/>
          <cell r="P1231"/>
          <cell r="Q1231"/>
          <cell r="R1231"/>
          <cell r="S1231"/>
        </row>
        <row r="1232">
          <cell r="G1232">
            <v>0</v>
          </cell>
          <cell r="H1232">
            <v>0</v>
          </cell>
          <cell r="I1232" t="e">
            <v>#REF!</v>
          </cell>
          <cell r="J1232"/>
          <cell r="K1232"/>
          <cell r="L1232"/>
          <cell r="M1232"/>
          <cell r="N1232"/>
          <cell r="O1232"/>
          <cell r="P1232"/>
          <cell r="Q1232"/>
          <cell r="R1232"/>
          <cell r="S1232"/>
        </row>
        <row r="1233">
          <cell r="G1233">
            <v>0</v>
          </cell>
          <cell r="H1233">
            <v>0</v>
          </cell>
          <cell r="I1233" t="e">
            <v>#REF!</v>
          </cell>
          <cell r="J1233"/>
          <cell r="K1233"/>
          <cell r="L1233"/>
          <cell r="M1233"/>
          <cell r="N1233"/>
          <cell r="O1233"/>
          <cell r="P1233"/>
          <cell r="Q1233"/>
          <cell r="R1233"/>
          <cell r="S1233"/>
        </row>
        <row r="1234">
          <cell r="G1234">
            <v>0</v>
          </cell>
          <cell r="H1234">
            <v>0</v>
          </cell>
          <cell r="I1234" t="e">
            <v>#REF!</v>
          </cell>
          <cell r="J1234"/>
          <cell r="K1234"/>
          <cell r="L1234"/>
          <cell r="M1234"/>
          <cell r="N1234"/>
          <cell r="O1234"/>
          <cell r="P1234"/>
          <cell r="Q1234"/>
          <cell r="R1234"/>
          <cell r="S1234"/>
        </row>
        <row r="1235">
          <cell r="G1235">
            <v>0</v>
          </cell>
          <cell r="H1235">
            <v>0</v>
          </cell>
          <cell r="I1235" t="e">
            <v>#REF!</v>
          </cell>
          <cell r="J1235"/>
          <cell r="K1235"/>
          <cell r="L1235"/>
          <cell r="M1235"/>
          <cell r="N1235"/>
          <cell r="O1235"/>
          <cell r="P1235"/>
          <cell r="Q1235"/>
          <cell r="R1235"/>
          <cell r="S1235"/>
        </row>
        <row r="1236">
          <cell r="G1236">
            <v>0</v>
          </cell>
          <cell r="H1236">
            <v>0</v>
          </cell>
          <cell r="I1236" t="e">
            <v>#REF!</v>
          </cell>
          <cell r="J1236"/>
          <cell r="K1236"/>
          <cell r="L1236"/>
          <cell r="M1236"/>
          <cell r="N1236"/>
          <cell r="O1236"/>
          <cell r="P1236"/>
          <cell r="Q1236"/>
          <cell r="R1236"/>
          <cell r="S1236"/>
        </row>
        <row r="1237">
          <cell r="G1237">
            <v>0</v>
          </cell>
          <cell r="H1237">
            <v>0</v>
          </cell>
          <cell r="I1237" t="e">
            <v>#REF!</v>
          </cell>
          <cell r="J1237"/>
          <cell r="K1237"/>
          <cell r="L1237"/>
          <cell r="M1237"/>
          <cell r="N1237"/>
          <cell r="O1237"/>
          <cell r="P1237"/>
          <cell r="Q1237"/>
          <cell r="R1237"/>
          <cell r="S1237"/>
        </row>
        <row r="1238">
          <cell r="G1238">
            <v>0</v>
          </cell>
          <cell r="H1238">
            <v>0</v>
          </cell>
          <cell r="I1238" t="e">
            <v>#REF!</v>
          </cell>
          <cell r="J1238"/>
          <cell r="K1238"/>
          <cell r="L1238"/>
          <cell r="M1238"/>
          <cell r="N1238"/>
          <cell r="O1238"/>
          <cell r="P1238"/>
          <cell r="Q1238"/>
          <cell r="R1238"/>
          <cell r="S1238"/>
        </row>
        <row r="1239">
          <cell r="G1239">
            <v>0</v>
          </cell>
          <cell r="H1239">
            <v>0</v>
          </cell>
          <cell r="I1239" t="e">
            <v>#REF!</v>
          </cell>
          <cell r="J1239"/>
          <cell r="K1239"/>
          <cell r="L1239"/>
          <cell r="M1239"/>
          <cell r="N1239"/>
          <cell r="O1239"/>
          <cell r="P1239"/>
          <cell r="Q1239"/>
          <cell r="R1239"/>
          <cell r="S1239"/>
        </row>
        <row r="1240">
          <cell r="G1240">
            <v>0</v>
          </cell>
          <cell r="H1240">
            <v>0</v>
          </cell>
          <cell r="I1240" t="e">
            <v>#REF!</v>
          </cell>
          <cell r="J1240"/>
          <cell r="K1240"/>
          <cell r="L1240"/>
          <cell r="M1240"/>
          <cell r="N1240"/>
          <cell r="O1240"/>
          <cell r="P1240"/>
          <cell r="Q1240"/>
          <cell r="R1240"/>
          <cell r="S1240"/>
        </row>
        <row r="1241">
          <cell r="G1241">
            <v>0</v>
          </cell>
          <cell r="H1241">
            <v>0</v>
          </cell>
          <cell r="I1241" t="e">
            <v>#REF!</v>
          </cell>
          <cell r="J1241"/>
          <cell r="K1241"/>
          <cell r="L1241"/>
          <cell r="M1241"/>
          <cell r="N1241"/>
          <cell r="O1241"/>
          <cell r="P1241"/>
          <cell r="Q1241"/>
          <cell r="R1241"/>
          <cell r="S1241"/>
        </row>
        <row r="1242">
          <cell r="G1242">
            <v>0</v>
          </cell>
          <cell r="H1242">
            <v>0</v>
          </cell>
          <cell r="I1242" t="e">
            <v>#REF!</v>
          </cell>
          <cell r="J1242"/>
          <cell r="K1242"/>
          <cell r="L1242"/>
          <cell r="M1242"/>
          <cell r="N1242"/>
          <cell r="O1242"/>
          <cell r="P1242"/>
          <cell r="Q1242"/>
          <cell r="R1242"/>
          <cell r="S1242"/>
        </row>
        <row r="1243">
          <cell r="G1243">
            <v>0</v>
          </cell>
          <cell r="H1243">
            <v>0</v>
          </cell>
          <cell r="I1243" t="e">
            <v>#REF!</v>
          </cell>
          <cell r="J1243"/>
          <cell r="K1243"/>
          <cell r="L1243"/>
          <cell r="M1243"/>
          <cell r="N1243"/>
          <cell r="O1243"/>
          <cell r="P1243"/>
          <cell r="Q1243"/>
          <cell r="R1243"/>
          <cell r="S1243"/>
        </row>
        <row r="1244">
          <cell r="G1244">
            <v>0</v>
          </cell>
          <cell r="H1244">
            <v>0</v>
          </cell>
          <cell r="I1244" t="e">
            <v>#REF!</v>
          </cell>
          <cell r="J1244"/>
          <cell r="K1244"/>
          <cell r="L1244"/>
          <cell r="M1244"/>
          <cell r="N1244"/>
          <cell r="O1244"/>
          <cell r="P1244"/>
          <cell r="Q1244"/>
          <cell r="R1244"/>
          <cell r="S1244"/>
        </row>
        <row r="1245">
          <cell r="G1245">
            <v>0</v>
          </cell>
          <cell r="H1245">
            <v>0</v>
          </cell>
          <cell r="I1245" t="e">
            <v>#REF!</v>
          </cell>
          <cell r="J1245"/>
          <cell r="K1245"/>
          <cell r="L1245"/>
          <cell r="M1245"/>
          <cell r="N1245"/>
          <cell r="O1245"/>
          <cell r="P1245"/>
          <cell r="Q1245"/>
          <cell r="R1245"/>
          <cell r="S1245"/>
        </row>
        <row r="1246">
          <cell r="G1246">
            <v>0</v>
          </cell>
          <cell r="H1246">
            <v>0</v>
          </cell>
          <cell r="I1246" t="e">
            <v>#REF!</v>
          </cell>
          <cell r="J1246"/>
          <cell r="K1246"/>
          <cell r="L1246"/>
          <cell r="M1246"/>
          <cell r="N1246"/>
          <cell r="O1246"/>
          <cell r="P1246"/>
          <cell r="Q1246"/>
          <cell r="R1246"/>
          <cell r="S1246"/>
        </row>
        <row r="1247">
          <cell r="G1247">
            <v>0</v>
          </cell>
          <cell r="H1247">
            <v>0</v>
          </cell>
          <cell r="I1247" t="e">
            <v>#REF!</v>
          </cell>
          <cell r="J1247"/>
          <cell r="K1247"/>
          <cell r="L1247"/>
          <cell r="M1247"/>
          <cell r="N1247"/>
          <cell r="O1247"/>
          <cell r="P1247"/>
          <cell r="Q1247"/>
          <cell r="R1247"/>
          <cell r="S1247"/>
        </row>
        <row r="1248">
          <cell r="G1248">
            <v>0</v>
          </cell>
          <cell r="H1248">
            <v>0</v>
          </cell>
          <cell r="I1248" t="e">
            <v>#REF!</v>
          </cell>
          <cell r="J1248"/>
          <cell r="K1248"/>
          <cell r="L1248"/>
          <cell r="M1248"/>
          <cell r="N1248"/>
          <cell r="O1248"/>
          <cell r="P1248"/>
          <cell r="Q1248"/>
          <cell r="R1248"/>
          <cell r="S1248"/>
        </row>
        <row r="1249">
          <cell r="G1249">
            <v>0</v>
          </cell>
          <cell r="H1249">
            <v>0</v>
          </cell>
          <cell r="I1249" t="e">
            <v>#REF!</v>
          </cell>
          <cell r="J1249"/>
          <cell r="K1249"/>
          <cell r="L1249"/>
          <cell r="M1249"/>
          <cell r="N1249"/>
          <cell r="O1249"/>
          <cell r="P1249"/>
          <cell r="Q1249"/>
          <cell r="R1249"/>
          <cell r="S1249"/>
        </row>
        <row r="1250">
          <cell r="G1250">
            <v>0</v>
          </cell>
          <cell r="H1250">
            <v>0</v>
          </cell>
          <cell r="I1250" t="e">
            <v>#REF!</v>
          </cell>
          <cell r="J1250"/>
          <cell r="K1250"/>
          <cell r="L1250"/>
          <cell r="M1250"/>
          <cell r="N1250"/>
          <cell r="O1250"/>
          <cell r="P1250"/>
          <cell r="Q1250"/>
          <cell r="R1250"/>
          <cell r="S1250"/>
        </row>
        <row r="1251">
          <cell r="G1251">
            <v>0</v>
          </cell>
          <cell r="H1251">
            <v>0</v>
          </cell>
          <cell r="I1251" t="e">
            <v>#REF!</v>
          </cell>
          <cell r="J1251"/>
          <cell r="K1251"/>
          <cell r="L1251"/>
          <cell r="M1251"/>
          <cell r="N1251"/>
          <cell r="O1251"/>
          <cell r="P1251"/>
          <cell r="Q1251"/>
          <cell r="R1251"/>
          <cell r="S1251"/>
        </row>
        <row r="1252">
          <cell r="G1252">
            <v>0</v>
          </cell>
          <cell r="H1252">
            <v>0</v>
          </cell>
          <cell r="I1252" t="e">
            <v>#REF!</v>
          </cell>
          <cell r="J1252"/>
          <cell r="K1252"/>
          <cell r="L1252"/>
          <cell r="M1252"/>
          <cell r="N1252"/>
          <cell r="O1252"/>
          <cell r="P1252"/>
          <cell r="Q1252"/>
          <cell r="R1252"/>
          <cell r="S1252"/>
        </row>
        <row r="1253">
          <cell r="G1253">
            <v>0</v>
          </cell>
          <cell r="H1253">
            <v>0</v>
          </cell>
          <cell r="I1253" t="e">
            <v>#REF!</v>
          </cell>
          <cell r="J1253"/>
          <cell r="K1253"/>
          <cell r="L1253"/>
          <cell r="M1253"/>
          <cell r="N1253"/>
          <cell r="O1253"/>
          <cell r="P1253"/>
          <cell r="Q1253"/>
          <cell r="R1253"/>
          <cell r="S1253"/>
        </row>
        <row r="1254">
          <cell r="G1254">
            <v>0</v>
          </cell>
          <cell r="H1254">
            <v>0</v>
          </cell>
          <cell r="I1254" t="e">
            <v>#REF!</v>
          </cell>
          <cell r="J1254"/>
          <cell r="K1254"/>
          <cell r="L1254"/>
          <cell r="M1254"/>
          <cell r="N1254"/>
          <cell r="O1254"/>
          <cell r="P1254"/>
          <cell r="Q1254"/>
          <cell r="R1254"/>
          <cell r="S1254"/>
        </row>
        <row r="1255">
          <cell r="G1255">
            <v>0</v>
          </cell>
          <cell r="H1255">
            <v>0</v>
          </cell>
          <cell r="I1255" t="e">
            <v>#REF!</v>
          </cell>
          <cell r="J1255"/>
          <cell r="K1255"/>
          <cell r="L1255"/>
          <cell r="M1255"/>
          <cell r="N1255"/>
          <cell r="O1255"/>
          <cell r="P1255"/>
          <cell r="Q1255"/>
          <cell r="R1255"/>
          <cell r="S1255"/>
        </row>
        <row r="1256">
          <cell r="G1256">
            <v>0</v>
          </cell>
          <cell r="H1256">
            <v>0</v>
          </cell>
          <cell r="I1256" t="e">
            <v>#REF!</v>
          </cell>
          <cell r="J1256"/>
          <cell r="K1256"/>
          <cell r="L1256"/>
          <cell r="M1256"/>
          <cell r="N1256"/>
          <cell r="O1256"/>
          <cell r="P1256"/>
          <cell r="Q1256"/>
          <cell r="R1256"/>
          <cell r="S1256"/>
        </row>
        <row r="1257">
          <cell r="G1257">
            <v>0</v>
          </cell>
          <cell r="H1257">
            <v>0</v>
          </cell>
          <cell r="I1257" t="e">
            <v>#REF!</v>
          </cell>
          <cell r="J1257"/>
          <cell r="K1257"/>
          <cell r="L1257"/>
          <cell r="M1257"/>
          <cell r="N1257"/>
          <cell r="O1257"/>
          <cell r="P1257"/>
          <cell r="Q1257"/>
          <cell r="R1257"/>
          <cell r="S1257"/>
        </row>
        <row r="1258">
          <cell r="G1258">
            <v>0</v>
          </cell>
          <cell r="H1258">
            <v>0</v>
          </cell>
          <cell r="I1258" t="e">
            <v>#REF!</v>
          </cell>
          <cell r="J1258"/>
          <cell r="K1258"/>
          <cell r="L1258"/>
          <cell r="M1258"/>
          <cell r="N1258"/>
          <cell r="O1258"/>
          <cell r="P1258"/>
          <cell r="Q1258"/>
          <cell r="R1258"/>
          <cell r="S1258"/>
        </row>
        <row r="1259">
          <cell r="G1259">
            <v>0</v>
          </cell>
          <cell r="H1259">
            <v>0</v>
          </cell>
          <cell r="I1259" t="e">
            <v>#REF!</v>
          </cell>
          <cell r="J1259"/>
          <cell r="K1259"/>
          <cell r="L1259"/>
          <cell r="M1259"/>
          <cell r="N1259"/>
          <cell r="O1259"/>
          <cell r="P1259"/>
          <cell r="Q1259"/>
          <cell r="R1259"/>
          <cell r="S1259"/>
        </row>
        <row r="1260">
          <cell r="G1260">
            <v>0</v>
          </cell>
          <cell r="H1260">
            <v>0</v>
          </cell>
          <cell r="I1260" t="e">
            <v>#REF!</v>
          </cell>
          <cell r="J1260"/>
          <cell r="K1260"/>
          <cell r="L1260"/>
          <cell r="M1260"/>
          <cell r="N1260"/>
          <cell r="O1260"/>
          <cell r="P1260"/>
          <cell r="Q1260"/>
          <cell r="R1260"/>
          <cell r="S1260"/>
        </row>
        <row r="1261">
          <cell r="G1261">
            <v>0</v>
          </cell>
          <cell r="H1261">
            <v>0</v>
          </cell>
          <cell r="I1261" t="e">
            <v>#REF!</v>
          </cell>
          <cell r="J1261"/>
          <cell r="K1261"/>
          <cell r="L1261"/>
          <cell r="M1261"/>
          <cell r="N1261"/>
          <cell r="O1261"/>
          <cell r="P1261"/>
          <cell r="Q1261"/>
          <cell r="R1261"/>
          <cell r="S1261"/>
        </row>
        <row r="1262">
          <cell r="G1262">
            <v>0</v>
          </cell>
          <cell r="H1262">
            <v>0</v>
          </cell>
          <cell r="I1262" t="e">
            <v>#REF!</v>
          </cell>
          <cell r="J1262"/>
          <cell r="K1262"/>
          <cell r="L1262"/>
          <cell r="M1262"/>
          <cell r="N1262"/>
          <cell r="O1262"/>
          <cell r="P1262"/>
          <cell r="Q1262"/>
          <cell r="R1262"/>
          <cell r="S1262"/>
        </row>
        <row r="1263">
          <cell r="G1263">
            <v>0</v>
          </cell>
          <cell r="H1263">
            <v>0</v>
          </cell>
          <cell r="I1263" t="e">
            <v>#REF!</v>
          </cell>
          <cell r="J1263"/>
          <cell r="K1263"/>
          <cell r="L1263"/>
          <cell r="M1263"/>
          <cell r="N1263"/>
          <cell r="O1263"/>
          <cell r="P1263"/>
          <cell r="Q1263"/>
          <cell r="R1263"/>
          <cell r="S1263"/>
        </row>
        <row r="1264">
          <cell r="G1264">
            <v>0</v>
          </cell>
          <cell r="H1264">
            <v>0</v>
          </cell>
          <cell r="I1264" t="e">
            <v>#REF!</v>
          </cell>
          <cell r="J1264"/>
          <cell r="K1264"/>
          <cell r="L1264"/>
          <cell r="M1264"/>
          <cell r="N1264"/>
          <cell r="O1264"/>
          <cell r="P1264"/>
          <cell r="Q1264"/>
          <cell r="R1264"/>
          <cell r="S1264"/>
        </row>
        <row r="1265">
          <cell r="G1265">
            <v>0</v>
          </cell>
          <cell r="H1265">
            <v>0</v>
          </cell>
          <cell r="I1265" t="e">
            <v>#REF!</v>
          </cell>
          <cell r="J1265"/>
          <cell r="K1265"/>
          <cell r="L1265"/>
          <cell r="M1265"/>
          <cell r="N1265"/>
          <cell r="O1265"/>
          <cell r="P1265"/>
          <cell r="Q1265"/>
          <cell r="R1265"/>
          <cell r="S1265"/>
        </row>
        <row r="1266">
          <cell r="G1266">
            <v>0</v>
          </cell>
          <cell r="H1266">
            <v>0</v>
          </cell>
          <cell r="I1266" t="e">
            <v>#REF!</v>
          </cell>
          <cell r="J1266"/>
          <cell r="K1266"/>
          <cell r="L1266"/>
          <cell r="M1266"/>
          <cell r="N1266"/>
          <cell r="O1266"/>
          <cell r="P1266"/>
          <cell r="Q1266"/>
          <cell r="R1266"/>
          <cell r="S1266"/>
        </row>
        <row r="1267">
          <cell r="G1267">
            <v>0</v>
          </cell>
          <cell r="H1267">
            <v>0</v>
          </cell>
          <cell r="I1267" t="e">
            <v>#REF!</v>
          </cell>
          <cell r="J1267"/>
          <cell r="K1267"/>
          <cell r="L1267"/>
          <cell r="M1267"/>
          <cell r="N1267"/>
          <cell r="O1267"/>
          <cell r="P1267"/>
          <cell r="Q1267"/>
          <cell r="R1267"/>
          <cell r="S1267"/>
        </row>
        <row r="1268">
          <cell r="G1268">
            <v>0</v>
          </cell>
          <cell r="H1268">
            <v>0</v>
          </cell>
          <cell r="I1268" t="e">
            <v>#REF!</v>
          </cell>
          <cell r="J1268"/>
          <cell r="K1268"/>
          <cell r="L1268"/>
          <cell r="M1268"/>
          <cell r="N1268"/>
          <cell r="O1268"/>
          <cell r="P1268"/>
          <cell r="Q1268"/>
          <cell r="R1268"/>
          <cell r="S1268"/>
        </row>
        <row r="1269">
          <cell r="G1269">
            <v>0</v>
          </cell>
          <cell r="H1269">
            <v>0</v>
          </cell>
          <cell r="I1269" t="e">
            <v>#REF!</v>
          </cell>
          <cell r="J1269"/>
          <cell r="K1269"/>
          <cell r="L1269"/>
          <cell r="M1269"/>
          <cell r="N1269"/>
          <cell r="O1269"/>
          <cell r="P1269"/>
          <cell r="Q1269"/>
          <cell r="R1269"/>
          <cell r="S1269"/>
        </row>
        <row r="1270">
          <cell r="G1270">
            <v>0</v>
          </cell>
          <cell r="H1270">
            <v>0</v>
          </cell>
          <cell r="I1270" t="e">
            <v>#REF!</v>
          </cell>
          <cell r="J1270"/>
          <cell r="K1270"/>
          <cell r="L1270"/>
          <cell r="M1270"/>
          <cell r="N1270"/>
          <cell r="O1270"/>
          <cell r="P1270"/>
          <cell r="Q1270"/>
          <cell r="R1270"/>
          <cell r="S1270"/>
        </row>
        <row r="1271">
          <cell r="G1271">
            <v>0</v>
          </cell>
          <cell r="H1271">
            <v>0</v>
          </cell>
          <cell r="I1271" t="e">
            <v>#REF!</v>
          </cell>
          <cell r="J1271"/>
          <cell r="K1271"/>
          <cell r="L1271"/>
          <cell r="M1271"/>
          <cell r="N1271"/>
          <cell r="O1271"/>
          <cell r="P1271"/>
          <cell r="Q1271"/>
          <cell r="R1271"/>
          <cell r="S1271"/>
        </row>
        <row r="1272">
          <cell r="G1272">
            <v>0</v>
          </cell>
          <cell r="H1272">
            <v>0</v>
          </cell>
          <cell r="I1272" t="e">
            <v>#REF!</v>
          </cell>
          <cell r="J1272"/>
          <cell r="K1272"/>
          <cell r="L1272"/>
          <cell r="M1272"/>
          <cell r="N1272"/>
          <cell r="O1272"/>
          <cell r="P1272"/>
          <cell r="Q1272"/>
          <cell r="R1272"/>
          <cell r="S1272"/>
        </row>
        <row r="1273">
          <cell r="G1273">
            <v>0</v>
          </cell>
          <cell r="H1273">
            <v>0</v>
          </cell>
          <cell r="I1273" t="e">
            <v>#REF!</v>
          </cell>
          <cell r="J1273"/>
          <cell r="K1273"/>
          <cell r="L1273"/>
          <cell r="M1273"/>
          <cell r="N1273"/>
          <cell r="O1273"/>
          <cell r="P1273"/>
          <cell r="Q1273"/>
          <cell r="R1273"/>
          <cell r="S1273"/>
        </row>
        <row r="1274">
          <cell r="G1274">
            <v>0</v>
          </cell>
          <cell r="H1274">
            <v>0</v>
          </cell>
          <cell r="I1274" t="e">
            <v>#REF!</v>
          </cell>
          <cell r="J1274"/>
          <cell r="K1274"/>
          <cell r="L1274"/>
          <cell r="M1274"/>
          <cell r="N1274"/>
          <cell r="O1274"/>
          <cell r="P1274"/>
          <cell r="Q1274"/>
          <cell r="R1274"/>
          <cell r="S1274"/>
        </row>
        <row r="1275">
          <cell r="G1275">
            <v>0</v>
          </cell>
          <cell r="H1275">
            <v>0</v>
          </cell>
          <cell r="I1275" t="e">
            <v>#REF!</v>
          </cell>
          <cell r="J1275"/>
          <cell r="K1275"/>
          <cell r="L1275"/>
          <cell r="M1275"/>
          <cell r="N1275"/>
          <cell r="O1275"/>
          <cell r="P1275"/>
          <cell r="Q1275"/>
          <cell r="R1275"/>
          <cell r="S1275"/>
        </row>
        <row r="1276">
          <cell r="G1276">
            <v>0</v>
          </cell>
          <cell r="H1276">
            <v>0</v>
          </cell>
          <cell r="I1276" t="e">
            <v>#REF!</v>
          </cell>
          <cell r="J1276"/>
          <cell r="K1276"/>
          <cell r="L1276"/>
          <cell r="M1276"/>
          <cell r="N1276"/>
          <cell r="O1276"/>
          <cell r="P1276"/>
          <cell r="Q1276"/>
          <cell r="R1276"/>
          <cell r="S1276"/>
        </row>
        <row r="1277">
          <cell r="G1277">
            <v>0</v>
          </cell>
          <cell r="H1277">
            <v>0</v>
          </cell>
          <cell r="I1277" t="e">
            <v>#REF!</v>
          </cell>
          <cell r="J1277"/>
          <cell r="K1277"/>
          <cell r="L1277"/>
          <cell r="M1277"/>
          <cell r="N1277"/>
          <cell r="O1277"/>
          <cell r="P1277"/>
          <cell r="Q1277"/>
          <cell r="R1277"/>
          <cell r="S1277"/>
        </row>
        <row r="1278">
          <cell r="G1278">
            <v>0</v>
          </cell>
          <cell r="H1278">
            <v>0</v>
          </cell>
          <cell r="I1278" t="e">
            <v>#REF!</v>
          </cell>
          <cell r="J1278"/>
          <cell r="K1278"/>
          <cell r="L1278"/>
          <cell r="M1278"/>
          <cell r="N1278"/>
          <cell r="O1278"/>
          <cell r="P1278"/>
          <cell r="Q1278"/>
          <cell r="R1278"/>
          <cell r="S1278"/>
        </row>
        <row r="1279">
          <cell r="G1279">
            <v>0</v>
          </cell>
          <cell r="H1279">
            <v>0</v>
          </cell>
          <cell r="I1279" t="e">
            <v>#REF!</v>
          </cell>
          <cell r="J1279"/>
          <cell r="K1279"/>
          <cell r="L1279"/>
          <cell r="M1279"/>
          <cell r="N1279"/>
          <cell r="O1279"/>
          <cell r="P1279"/>
          <cell r="Q1279"/>
          <cell r="R1279"/>
          <cell r="S1279"/>
        </row>
        <row r="1280">
          <cell r="G1280">
            <v>0</v>
          </cell>
          <cell r="H1280">
            <v>0</v>
          </cell>
          <cell r="I1280" t="e">
            <v>#REF!</v>
          </cell>
          <cell r="J1280"/>
          <cell r="K1280"/>
          <cell r="L1280"/>
          <cell r="M1280"/>
          <cell r="N1280"/>
          <cell r="O1280"/>
          <cell r="P1280"/>
          <cell r="Q1280"/>
          <cell r="R1280"/>
          <cell r="S1280"/>
        </row>
        <row r="1281">
          <cell r="G1281">
            <v>0</v>
          </cell>
          <cell r="H1281">
            <v>0</v>
          </cell>
          <cell r="I1281" t="e">
            <v>#REF!</v>
          </cell>
          <cell r="J1281"/>
          <cell r="K1281"/>
          <cell r="L1281"/>
          <cell r="M1281"/>
          <cell r="N1281"/>
          <cell r="O1281"/>
          <cell r="P1281"/>
          <cell r="Q1281"/>
          <cell r="R1281"/>
          <cell r="S1281"/>
        </row>
        <row r="1282">
          <cell r="G1282">
            <v>0</v>
          </cell>
          <cell r="H1282">
            <v>0</v>
          </cell>
          <cell r="I1282" t="e">
            <v>#REF!</v>
          </cell>
          <cell r="J1282"/>
          <cell r="K1282"/>
          <cell r="L1282"/>
          <cell r="M1282"/>
          <cell r="N1282"/>
          <cell r="O1282"/>
          <cell r="P1282"/>
          <cell r="Q1282"/>
          <cell r="R1282"/>
          <cell r="S1282"/>
        </row>
        <row r="1283">
          <cell r="G1283">
            <v>0</v>
          </cell>
          <cell r="H1283">
            <v>0</v>
          </cell>
          <cell r="I1283" t="e">
            <v>#REF!</v>
          </cell>
          <cell r="J1283"/>
          <cell r="K1283"/>
          <cell r="L1283"/>
          <cell r="M1283"/>
          <cell r="N1283"/>
          <cell r="O1283"/>
          <cell r="P1283"/>
          <cell r="Q1283"/>
          <cell r="R1283"/>
          <cell r="S1283"/>
        </row>
        <row r="1284">
          <cell r="G1284">
            <v>0</v>
          </cell>
          <cell r="H1284">
            <v>0</v>
          </cell>
          <cell r="I1284" t="e">
            <v>#REF!</v>
          </cell>
          <cell r="J1284"/>
          <cell r="K1284"/>
          <cell r="L1284"/>
          <cell r="M1284"/>
          <cell r="N1284"/>
          <cell r="O1284"/>
          <cell r="P1284"/>
          <cell r="Q1284"/>
          <cell r="R1284"/>
          <cell r="S1284"/>
        </row>
        <row r="1285">
          <cell r="G1285">
            <v>0</v>
          </cell>
          <cell r="H1285">
            <v>0</v>
          </cell>
          <cell r="I1285" t="e">
            <v>#REF!</v>
          </cell>
          <cell r="J1285"/>
          <cell r="K1285"/>
          <cell r="L1285"/>
          <cell r="M1285"/>
          <cell r="N1285"/>
          <cell r="O1285"/>
          <cell r="P1285"/>
          <cell r="Q1285"/>
          <cell r="R1285"/>
          <cell r="S1285"/>
        </row>
        <row r="1286">
          <cell r="G1286">
            <v>0</v>
          </cell>
          <cell r="H1286">
            <v>0</v>
          </cell>
          <cell r="I1286" t="e">
            <v>#REF!</v>
          </cell>
          <cell r="J1286"/>
          <cell r="K1286"/>
          <cell r="L1286"/>
          <cell r="M1286"/>
          <cell r="N1286"/>
          <cell r="O1286"/>
          <cell r="P1286"/>
          <cell r="Q1286"/>
          <cell r="R1286"/>
          <cell r="S1286"/>
        </row>
        <row r="1287">
          <cell r="G1287">
            <v>0</v>
          </cell>
          <cell r="H1287">
            <v>0</v>
          </cell>
          <cell r="I1287" t="e">
            <v>#REF!</v>
          </cell>
          <cell r="J1287"/>
          <cell r="K1287"/>
          <cell r="L1287"/>
          <cell r="M1287"/>
          <cell r="N1287"/>
          <cell r="O1287"/>
          <cell r="P1287"/>
          <cell r="Q1287"/>
          <cell r="R1287"/>
          <cell r="S1287"/>
        </row>
        <row r="1288">
          <cell r="G1288">
            <v>0</v>
          </cell>
          <cell r="H1288">
            <v>0</v>
          </cell>
          <cell r="I1288" t="e">
            <v>#REF!</v>
          </cell>
          <cell r="J1288"/>
          <cell r="K1288"/>
          <cell r="L1288"/>
          <cell r="M1288"/>
          <cell r="N1288"/>
          <cell r="O1288"/>
          <cell r="P1288"/>
          <cell r="Q1288"/>
          <cell r="R1288"/>
          <cell r="S1288"/>
        </row>
        <row r="1289">
          <cell r="G1289">
            <v>0</v>
          </cell>
          <cell r="H1289">
            <v>0</v>
          </cell>
          <cell r="I1289" t="e">
            <v>#REF!</v>
          </cell>
          <cell r="J1289"/>
          <cell r="K1289"/>
          <cell r="L1289"/>
          <cell r="M1289"/>
          <cell r="N1289"/>
          <cell r="O1289"/>
          <cell r="P1289"/>
          <cell r="Q1289"/>
          <cell r="R1289"/>
          <cell r="S1289"/>
        </row>
        <row r="1290">
          <cell r="G1290">
            <v>0</v>
          </cell>
          <cell r="H1290">
            <v>0</v>
          </cell>
          <cell r="I1290" t="e">
            <v>#REF!</v>
          </cell>
          <cell r="J1290"/>
          <cell r="K1290"/>
          <cell r="L1290"/>
          <cell r="M1290"/>
          <cell r="N1290"/>
          <cell r="O1290"/>
          <cell r="P1290"/>
          <cell r="Q1290"/>
          <cell r="R1290"/>
          <cell r="S1290"/>
        </row>
        <row r="1291">
          <cell r="G1291">
            <v>0</v>
          </cell>
          <cell r="H1291">
            <v>0</v>
          </cell>
          <cell r="I1291" t="e">
            <v>#REF!</v>
          </cell>
          <cell r="J1291"/>
          <cell r="K1291"/>
          <cell r="L1291"/>
          <cell r="M1291"/>
          <cell r="N1291"/>
          <cell r="O1291"/>
          <cell r="P1291"/>
          <cell r="Q1291"/>
          <cell r="R1291"/>
          <cell r="S1291"/>
        </row>
        <row r="1292">
          <cell r="G1292">
            <v>0</v>
          </cell>
          <cell r="H1292">
            <v>0</v>
          </cell>
          <cell r="I1292" t="e">
            <v>#REF!</v>
          </cell>
          <cell r="J1292"/>
          <cell r="K1292"/>
          <cell r="L1292"/>
          <cell r="M1292"/>
          <cell r="N1292"/>
          <cell r="O1292"/>
          <cell r="P1292"/>
          <cell r="Q1292"/>
          <cell r="R1292"/>
          <cell r="S1292"/>
        </row>
        <row r="1293">
          <cell r="G1293">
            <v>0</v>
          </cell>
          <cell r="H1293">
            <v>0</v>
          </cell>
          <cell r="I1293" t="e">
            <v>#REF!</v>
          </cell>
          <cell r="J1293"/>
          <cell r="K1293"/>
          <cell r="L1293"/>
          <cell r="M1293"/>
          <cell r="N1293"/>
          <cell r="O1293"/>
          <cell r="P1293"/>
          <cell r="Q1293"/>
          <cell r="R1293"/>
          <cell r="S1293"/>
        </row>
        <row r="1294">
          <cell r="G1294">
            <v>0</v>
          </cell>
          <cell r="H1294">
            <v>0</v>
          </cell>
          <cell r="I1294" t="e">
            <v>#REF!</v>
          </cell>
          <cell r="J1294"/>
          <cell r="K1294"/>
          <cell r="L1294"/>
          <cell r="M1294"/>
          <cell r="N1294"/>
          <cell r="O1294"/>
          <cell r="P1294"/>
          <cell r="Q1294"/>
          <cell r="R1294"/>
          <cell r="S1294"/>
        </row>
        <row r="1295">
          <cell r="G1295">
            <v>0</v>
          </cell>
          <cell r="H1295">
            <v>0</v>
          </cell>
          <cell r="I1295" t="e">
            <v>#REF!</v>
          </cell>
          <cell r="J1295"/>
          <cell r="K1295"/>
          <cell r="L1295"/>
          <cell r="M1295"/>
          <cell r="N1295"/>
          <cell r="O1295"/>
          <cell r="P1295"/>
          <cell r="Q1295"/>
          <cell r="R1295"/>
          <cell r="S1295"/>
        </row>
        <row r="1296">
          <cell r="G1296">
            <v>0</v>
          </cell>
          <cell r="H1296">
            <v>0</v>
          </cell>
          <cell r="I1296" t="e">
            <v>#REF!</v>
          </cell>
          <cell r="J1296"/>
          <cell r="K1296"/>
          <cell r="L1296"/>
          <cell r="M1296"/>
          <cell r="N1296"/>
          <cell r="O1296"/>
          <cell r="P1296"/>
          <cell r="Q1296"/>
          <cell r="R1296"/>
          <cell r="S1296"/>
        </row>
        <row r="1297">
          <cell r="G1297">
            <v>0</v>
          </cell>
          <cell r="H1297">
            <v>0</v>
          </cell>
          <cell r="I1297" t="e">
            <v>#REF!</v>
          </cell>
          <cell r="J1297"/>
          <cell r="K1297"/>
          <cell r="L1297"/>
          <cell r="M1297"/>
          <cell r="N1297"/>
          <cell r="O1297"/>
          <cell r="P1297"/>
          <cell r="Q1297"/>
          <cell r="R1297"/>
          <cell r="S1297"/>
        </row>
        <row r="1298">
          <cell r="G1298">
            <v>0</v>
          </cell>
          <cell r="H1298">
            <v>0</v>
          </cell>
          <cell r="I1298" t="e">
            <v>#REF!</v>
          </cell>
          <cell r="J1298"/>
          <cell r="K1298"/>
          <cell r="L1298"/>
          <cell r="M1298"/>
          <cell r="N1298"/>
          <cell r="O1298"/>
          <cell r="P1298"/>
          <cell r="Q1298"/>
          <cell r="R1298"/>
          <cell r="S1298"/>
        </row>
        <row r="1299">
          <cell r="G1299">
            <v>0</v>
          </cell>
          <cell r="H1299">
            <v>0</v>
          </cell>
          <cell r="I1299" t="e">
            <v>#REF!</v>
          </cell>
          <cell r="J1299"/>
          <cell r="K1299"/>
          <cell r="L1299"/>
          <cell r="M1299"/>
          <cell r="N1299"/>
          <cell r="O1299"/>
          <cell r="P1299"/>
          <cell r="Q1299"/>
          <cell r="R1299"/>
          <cell r="S1299"/>
        </row>
        <row r="1300">
          <cell r="G1300">
            <v>0</v>
          </cell>
          <cell r="H1300">
            <v>0</v>
          </cell>
          <cell r="I1300" t="e">
            <v>#REF!</v>
          </cell>
          <cell r="J1300"/>
          <cell r="K1300"/>
          <cell r="L1300"/>
          <cell r="M1300"/>
          <cell r="N1300"/>
          <cell r="O1300"/>
          <cell r="P1300"/>
          <cell r="Q1300"/>
          <cell r="R1300"/>
          <cell r="S1300"/>
        </row>
        <row r="1301">
          <cell r="G1301">
            <v>0</v>
          </cell>
          <cell r="H1301">
            <v>0</v>
          </cell>
          <cell r="I1301" t="e">
            <v>#REF!</v>
          </cell>
          <cell r="J1301"/>
          <cell r="K1301"/>
          <cell r="L1301"/>
          <cell r="M1301"/>
          <cell r="N1301"/>
          <cell r="O1301"/>
          <cell r="P1301"/>
          <cell r="Q1301"/>
          <cell r="R1301"/>
          <cell r="S1301"/>
        </row>
        <row r="1302">
          <cell r="G1302">
            <v>0</v>
          </cell>
          <cell r="H1302">
            <v>0</v>
          </cell>
          <cell r="I1302" t="e">
            <v>#REF!</v>
          </cell>
          <cell r="J1302"/>
          <cell r="K1302"/>
          <cell r="L1302"/>
          <cell r="M1302"/>
          <cell r="N1302"/>
          <cell r="O1302"/>
          <cell r="P1302"/>
          <cell r="Q1302"/>
          <cell r="R1302"/>
          <cell r="S1302"/>
        </row>
        <row r="1303">
          <cell r="G1303">
            <v>0</v>
          </cell>
          <cell r="H1303">
            <v>0</v>
          </cell>
          <cell r="I1303" t="e">
            <v>#REF!</v>
          </cell>
          <cell r="J1303"/>
          <cell r="K1303"/>
          <cell r="L1303"/>
          <cell r="M1303"/>
          <cell r="N1303"/>
          <cell r="O1303"/>
          <cell r="P1303"/>
          <cell r="Q1303"/>
          <cell r="R1303"/>
          <cell r="S1303"/>
        </row>
        <row r="1304">
          <cell r="G1304">
            <v>0</v>
          </cell>
          <cell r="H1304">
            <v>0</v>
          </cell>
          <cell r="I1304" t="e">
            <v>#REF!</v>
          </cell>
          <cell r="J1304"/>
          <cell r="K1304"/>
          <cell r="L1304"/>
          <cell r="M1304"/>
          <cell r="N1304"/>
          <cell r="O1304"/>
          <cell r="P1304"/>
          <cell r="Q1304"/>
          <cell r="R1304"/>
          <cell r="S1304"/>
        </row>
        <row r="1305">
          <cell r="G1305">
            <v>0</v>
          </cell>
          <cell r="H1305">
            <v>0</v>
          </cell>
          <cell r="I1305" t="e">
            <v>#REF!</v>
          </cell>
          <cell r="J1305"/>
          <cell r="K1305"/>
          <cell r="L1305"/>
          <cell r="M1305"/>
          <cell r="N1305"/>
          <cell r="O1305"/>
          <cell r="P1305"/>
          <cell r="Q1305"/>
          <cell r="R1305"/>
          <cell r="S1305"/>
        </row>
        <row r="1306">
          <cell r="G1306">
            <v>0</v>
          </cell>
          <cell r="H1306">
            <v>0</v>
          </cell>
          <cell r="I1306" t="e">
            <v>#REF!</v>
          </cell>
          <cell r="J1306"/>
          <cell r="K1306"/>
          <cell r="L1306"/>
          <cell r="M1306"/>
          <cell r="N1306"/>
          <cell r="O1306"/>
          <cell r="P1306"/>
          <cell r="Q1306"/>
          <cell r="R1306"/>
          <cell r="S1306"/>
        </row>
        <row r="1307">
          <cell r="G1307">
            <v>0</v>
          </cell>
          <cell r="H1307">
            <v>0</v>
          </cell>
          <cell r="I1307" t="e">
            <v>#REF!</v>
          </cell>
          <cell r="J1307"/>
          <cell r="K1307"/>
          <cell r="L1307"/>
          <cell r="M1307"/>
          <cell r="N1307"/>
          <cell r="O1307"/>
          <cell r="P1307"/>
          <cell r="Q1307"/>
          <cell r="R1307"/>
          <cell r="S1307"/>
        </row>
        <row r="1308">
          <cell r="G1308">
            <v>0</v>
          </cell>
          <cell r="H1308">
            <v>0</v>
          </cell>
          <cell r="I1308" t="e">
            <v>#REF!</v>
          </cell>
          <cell r="J1308"/>
          <cell r="K1308"/>
          <cell r="L1308"/>
          <cell r="M1308"/>
          <cell r="N1308"/>
          <cell r="O1308"/>
          <cell r="P1308"/>
          <cell r="Q1308"/>
          <cell r="R1308"/>
          <cell r="S1308"/>
        </row>
        <row r="1309">
          <cell r="G1309">
            <v>0</v>
          </cell>
          <cell r="H1309">
            <v>0</v>
          </cell>
          <cell r="I1309" t="e">
            <v>#REF!</v>
          </cell>
          <cell r="J1309"/>
          <cell r="K1309"/>
          <cell r="L1309"/>
          <cell r="M1309"/>
          <cell r="N1309"/>
          <cell r="O1309"/>
          <cell r="P1309"/>
          <cell r="Q1309"/>
          <cell r="R1309"/>
          <cell r="S1309"/>
        </row>
        <row r="1310">
          <cell r="G1310">
            <v>0</v>
          </cell>
          <cell r="H1310">
            <v>0</v>
          </cell>
          <cell r="I1310" t="e">
            <v>#REF!</v>
          </cell>
          <cell r="J1310"/>
          <cell r="K1310"/>
          <cell r="L1310"/>
          <cell r="M1310"/>
          <cell r="N1310"/>
          <cell r="O1310"/>
          <cell r="P1310"/>
          <cell r="Q1310"/>
          <cell r="R1310"/>
          <cell r="S1310"/>
        </row>
        <row r="1311">
          <cell r="G1311">
            <v>0</v>
          </cell>
          <cell r="H1311">
            <v>0</v>
          </cell>
          <cell r="I1311" t="e">
            <v>#REF!</v>
          </cell>
          <cell r="J1311"/>
          <cell r="K1311"/>
          <cell r="L1311"/>
          <cell r="M1311"/>
          <cell r="N1311"/>
          <cell r="O1311"/>
          <cell r="P1311"/>
          <cell r="Q1311"/>
          <cell r="R1311"/>
          <cell r="S1311"/>
        </row>
        <row r="1312">
          <cell r="G1312">
            <v>0</v>
          </cell>
          <cell r="H1312">
            <v>0</v>
          </cell>
          <cell r="I1312" t="e">
            <v>#REF!</v>
          </cell>
          <cell r="J1312"/>
          <cell r="K1312"/>
          <cell r="L1312"/>
          <cell r="M1312"/>
          <cell r="N1312"/>
          <cell r="O1312"/>
          <cell r="P1312"/>
          <cell r="Q1312"/>
          <cell r="R1312"/>
          <cell r="S1312"/>
        </row>
        <row r="1313">
          <cell r="G1313">
            <v>0</v>
          </cell>
          <cell r="H1313">
            <v>0</v>
          </cell>
          <cell r="I1313" t="e">
            <v>#REF!</v>
          </cell>
          <cell r="J1313"/>
          <cell r="K1313"/>
          <cell r="L1313"/>
          <cell r="M1313"/>
          <cell r="N1313"/>
          <cell r="O1313"/>
          <cell r="P1313"/>
          <cell r="Q1313"/>
          <cell r="R1313"/>
          <cell r="S1313"/>
        </row>
        <row r="1314">
          <cell r="G1314">
            <v>0</v>
          </cell>
          <cell r="H1314">
            <v>0</v>
          </cell>
          <cell r="I1314" t="e">
            <v>#REF!</v>
          </cell>
          <cell r="J1314"/>
          <cell r="K1314"/>
          <cell r="L1314"/>
          <cell r="M1314"/>
          <cell r="N1314"/>
          <cell r="O1314"/>
          <cell r="P1314"/>
          <cell r="Q1314"/>
          <cell r="R1314"/>
          <cell r="S1314"/>
        </row>
        <row r="1315">
          <cell r="G1315">
            <v>0</v>
          </cell>
          <cell r="H1315">
            <v>0</v>
          </cell>
          <cell r="I1315" t="e">
            <v>#REF!</v>
          </cell>
          <cell r="J1315"/>
          <cell r="K1315"/>
          <cell r="L1315"/>
          <cell r="M1315"/>
          <cell r="N1315"/>
          <cell r="O1315"/>
          <cell r="P1315"/>
          <cell r="Q1315"/>
          <cell r="R1315"/>
          <cell r="S1315"/>
        </row>
        <row r="1316">
          <cell r="G1316">
            <v>0</v>
          </cell>
          <cell r="H1316">
            <v>0</v>
          </cell>
          <cell r="I1316" t="e">
            <v>#REF!</v>
          </cell>
          <cell r="J1316"/>
          <cell r="K1316"/>
          <cell r="L1316"/>
          <cell r="M1316"/>
          <cell r="N1316"/>
          <cell r="O1316"/>
          <cell r="P1316"/>
          <cell r="Q1316"/>
          <cell r="R1316"/>
          <cell r="S1316"/>
        </row>
        <row r="1317">
          <cell r="G1317">
            <v>0</v>
          </cell>
          <cell r="H1317">
            <v>0</v>
          </cell>
          <cell r="I1317" t="e">
            <v>#REF!</v>
          </cell>
          <cell r="J1317"/>
          <cell r="K1317"/>
          <cell r="L1317"/>
          <cell r="M1317"/>
          <cell r="N1317"/>
          <cell r="O1317"/>
          <cell r="P1317"/>
          <cell r="Q1317"/>
          <cell r="R1317"/>
          <cell r="S1317"/>
        </row>
        <row r="1318">
          <cell r="G1318">
            <v>0</v>
          </cell>
          <cell r="H1318">
            <v>0</v>
          </cell>
          <cell r="I1318" t="e">
            <v>#REF!</v>
          </cell>
          <cell r="J1318"/>
          <cell r="K1318"/>
          <cell r="L1318"/>
          <cell r="M1318"/>
          <cell r="N1318"/>
          <cell r="O1318"/>
          <cell r="P1318"/>
          <cell r="Q1318"/>
          <cell r="R1318"/>
          <cell r="S1318"/>
        </row>
        <row r="1319">
          <cell r="G1319">
            <v>0</v>
          </cell>
          <cell r="H1319">
            <v>0</v>
          </cell>
          <cell r="I1319" t="e">
            <v>#REF!</v>
          </cell>
          <cell r="J1319"/>
          <cell r="K1319"/>
          <cell r="L1319"/>
          <cell r="M1319"/>
          <cell r="N1319"/>
          <cell r="O1319"/>
          <cell r="P1319"/>
          <cell r="Q1319"/>
          <cell r="R1319"/>
          <cell r="S1319"/>
        </row>
        <row r="1320">
          <cell r="G1320">
            <v>0</v>
          </cell>
          <cell r="H1320">
            <v>0</v>
          </cell>
          <cell r="I1320" t="e">
            <v>#REF!</v>
          </cell>
          <cell r="J1320"/>
          <cell r="K1320"/>
          <cell r="L1320"/>
          <cell r="M1320"/>
          <cell r="N1320"/>
          <cell r="O1320"/>
          <cell r="P1320"/>
          <cell r="Q1320"/>
          <cell r="R1320"/>
          <cell r="S1320"/>
        </row>
        <row r="1321">
          <cell r="G1321">
            <v>0</v>
          </cell>
          <cell r="H1321">
            <v>0</v>
          </cell>
          <cell r="I1321" t="e">
            <v>#REF!</v>
          </cell>
          <cell r="J1321"/>
          <cell r="K1321"/>
          <cell r="L1321"/>
          <cell r="M1321"/>
          <cell r="N1321"/>
          <cell r="O1321"/>
          <cell r="P1321"/>
          <cell r="Q1321"/>
          <cell r="R1321"/>
          <cell r="S1321"/>
        </row>
        <row r="1322">
          <cell r="G1322">
            <v>0</v>
          </cell>
          <cell r="H1322">
            <v>0</v>
          </cell>
          <cell r="I1322" t="e">
            <v>#REF!</v>
          </cell>
          <cell r="J1322"/>
          <cell r="K1322"/>
          <cell r="L1322"/>
          <cell r="M1322"/>
          <cell r="N1322"/>
          <cell r="O1322"/>
          <cell r="P1322"/>
          <cell r="Q1322"/>
          <cell r="R1322"/>
          <cell r="S1322"/>
        </row>
        <row r="1323">
          <cell r="G1323">
            <v>0</v>
          </cell>
          <cell r="H1323">
            <v>0</v>
          </cell>
          <cell r="I1323" t="e">
            <v>#REF!</v>
          </cell>
          <cell r="J1323"/>
          <cell r="K1323"/>
          <cell r="L1323"/>
          <cell r="M1323"/>
          <cell r="N1323"/>
          <cell r="O1323"/>
          <cell r="P1323"/>
          <cell r="Q1323"/>
          <cell r="R1323"/>
          <cell r="S1323"/>
        </row>
        <row r="1324">
          <cell r="G1324">
            <v>0</v>
          </cell>
          <cell r="H1324">
            <v>0</v>
          </cell>
          <cell r="I1324" t="e">
            <v>#REF!</v>
          </cell>
          <cell r="J1324"/>
          <cell r="K1324"/>
          <cell r="L1324"/>
          <cell r="M1324"/>
          <cell r="N1324"/>
          <cell r="O1324"/>
          <cell r="P1324"/>
          <cell r="Q1324"/>
          <cell r="R1324"/>
          <cell r="S1324"/>
        </row>
        <row r="1325">
          <cell r="G1325">
            <v>0</v>
          </cell>
          <cell r="H1325">
            <v>0</v>
          </cell>
          <cell r="I1325" t="e">
            <v>#REF!</v>
          </cell>
          <cell r="J1325"/>
          <cell r="K1325"/>
          <cell r="L1325"/>
          <cell r="M1325"/>
          <cell r="N1325"/>
          <cell r="O1325"/>
          <cell r="P1325"/>
          <cell r="Q1325"/>
          <cell r="R1325"/>
          <cell r="S1325"/>
        </row>
        <row r="1326">
          <cell r="G1326">
            <v>0</v>
          </cell>
          <cell r="H1326">
            <v>0</v>
          </cell>
          <cell r="I1326" t="e">
            <v>#REF!</v>
          </cell>
          <cell r="J1326"/>
          <cell r="K1326"/>
          <cell r="L1326"/>
          <cell r="M1326"/>
          <cell r="N1326"/>
          <cell r="O1326"/>
          <cell r="P1326"/>
          <cell r="Q1326"/>
          <cell r="R1326"/>
          <cell r="S1326"/>
        </row>
        <row r="1327">
          <cell r="G1327">
            <v>0</v>
          </cell>
          <cell r="H1327">
            <v>0</v>
          </cell>
          <cell r="I1327" t="e">
            <v>#REF!</v>
          </cell>
          <cell r="J1327"/>
          <cell r="K1327"/>
          <cell r="L1327"/>
          <cell r="M1327"/>
          <cell r="N1327"/>
          <cell r="O1327"/>
          <cell r="P1327"/>
          <cell r="Q1327"/>
          <cell r="R1327"/>
          <cell r="S1327"/>
        </row>
        <row r="1328">
          <cell r="G1328">
            <v>0</v>
          </cell>
          <cell r="H1328">
            <v>0</v>
          </cell>
          <cell r="I1328" t="e">
            <v>#REF!</v>
          </cell>
          <cell r="J1328"/>
          <cell r="K1328"/>
          <cell r="L1328"/>
          <cell r="M1328"/>
          <cell r="N1328"/>
          <cell r="O1328"/>
          <cell r="P1328"/>
          <cell r="Q1328"/>
          <cell r="R1328"/>
          <cell r="S1328"/>
        </row>
        <row r="1329">
          <cell r="G1329">
            <v>0</v>
          </cell>
          <cell r="H1329">
            <v>0</v>
          </cell>
          <cell r="I1329" t="e">
            <v>#REF!</v>
          </cell>
          <cell r="J1329"/>
          <cell r="K1329"/>
          <cell r="L1329"/>
          <cell r="M1329"/>
          <cell r="N1329"/>
          <cell r="O1329"/>
          <cell r="P1329"/>
          <cell r="Q1329"/>
          <cell r="R1329"/>
          <cell r="S1329"/>
        </row>
        <row r="1330">
          <cell r="G1330">
            <v>0</v>
          </cell>
          <cell r="H1330">
            <v>0</v>
          </cell>
          <cell r="I1330" t="e">
            <v>#REF!</v>
          </cell>
          <cell r="J1330"/>
          <cell r="K1330"/>
          <cell r="L1330"/>
          <cell r="M1330"/>
          <cell r="N1330"/>
          <cell r="O1330"/>
          <cell r="P1330"/>
          <cell r="Q1330"/>
          <cell r="R1330"/>
          <cell r="S1330"/>
        </row>
        <row r="1331">
          <cell r="G1331">
            <v>0</v>
          </cell>
          <cell r="H1331">
            <v>0</v>
          </cell>
          <cell r="I1331" t="e">
            <v>#REF!</v>
          </cell>
          <cell r="J1331"/>
          <cell r="K1331"/>
          <cell r="L1331"/>
          <cell r="M1331"/>
          <cell r="N1331"/>
          <cell r="O1331"/>
          <cell r="P1331"/>
          <cell r="Q1331"/>
          <cell r="R1331"/>
          <cell r="S1331"/>
        </row>
        <row r="1332">
          <cell r="G1332">
            <v>0</v>
          </cell>
          <cell r="H1332">
            <v>0</v>
          </cell>
          <cell r="I1332" t="e">
            <v>#REF!</v>
          </cell>
          <cell r="J1332"/>
          <cell r="K1332"/>
          <cell r="L1332"/>
          <cell r="M1332"/>
          <cell r="N1332"/>
          <cell r="O1332"/>
          <cell r="P1332"/>
          <cell r="Q1332"/>
          <cell r="R1332"/>
          <cell r="S1332"/>
        </row>
        <row r="1333">
          <cell r="G1333">
            <v>0</v>
          </cell>
          <cell r="H1333">
            <v>0</v>
          </cell>
          <cell r="I1333" t="e">
            <v>#REF!</v>
          </cell>
          <cell r="J1333"/>
          <cell r="K1333"/>
          <cell r="L1333"/>
          <cell r="M1333"/>
          <cell r="N1333"/>
          <cell r="O1333"/>
          <cell r="P1333"/>
          <cell r="Q1333"/>
          <cell r="R1333"/>
          <cell r="S1333"/>
        </row>
        <row r="1334">
          <cell r="G1334">
            <v>0</v>
          </cell>
          <cell r="H1334">
            <v>0</v>
          </cell>
          <cell r="I1334" t="e">
            <v>#REF!</v>
          </cell>
          <cell r="J1334"/>
          <cell r="K1334"/>
          <cell r="L1334"/>
          <cell r="M1334"/>
          <cell r="N1334"/>
          <cell r="O1334"/>
          <cell r="P1334"/>
          <cell r="Q1334"/>
          <cell r="R1334"/>
          <cell r="S1334"/>
        </row>
        <row r="1335">
          <cell r="G1335">
            <v>0</v>
          </cell>
          <cell r="H1335">
            <v>0</v>
          </cell>
          <cell r="I1335" t="e">
            <v>#REF!</v>
          </cell>
          <cell r="J1335"/>
          <cell r="K1335"/>
          <cell r="L1335"/>
          <cell r="M1335"/>
          <cell r="N1335"/>
          <cell r="O1335"/>
          <cell r="P1335"/>
          <cell r="Q1335"/>
          <cell r="R1335"/>
          <cell r="S1335"/>
        </row>
        <row r="1336">
          <cell r="G1336">
            <v>0</v>
          </cell>
          <cell r="H1336">
            <v>0</v>
          </cell>
          <cell r="I1336" t="e">
            <v>#REF!</v>
          </cell>
          <cell r="J1336"/>
          <cell r="K1336"/>
          <cell r="L1336"/>
          <cell r="M1336"/>
          <cell r="N1336"/>
          <cell r="O1336"/>
          <cell r="P1336"/>
          <cell r="Q1336"/>
          <cell r="R1336"/>
          <cell r="S1336"/>
        </row>
        <row r="1337">
          <cell r="G1337">
            <v>0</v>
          </cell>
          <cell r="H1337">
            <v>0</v>
          </cell>
          <cell r="I1337" t="e">
            <v>#REF!</v>
          </cell>
          <cell r="J1337"/>
          <cell r="K1337"/>
          <cell r="L1337"/>
          <cell r="M1337"/>
          <cell r="N1337"/>
          <cell r="O1337"/>
          <cell r="P1337"/>
          <cell r="Q1337"/>
          <cell r="R1337"/>
          <cell r="S1337"/>
        </row>
        <row r="1338">
          <cell r="G1338">
            <v>0</v>
          </cell>
          <cell r="H1338">
            <v>0</v>
          </cell>
          <cell r="I1338" t="e">
            <v>#REF!</v>
          </cell>
          <cell r="J1338"/>
          <cell r="K1338"/>
          <cell r="L1338"/>
          <cell r="M1338"/>
          <cell r="N1338"/>
          <cell r="O1338"/>
          <cell r="P1338"/>
          <cell r="Q1338"/>
          <cell r="R1338"/>
          <cell r="S1338"/>
        </row>
        <row r="1339">
          <cell r="G1339">
            <v>0</v>
          </cell>
          <cell r="H1339">
            <v>0</v>
          </cell>
          <cell r="I1339" t="e">
            <v>#REF!</v>
          </cell>
          <cell r="J1339"/>
          <cell r="K1339"/>
          <cell r="L1339"/>
          <cell r="M1339"/>
          <cell r="N1339"/>
          <cell r="O1339"/>
          <cell r="P1339"/>
          <cell r="Q1339"/>
          <cell r="R1339"/>
          <cell r="S1339"/>
        </row>
        <row r="1340">
          <cell r="G1340">
            <v>0</v>
          </cell>
          <cell r="H1340">
            <v>0</v>
          </cell>
          <cell r="I1340" t="e">
            <v>#REF!</v>
          </cell>
          <cell r="J1340"/>
          <cell r="K1340"/>
          <cell r="L1340"/>
          <cell r="M1340"/>
          <cell r="N1340"/>
          <cell r="O1340"/>
          <cell r="P1340"/>
          <cell r="Q1340"/>
          <cell r="R1340"/>
          <cell r="S1340"/>
        </row>
        <row r="1341">
          <cell r="G1341">
            <v>0</v>
          </cell>
          <cell r="H1341">
            <v>0</v>
          </cell>
          <cell r="I1341" t="e">
            <v>#REF!</v>
          </cell>
          <cell r="J1341"/>
          <cell r="K1341"/>
          <cell r="L1341"/>
          <cell r="M1341"/>
          <cell r="N1341"/>
          <cell r="O1341"/>
          <cell r="P1341"/>
          <cell r="Q1341"/>
          <cell r="R1341"/>
          <cell r="S1341"/>
        </row>
        <row r="1342">
          <cell r="G1342">
            <v>0</v>
          </cell>
          <cell r="H1342">
            <v>0</v>
          </cell>
          <cell r="I1342" t="e">
            <v>#REF!</v>
          </cell>
          <cell r="J1342"/>
          <cell r="K1342"/>
          <cell r="L1342"/>
          <cell r="M1342"/>
          <cell r="N1342"/>
          <cell r="O1342"/>
          <cell r="P1342"/>
          <cell r="Q1342"/>
          <cell r="R1342"/>
          <cell r="S1342"/>
        </row>
        <row r="1343">
          <cell r="G1343">
            <v>0</v>
          </cell>
          <cell r="H1343">
            <v>0</v>
          </cell>
          <cell r="I1343" t="e">
            <v>#REF!</v>
          </cell>
          <cell r="J1343"/>
          <cell r="K1343"/>
          <cell r="L1343"/>
          <cell r="M1343"/>
          <cell r="N1343"/>
          <cell r="O1343"/>
          <cell r="P1343"/>
          <cell r="Q1343"/>
          <cell r="R1343"/>
          <cell r="S1343"/>
        </row>
        <row r="1344">
          <cell r="G1344">
            <v>0</v>
          </cell>
          <cell r="H1344">
            <v>0</v>
          </cell>
          <cell r="I1344" t="e">
            <v>#REF!</v>
          </cell>
          <cell r="J1344"/>
          <cell r="K1344"/>
          <cell r="L1344"/>
          <cell r="M1344"/>
          <cell r="N1344"/>
          <cell r="O1344"/>
          <cell r="P1344"/>
          <cell r="Q1344"/>
          <cell r="R1344"/>
          <cell r="S1344"/>
        </row>
        <row r="1345">
          <cell r="G1345">
            <v>0</v>
          </cell>
          <cell r="H1345">
            <v>0</v>
          </cell>
          <cell r="I1345" t="e">
            <v>#REF!</v>
          </cell>
          <cell r="J1345"/>
          <cell r="K1345"/>
          <cell r="L1345"/>
          <cell r="M1345"/>
          <cell r="N1345"/>
          <cell r="O1345"/>
          <cell r="P1345"/>
          <cell r="Q1345"/>
          <cell r="R1345"/>
          <cell r="S1345"/>
        </row>
        <row r="1346">
          <cell r="G1346">
            <v>0</v>
          </cell>
          <cell r="H1346">
            <v>0</v>
          </cell>
          <cell r="I1346" t="e">
            <v>#REF!</v>
          </cell>
          <cell r="J1346"/>
          <cell r="K1346"/>
          <cell r="L1346"/>
          <cell r="M1346"/>
          <cell r="N1346"/>
          <cell r="O1346"/>
          <cell r="P1346"/>
          <cell r="Q1346"/>
          <cell r="R1346"/>
          <cell r="S1346"/>
        </row>
        <row r="1347">
          <cell r="G1347">
            <v>0</v>
          </cell>
          <cell r="H1347">
            <v>0</v>
          </cell>
          <cell r="I1347" t="e">
            <v>#REF!</v>
          </cell>
          <cell r="J1347"/>
          <cell r="K1347"/>
          <cell r="L1347"/>
          <cell r="M1347"/>
          <cell r="N1347"/>
          <cell r="O1347"/>
          <cell r="P1347"/>
          <cell r="Q1347"/>
          <cell r="R1347"/>
          <cell r="S1347"/>
        </row>
        <row r="1348">
          <cell r="G1348">
            <v>0</v>
          </cell>
          <cell r="H1348">
            <v>0</v>
          </cell>
          <cell r="I1348" t="e">
            <v>#REF!</v>
          </cell>
          <cell r="J1348"/>
          <cell r="K1348"/>
          <cell r="L1348"/>
          <cell r="M1348"/>
          <cell r="N1348"/>
          <cell r="O1348"/>
          <cell r="P1348"/>
          <cell r="Q1348"/>
          <cell r="R1348"/>
          <cell r="S1348"/>
        </row>
        <row r="1349">
          <cell r="G1349">
            <v>0</v>
          </cell>
          <cell r="H1349">
            <v>0</v>
          </cell>
          <cell r="I1349" t="e">
            <v>#REF!</v>
          </cell>
          <cell r="J1349"/>
          <cell r="K1349"/>
          <cell r="L1349"/>
          <cell r="M1349"/>
          <cell r="N1349"/>
          <cell r="O1349"/>
          <cell r="P1349"/>
          <cell r="Q1349"/>
          <cell r="R1349"/>
          <cell r="S1349"/>
        </row>
        <row r="1350">
          <cell r="G1350">
            <v>0</v>
          </cell>
          <cell r="H1350">
            <v>0</v>
          </cell>
          <cell r="I1350" t="e">
            <v>#REF!</v>
          </cell>
          <cell r="J1350"/>
          <cell r="K1350"/>
          <cell r="L1350"/>
          <cell r="M1350"/>
          <cell r="N1350"/>
          <cell r="O1350"/>
          <cell r="P1350"/>
          <cell r="Q1350"/>
          <cell r="R1350"/>
          <cell r="S1350"/>
        </row>
        <row r="1351">
          <cell r="G1351">
            <v>0</v>
          </cell>
          <cell r="H1351">
            <v>0</v>
          </cell>
          <cell r="I1351" t="e">
            <v>#REF!</v>
          </cell>
          <cell r="J1351"/>
          <cell r="K1351"/>
          <cell r="L1351"/>
          <cell r="M1351"/>
          <cell r="N1351"/>
          <cell r="O1351"/>
          <cell r="P1351"/>
          <cell r="Q1351"/>
          <cell r="R1351"/>
          <cell r="S1351"/>
        </row>
        <row r="1352">
          <cell r="G1352">
            <v>0</v>
          </cell>
          <cell r="H1352">
            <v>0</v>
          </cell>
          <cell r="I1352" t="e">
            <v>#REF!</v>
          </cell>
          <cell r="J1352"/>
          <cell r="K1352"/>
          <cell r="L1352"/>
          <cell r="M1352"/>
          <cell r="N1352"/>
          <cell r="O1352"/>
          <cell r="P1352"/>
          <cell r="Q1352"/>
          <cell r="R1352"/>
          <cell r="S1352"/>
        </row>
        <row r="1353">
          <cell r="G1353">
            <v>0</v>
          </cell>
          <cell r="H1353">
            <v>0</v>
          </cell>
          <cell r="I1353" t="e">
            <v>#REF!</v>
          </cell>
          <cell r="J1353"/>
          <cell r="K1353"/>
          <cell r="L1353"/>
          <cell r="M1353"/>
          <cell r="N1353"/>
          <cell r="O1353"/>
          <cell r="P1353"/>
          <cell r="Q1353"/>
          <cell r="R1353"/>
          <cell r="S1353"/>
        </row>
        <row r="1354">
          <cell r="G1354">
            <v>0</v>
          </cell>
          <cell r="H1354">
            <v>0</v>
          </cell>
          <cell r="I1354" t="e">
            <v>#REF!</v>
          </cell>
          <cell r="J1354"/>
          <cell r="K1354"/>
          <cell r="L1354"/>
          <cell r="M1354"/>
          <cell r="N1354"/>
          <cell r="O1354"/>
          <cell r="P1354"/>
          <cell r="Q1354"/>
          <cell r="R1354"/>
          <cell r="S1354"/>
        </row>
        <row r="1355">
          <cell r="G1355">
            <v>0</v>
          </cell>
          <cell r="H1355">
            <v>0</v>
          </cell>
          <cell r="I1355" t="e">
            <v>#REF!</v>
          </cell>
          <cell r="J1355"/>
          <cell r="K1355"/>
          <cell r="L1355"/>
          <cell r="M1355"/>
          <cell r="N1355"/>
          <cell r="O1355"/>
          <cell r="P1355"/>
          <cell r="Q1355"/>
          <cell r="R1355"/>
          <cell r="S1355"/>
        </row>
        <row r="1356">
          <cell r="G1356">
            <v>0</v>
          </cell>
          <cell r="H1356">
            <v>0</v>
          </cell>
          <cell r="I1356" t="e">
            <v>#REF!</v>
          </cell>
          <cell r="J1356"/>
          <cell r="K1356"/>
          <cell r="L1356"/>
          <cell r="M1356"/>
          <cell r="N1356"/>
          <cell r="O1356"/>
          <cell r="P1356"/>
          <cell r="Q1356"/>
          <cell r="R1356"/>
          <cell r="S1356"/>
        </row>
        <row r="1357">
          <cell r="G1357">
            <v>0</v>
          </cell>
          <cell r="H1357">
            <v>0</v>
          </cell>
          <cell r="I1357" t="e">
            <v>#REF!</v>
          </cell>
          <cell r="J1357"/>
          <cell r="K1357"/>
          <cell r="L1357"/>
          <cell r="M1357"/>
          <cell r="N1357"/>
          <cell r="O1357"/>
          <cell r="P1357"/>
          <cell r="Q1357"/>
          <cell r="R1357"/>
          <cell r="S1357"/>
        </row>
        <row r="1358">
          <cell r="G1358">
            <v>0</v>
          </cell>
          <cell r="H1358">
            <v>0</v>
          </cell>
          <cell r="I1358" t="e">
            <v>#REF!</v>
          </cell>
          <cell r="J1358"/>
          <cell r="K1358"/>
          <cell r="L1358"/>
          <cell r="M1358"/>
          <cell r="N1358"/>
          <cell r="O1358"/>
          <cell r="P1358"/>
          <cell r="Q1358"/>
          <cell r="R1358"/>
          <cell r="S1358"/>
        </row>
        <row r="1359">
          <cell r="G1359">
            <v>0</v>
          </cell>
          <cell r="H1359">
            <v>0</v>
          </cell>
          <cell r="I1359" t="e">
            <v>#REF!</v>
          </cell>
          <cell r="J1359"/>
          <cell r="K1359"/>
          <cell r="L1359"/>
          <cell r="M1359"/>
          <cell r="N1359"/>
          <cell r="O1359"/>
          <cell r="P1359"/>
          <cell r="Q1359"/>
          <cell r="R1359"/>
          <cell r="S1359"/>
        </row>
        <row r="1360">
          <cell r="G1360">
            <v>0</v>
          </cell>
          <cell r="H1360">
            <v>0</v>
          </cell>
          <cell r="I1360" t="e">
            <v>#REF!</v>
          </cell>
          <cell r="J1360"/>
          <cell r="K1360"/>
          <cell r="L1360"/>
          <cell r="M1360"/>
          <cell r="N1360"/>
          <cell r="O1360"/>
          <cell r="P1360"/>
          <cell r="Q1360"/>
          <cell r="R1360"/>
          <cell r="S1360"/>
        </row>
        <row r="1361">
          <cell r="G1361">
            <v>0</v>
          </cell>
          <cell r="H1361">
            <v>0</v>
          </cell>
          <cell r="I1361" t="e">
            <v>#REF!</v>
          </cell>
          <cell r="J1361"/>
          <cell r="K1361"/>
          <cell r="L1361"/>
          <cell r="M1361"/>
          <cell r="N1361"/>
          <cell r="O1361"/>
          <cell r="P1361"/>
          <cell r="Q1361"/>
          <cell r="R1361"/>
          <cell r="S1361"/>
        </row>
        <row r="1362">
          <cell r="G1362">
            <v>0</v>
          </cell>
          <cell r="H1362">
            <v>0</v>
          </cell>
          <cell r="I1362" t="e">
            <v>#REF!</v>
          </cell>
          <cell r="J1362"/>
          <cell r="K1362"/>
          <cell r="L1362"/>
          <cell r="M1362"/>
          <cell r="N1362"/>
          <cell r="O1362"/>
          <cell r="P1362"/>
          <cell r="Q1362"/>
          <cell r="R1362"/>
          <cell r="S1362"/>
        </row>
        <row r="1363">
          <cell r="G1363">
            <v>0</v>
          </cell>
          <cell r="H1363">
            <v>0</v>
          </cell>
          <cell r="I1363" t="e">
            <v>#REF!</v>
          </cell>
          <cell r="J1363"/>
          <cell r="K1363"/>
          <cell r="L1363"/>
          <cell r="M1363"/>
          <cell r="N1363"/>
          <cell r="O1363"/>
          <cell r="P1363"/>
          <cell r="Q1363"/>
          <cell r="R1363"/>
          <cell r="S1363"/>
        </row>
        <row r="1364">
          <cell r="G1364">
            <v>0</v>
          </cell>
          <cell r="H1364">
            <v>0</v>
          </cell>
          <cell r="I1364" t="e">
            <v>#REF!</v>
          </cell>
          <cell r="J1364"/>
          <cell r="K1364"/>
          <cell r="L1364"/>
          <cell r="M1364"/>
          <cell r="N1364"/>
          <cell r="O1364"/>
          <cell r="P1364"/>
          <cell r="Q1364"/>
          <cell r="R1364"/>
          <cell r="S1364"/>
        </row>
        <row r="1365">
          <cell r="G1365">
            <v>0</v>
          </cell>
          <cell r="H1365">
            <v>0</v>
          </cell>
          <cell r="I1365" t="e">
            <v>#REF!</v>
          </cell>
          <cell r="J1365"/>
          <cell r="K1365"/>
          <cell r="L1365"/>
          <cell r="M1365"/>
          <cell r="N1365"/>
          <cell r="O1365"/>
          <cell r="P1365"/>
          <cell r="Q1365"/>
          <cell r="R1365"/>
          <cell r="S1365"/>
        </row>
        <row r="1366">
          <cell r="G1366">
            <v>0</v>
          </cell>
          <cell r="H1366">
            <v>0</v>
          </cell>
          <cell r="I1366" t="e">
            <v>#REF!</v>
          </cell>
          <cell r="J1366"/>
          <cell r="K1366"/>
          <cell r="L1366"/>
          <cell r="M1366"/>
          <cell r="N1366"/>
          <cell r="O1366"/>
          <cell r="P1366"/>
          <cell r="Q1366"/>
          <cell r="R1366"/>
          <cell r="S1366"/>
        </row>
        <row r="1367">
          <cell r="G1367">
            <v>0</v>
          </cell>
          <cell r="H1367">
            <v>0</v>
          </cell>
          <cell r="I1367" t="e">
            <v>#REF!</v>
          </cell>
          <cell r="J1367"/>
          <cell r="K1367"/>
          <cell r="L1367"/>
          <cell r="M1367"/>
          <cell r="N1367"/>
          <cell r="O1367"/>
          <cell r="P1367"/>
          <cell r="Q1367"/>
          <cell r="R1367"/>
          <cell r="S1367"/>
        </row>
        <row r="1368">
          <cell r="G1368">
            <v>0</v>
          </cell>
          <cell r="H1368">
            <v>0</v>
          </cell>
          <cell r="I1368" t="e">
            <v>#REF!</v>
          </cell>
          <cell r="J1368"/>
          <cell r="K1368"/>
          <cell r="L1368"/>
          <cell r="M1368"/>
          <cell r="N1368"/>
          <cell r="O1368"/>
          <cell r="P1368"/>
          <cell r="Q1368"/>
          <cell r="R1368"/>
          <cell r="S1368"/>
        </row>
        <row r="1369">
          <cell r="G1369">
            <v>0</v>
          </cell>
          <cell r="H1369">
            <v>0</v>
          </cell>
          <cell r="I1369" t="e">
            <v>#REF!</v>
          </cell>
          <cell r="J1369"/>
          <cell r="K1369"/>
          <cell r="L1369"/>
          <cell r="M1369"/>
          <cell r="N1369"/>
          <cell r="O1369"/>
          <cell r="P1369"/>
          <cell r="Q1369"/>
          <cell r="R1369"/>
          <cell r="S1369"/>
        </row>
        <row r="1370">
          <cell r="G1370">
            <v>0</v>
          </cell>
          <cell r="H1370">
            <v>0</v>
          </cell>
          <cell r="I1370" t="e">
            <v>#REF!</v>
          </cell>
          <cell r="J1370"/>
          <cell r="K1370"/>
          <cell r="L1370"/>
          <cell r="M1370"/>
          <cell r="N1370"/>
          <cell r="O1370"/>
          <cell r="P1370"/>
          <cell r="Q1370"/>
          <cell r="R1370"/>
          <cell r="S1370"/>
        </row>
        <row r="1371">
          <cell r="G1371">
            <v>0</v>
          </cell>
          <cell r="H1371">
            <v>0</v>
          </cell>
          <cell r="I1371" t="e">
            <v>#REF!</v>
          </cell>
          <cell r="J1371"/>
          <cell r="K1371"/>
          <cell r="L1371"/>
          <cell r="M1371"/>
          <cell r="N1371"/>
          <cell r="O1371"/>
          <cell r="P1371"/>
          <cell r="Q1371"/>
          <cell r="R1371"/>
          <cell r="S1371"/>
        </row>
        <row r="1372">
          <cell r="G1372">
            <v>0</v>
          </cell>
          <cell r="H1372">
            <v>0</v>
          </cell>
          <cell r="I1372" t="e">
            <v>#REF!</v>
          </cell>
          <cell r="J1372"/>
          <cell r="K1372"/>
          <cell r="L1372"/>
          <cell r="M1372"/>
          <cell r="N1372"/>
          <cell r="O1372"/>
          <cell r="P1372"/>
          <cell r="Q1372"/>
          <cell r="R1372"/>
          <cell r="S1372"/>
        </row>
        <row r="1373">
          <cell r="G1373">
            <v>0</v>
          </cell>
          <cell r="H1373">
            <v>0</v>
          </cell>
          <cell r="I1373" t="e">
            <v>#REF!</v>
          </cell>
          <cell r="J1373"/>
          <cell r="K1373"/>
          <cell r="L1373"/>
          <cell r="M1373"/>
          <cell r="N1373"/>
          <cell r="O1373"/>
          <cell r="P1373"/>
          <cell r="Q1373"/>
          <cell r="R1373"/>
          <cell r="S1373"/>
        </row>
        <row r="1374">
          <cell r="G1374">
            <v>0</v>
          </cell>
          <cell r="H1374">
            <v>0</v>
          </cell>
          <cell r="I1374" t="e">
            <v>#REF!</v>
          </cell>
          <cell r="J1374"/>
          <cell r="K1374"/>
          <cell r="L1374"/>
          <cell r="M1374"/>
          <cell r="N1374"/>
          <cell r="O1374"/>
          <cell r="P1374"/>
          <cell r="Q1374"/>
          <cell r="R1374"/>
          <cell r="S1374"/>
        </row>
        <row r="1375">
          <cell r="G1375">
            <v>0</v>
          </cell>
          <cell r="H1375">
            <v>0</v>
          </cell>
          <cell r="I1375" t="e">
            <v>#REF!</v>
          </cell>
          <cell r="J1375"/>
          <cell r="K1375"/>
          <cell r="L1375"/>
          <cell r="M1375"/>
          <cell r="N1375"/>
          <cell r="O1375"/>
          <cell r="P1375"/>
          <cell r="Q1375"/>
          <cell r="R1375"/>
          <cell r="S1375"/>
        </row>
        <row r="1376">
          <cell r="G1376">
            <v>0</v>
          </cell>
          <cell r="H1376">
            <v>0</v>
          </cell>
          <cell r="I1376" t="e">
            <v>#REF!</v>
          </cell>
          <cell r="J1376"/>
          <cell r="K1376"/>
          <cell r="L1376"/>
          <cell r="M1376"/>
          <cell r="N1376"/>
          <cell r="O1376"/>
          <cell r="P1376"/>
          <cell r="Q1376"/>
          <cell r="R1376"/>
          <cell r="S1376"/>
        </row>
        <row r="1377">
          <cell r="G1377">
            <v>0</v>
          </cell>
          <cell r="H1377">
            <v>0</v>
          </cell>
          <cell r="I1377" t="e">
            <v>#REF!</v>
          </cell>
          <cell r="J1377"/>
          <cell r="K1377"/>
          <cell r="L1377"/>
          <cell r="M1377"/>
          <cell r="N1377"/>
          <cell r="O1377"/>
          <cell r="P1377"/>
          <cell r="Q1377"/>
          <cell r="R1377"/>
          <cell r="S1377"/>
        </row>
        <row r="1378">
          <cell r="G1378">
            <v>0</v>
          </cell>
          <cell r="H1378">
            <v>0</v>
          </cell>
          <cell r="I1378" t="e">
            <v>#REF!</v>
          </cell>
          <cell r="J1378"/>
          <cell r="K1378"/>
          <cell r="L1378"/>
          <cell r="M1378"/>
          <cell r="N1378"/>
          <cell r="O1378"/>
          <cell r="P1378"/>
          <cell r="Q1378"/>
          <cell r="R1378"/>
          <cell r="S1378"/>
        </row>
        <row r="1379">
          <cell r="G1379">
            <v>0</v>
          </cell>
          <cell r="H1379">
            <v>0</v>
          </cell>
          <cell r="I1379" t="e">
            <v>#REF!</v>
          </cell>
          <cell r="J1379"/>
          <cell r="K1379"/>
          <cell r="L1379"/>
          <cell r="M1379"/>
          <cell r="N1379"/>
          <cell r="O1379"/>
          <cell r="P1379"/>
          <cell r="Q1379"/>
          <cell r="R1379"/>
          <cell r="S1379"/>
        </row>
        <row r="1380">
          <cell r="G1380">
            <v>0</v>
          </cell>
          <cell r="H1380">
            <v>0</v>
          </cell>
          <cell r="I1380" t="e">
            <v>#REF!</v>
          </cell>
          <cell r="J1380"/>
          <cell r="K1380"/>
          <cell r="L1380"/>
          <cell r="M1380"/>
          <cell r="N1380"/>
          <cell r="O1380"/>
          <cell r="P1380"/>
          <cell r="Q1380"/>
          <cell r="R1380"/>
          <cell r="S1380"/>
        </row>
        <row r="1381">
          <cell r="G1381">
            <v>0</v>
          </cell>
          <cell r="H1381">
            <v>0</v>
          </cell>
          <cell r="I1381" t="e">
            <v>#REF!</v>
          </cell>
          <cell r="J1381"/>
          <cell r="K1381"/>
          <cell r="L1381"/>
          <cell r="M1381"/>
          <cell r="N1381"/>
          <cell r="O1381"/>
          <cell r="P1381"/>
          <cell r="Q1381"/>
          <cell r="R1381"/>
          <cell r="S1381"/>
        </row>
        <row r="1382">
          <cell r="G1382">
            <v>0</v>
          </cell>
          <cell r="H1382">
            <v>0</v>
          </cell>
          <cell r="I1382" t="e">
            <v>#REF!</v>
          </cell>
          <cell r="J1382"/>
          <cell r="K1382"/>
          <cell r="L1382"/>
          <cell r="M1382"/>
          <cell r="N1382"/>
          <cell r="O1382"/>
          <cell r="P1382"/>
          <cell r="Q1382"/>
          <cell r="R1382"/>
          <cell r="S1382"/>
        </row>
        <row r="1383">
          <cell r="G1383">
            <v>0</v>
          </cell>
          <cell r="H1383">
            <v>0</v>
          </cell>
          <cell r="I1383" t="e">
            <v>#REF!</v>
          </cell>
          <cell r="J1383"/>
          <cell r="K1383"/>
          <cell r="L1383"/>
          <cell r="M1383"/>
          <cell r="N1383"/>
          <cell r="O1383"/>
          <cell r="P1383"/>
          <cell r="Q1383"/>
          <cell r="R1383"/>
          <cell r="S1383"/>
        </row>
        <row r="1384">
          <cell r="G1384">
            <v>0</v>
          </cell>
          <cell r="H1384">
            <v>0</v>
          </cell>
          <cell r="I1384" t="e">
            <v>#REF!</v>
          </cell>
          <cell r="J1384"/>
          <cell r="K1384"/>
          <cell r="L1384"/>
          <cell r="M1384"/>
          <cell r="N1384"/>
          <cell r="O1384"/>
          <cell r="P1384"/>
          <cell r="Q1384"/>
          <cell r="R1384"/>
          <cell r="S1384"/>
        </row>
        <row r="1385">
          <cell r="G1385">
            <v>0</v>
          </cell>
          <cell r="H1385">
            <v>0</v>
          </cell>
          <cell r="I1385" t="e">
            <v>#REF!</v>
          </cell>
          <cell r="J1385"/>
          <cell r="K1385"/>
          <cell r="L1385"/>
          <cell r="M1385"/>
          <cell r="N1385"/>
          <cell r="O1385"/>
          <cell r="P1385"/>
          <cell r="Q1385"/>
          <cell r="R1385"/>
          <cell r="S1385"/>
        </row>
        <row r="1386">
          <cell r="G1386">
            <v>0</v>
          </cell>
          <cell r="H1386">
            <v>0</v>
          </cell>
          <cell r="I1386" t="e">
            <v>#REF!</v>
          </cell>
          <cell r="J1386"/>
          <cell r="K1386"/>
          <cell r="L1386"/>
          <cell r="M1386"/>
          <cell r="N1386"/>
          <cell r="O1386"/>
          <cell r="P1386"/>
          <cell r="Q1386"/>
          <cell r="R1386"/>
          <cell r="S1386"/>
        </row>
        <row r="1387">
          <cell r="G1387">
            <v>0</v>
          </cell>
          <cell r="H1387">
            <v>0</v>
          </cell>
          <cell r="I1387" t="e">
            <v>#REF!</v>
          </cell>
          <cell r="J1387"/>
          <cell r="K1387"/>
          <cell r="L1387"/>
          <cell r="M1387"/>
          <cell r="N1387"/>
          <cell r="O1387"/>
          <cell r="P1387"/>
          <cell r="Q1387"/>
          <cell r="R1387"/>
          <cell r="S1387"/>
        </row>
        <row r="1388">
          <cell r="G1388">
            <v>0</v>
          </cell>
          <cell r="H1388">
            <v>0</v>
          </cell>
          <cell r="I1388" t="e">
            <v>#REF!</v>
          </cell>
          <cell r="J1388"/>
          <cell r="K1388"/>
          <cell r="L1388"/>
          <cell r="M1388"/>
          <cell r="N1388"/>
          <cell r="O1388"/>
          <cell r="P1388"/>
          <cell r="Q1388"/>
          <cell r="R1388"/>
          <cell r="S1388"/>
        </row>
        <row r="1389">
          <cell r="G1389">
            <v>0</v>
          </cell>
          <cell r="H1389">
            <v>0</v>
          </cell>
          <cell r="I1389" t="e">
            <v>#REF!</v>
          </cell>
          <cell r="J1389"/>
          <cell r="K1389"/>
          <cell r="L1389"/>
          <cell r="M1389"/>
          <cell r="N1389"/>
          <cell r="O1389"/>
          <cell r="P1389"/>
          <cell r="Q1389"/>
          <cell r="R1389"/>
          <cell r="S1389"/>
        </row>
        <row r="1390">
          <cell r="G1390">
            <v>0</v>
          </cell>
          <cell r="H1390">
            <v>0</v>
          </cell>
          <cell r="I1390" t="e">
            <v>#REF!</v>
          </cell>
          <cell r="J1390"/>
          <cell r="K1390"/>
          <cell r="L1390"/>
          <cell r="M1390"/>
          <cell r="N1390"/>
          <cell r="O1390"/>
          <cell r="P1390"/>
          <cell r="Q1390"/>
          <cell r="R1390"/>
          <cell r="S1390"/>
        </row>
        <row r="1391">
          <cell r="G1391">
            <v>0</v>
          </cell>
          <cell r="H1391">
            <v>0</v>
          </cell>
          <cell r="I1391" t="e">
            <v>#REF!</v>
          </cell>
          <cell r="J1391"/>
          <cell r="K1391"/>
          <cell r="L1391"/>
          <cell r="M1391"/>
          <cell r="N1391"/>
          <cell r="O1391"/>
          <cell r="P1391"/>
          <cell r="Q1391"/>
          <cell r="R1391"/>
          <cell r="S1391"/>
        </row>
        <row r="1392">
          <cell r="G1392">
            <v>0</v>
          </cell>
          <cell r="H1392">
            <v>0</v>
          </cell>
          <cell r="I1392" t="e">
            <v>#REF!</v>
          </cell>
          <cell r="J1392"/>
          <cell r="K1392"/>
          <cell r="L1392"/>
          <cell r="M1392"/>
          <cell r="N1392"/>
          <cell r="O1392"/>
          <cell r="P1392"/>
          <cell r="Q1392"/>
          <cell r="R1392"/>
          <cell r="S1392"/>
        </row>
        <row r="1393">
          <cell r="G1393">
            <v>0</v>
          </cell>
          <cell r="H1393">
            <v>0</v>
          </cell>
          <cell r="I1393" t="e">
            <v>#REF!</v>
          </cell>
          <cell r="J1393"/>
          <cell r="K1393"/>
          <cell r="L1393"/>
          <cell r="M1393"/>
          <cell r="N1393"/>
          <cell r="O1393"/>
          <cell r="P1393"/>
          <cell r="Q1393"/>
          <cell r="R1393"/>
          <cell r="S1393"/>
        </row>
        <row r="1394">
          <cell r="G1394">
            <v>0</v>
          </cell>
          <cell r="H1394">
            <v>0</v>
          </cell>
          <cell r="I1394" t="e">
            <v>#REF!</v>
          </cell>
          <cell r="J1394"/>
          <cell r="K1394"/>
          <cell r="L1394"/>
          <cell r="M1394"/>
          <cell r="N1394"/>
          <cell r="O1394"/>
          <cell r="P1394"/>
          <cell r="Q1394"/>
          <cell r="R1394"/>
          <cell r="S1394"/>
        </row>
        <row r="1395">
          <cell r="G1395">
            <v>0</v>
          </cell>
          <cell r="H1395">
            <v>0</v>
          </cell>
          <cell r="I1395" t="e">
            <v>#REF!</v>
          </cell>
          <cell r="J1395"/>
          <cell r="K1395"/>
          <cell r="L1395"/>
          <cell r="M1395"/>
          <cell r="N1395"/>
          <cell r="O1395"/>
          <cell r="P1395"/>
          <cell r="Q1395"/>
          <cell r="R1395"/>
          <cell r="S1395"/>
        </row>
        <row r="1396">
          <cell r="G1396">
            <v>0</v>
          </cell>
          <cell r="H1396">
            <v>0</v>
          </cell>
          <cell r="I1396" t="e">
            <v>#REF!</v>
          </cell>
          <cell r="J1396"/>
          <cell r="K1396"/>
          <cell r="L1396"/>
          <cell r="M1396"/>
          <cell r="N1396"/>
          <cell r="O1396"/>
          <cell r="P1396"/>
          <cell r="Q1396"/>
          <cell r="R1396"/>
          <cell r="S1396"/>
        </row>
        <row r="1397">
          <cell r="G1397">
            <v>0</v>
          </cell>
          <cell r="H1397">
            <v>0</v>
          </cell>
          <cell r="I1397" t="e">
            <v>#REF!</v>
          </cell>
          <cell r="J1397"/>
          <cell r="K1397"/>
          <cell r="L1397"/>
          <cell r="M1397"/>
          <cell r="N1397"/>
          <cell r="O1397"/>
          <cell r="P1397"/>
          <cell r="Q1397"/>
          <cell r="R1397"/>
          <cell r="S1397"/>
        </row>
        <row r="1398">
          <cell r="G1398">
            <v>0</v>
          </cell>
          <cell r="H1398">
            <v>0</v>
          </cell>
          <cell r="I1398" t="e">
            <v>#REF!</v>
          </cell>
          <cell r="J1398"/>
          <cell r="K1398"/>
          <cell r="L1398"/>
          <cell r="M1398"/>
          <cell r="N1398"/>
          <cell r="O1398"/>
          <cell r="P1398"/>
          <cell r="Q1398"/>
          <cell r="R1398"/>
          <cell r="S1398"/>
        </row>
        <row r="1399">
          <cell r="G1399">
            <v>0</v>
          </cell>
          <cell r="H1399">
            <v>0</v>
          </cell>
          <cell r="I1399" t="e">
            <v>#REF!</v>
          </cell>
          <cell r="J1399"/>
          <cell r="K1399"/>
          <cell r="L1399"/>
          <cell r="M1399"/>
          <cell r="N1399"/>
          <cell r="O1399"/>
          <cell r="P1399"/>
          <cell r="Q1399"/>
          <cell r="R1399"/>
          <cell r="S1399"/>
        </row>
        <row r="1400">
          <cell r="G1400">
            <v>0</v>
          </cell>
          <cell r="H1400">
            <v>0</v>
          </cell>
          <cell r="I1400" t="e">
            <v>#REF!</v>
          </cell>
          <cell r="J1400"/>
          <cell r="K1400"/>
          <cell r="L1400"/>
          <cell r="M1400"/>
          <cell r="N1400"/>
          <cell r="O1400"/>
          <cell r="P1400"/>
          <cell r="Q1400"/>
          <cell r="R1400"/>
          <cell r="S1400"/>
        </row>
        <row r="1401">
          <cell r="G1401">
            <v>0</v>
          </cell>
          <cell r="H1401">
            <v>0</v>
          </cell>
          <cell r="I1401" t="e">
            <v>#REF!</v>
          </cell>
          <cell r="J1401"/>
          <cell r="K1401"/>
          <cell r="L1401"/>
          <cell r="M1401"/>
          <cell r="N1401"/>
          <cell r="O1401"/>
          <cell r="P1401"/>
          <cell r="Q1401"/>
          <cell r="R1401"/>
          <cell r="S1401"/>
        </row>
        <row r="1402">
          <cell r="G1402">
            <v>0</v>
          </cell>
          <cell r="H1402">
            <v>0</v>
          </cell>
          <cell r="I1402" t="e">
            <v>#REF!</v>
          </cell>
          <cell r="J1402"/>
          <cell r="K1402"/>
          <cell r="L1402"/>
          <cell r="M1402"/>
          <cell r="N1402"/>
          <cell r="O1402"/>
          <cell r="P1402"/>
          <cell r="Q1402"/>
          <cell r="R1402"/>
          <cell r="S1402"/>
        </row>
        <row r="1403">
          <cell r="G1403">
            <v>0</v>
          </cell>
          <cell r="H1403">
            <v>0</v>
          </cell>
          <cell r="I1403" t="e">
            <v>#REF!</v>
          </cell>
          <cell r="J1403"/>
          <cell r="K1403"/>
          <cell r="L1403"/>
          <cell r="M1403"/>
          <cell r="N1403"/>
          <cell r="O1403"/>
          <cell r="P1403"/>
          <cell r="Q1403"/>
          <cell r="R1403"/>
          <cell r="S1403"/>
        </row>
        <row r="1404">
          <cell r="G1404">
            <v>0</v>
          </cell>
          <cell r="H1404">
            <v>0</v>
          </cell>
          <cell r="I1404" t="e">
            <v>#REF!</v>
          </cell>
          <cell r="J1404"/>
          <cell r="K1404"/>
          <cell r="L1404"/>
          <cell r="M1404"/>
          <cell r="N1404"/>
          <cell r="O1404"/>
          <cell r="P1404"/>
          <cell r="Q1404"/>
          <cell r="R1404"/>
          <cell r="S1404"/>
        </row>
        <row r="1405">
          <cell r="G1405">
            <v>0</v>
          </cell>
          <cell r="H1405">
            <v>0</v>
          </cell>
          <cell r="I1405" t="e">
            <v>#REF!</v>
          </cell>
          <cell r="J1405"/>
          <cell r="K1405"/>
          <cell r="L1405"/>
          <cell r="M1405"/>
          <cell r="N1405"/>
          <cell r="O1405"/>
          <cell r="P1405"/>
          <cell r="Q1405"/>
          <cell r="R1405"/>
          <cell r="S1405"/>
        </row>
        <row r="1406">
          <cell r="G1406">
            <v>0</v>
          </cell>
          <cell r="H1406">
            <v>0</v>
          </cell>
          <cell r="I1406" t="e">
            <v>#REF!</v>
          </cell>
          <cell r="J1406"/>
          <cell r="K1406"/>
          <cell r="L1406"/>
          <cell r="M1406"/>
          <cell r="N1406"/>
          <cell r="O1406"/>
          <cell r="P1406"/>
          <cell r="Q1406"/>
          <cell r="R1406"/>
          <cell r="S1406"/>
        </row>
        <row r="1407">
          <cell r="G1407">
            <v>0</v>
          </cell>
          <cell r="H1407">
            <v>0</v>
          </cell>
          <cell r="I1407" t="e">
            <v>#REF!</v>
          </cell>
          <cell r="J1407"/>
          <cell r="K1407"/>
          <cell r="L1407"/>
          <cell r="M1407"/>
          <cell r="N1407"/>
          <cell r="O1407"/>
          <cell r="P1407"/>
          <cell r="Q1407"/>
          <cell r="R1407"/>
          <cell r="S1407"/>
        </row>
        <row r="1408">
          <cell r="G1408">
            <v>0</v>
          </cell>
          <cell r="H1408">
            <v>0</v>
          </cell>
          <cell r="I1408" t="e">
            <v>#REF!</v>
          </cell>
          <cell r="J1408"/>
          <cell r="K1408"/>
          <cell r="L1408"/>
          <cell r="M1408"/>
          <cell r="N1408"/>
          <cell r="O1408"/>
          <cell r="P1408"/>
          <cell r="Q1408"/>
          <cell r="R1408"/>
          <cell r="S1408"/>
        </row>
        <row r="1409">
          <cell r="G1409">
            <v>0</v>
          </cell>
          <cell r="H1409">
            <v>0</v>
          </cell>
          <cell r="I1409" t="e">
            <v>#REF!</v>
          </cell>
          <cell r="J1409"/>
          <cell r="K1409"/>
          <cell r="L1409"/>
          <cell r="M1409"/>
          <cell r="N1409"/>
          <cell r="O1409"/>
          <cell r="P1409"/>
          <cell r="Q1409"/>
          <cell r="R1409"/>
          <cell r="S1409"/>
        </row>
        <row r="1410">
          <cell r="G1410">
            <v>0</v>
          </cell>
          <cell r="H1410">
            <v>0</v>
          </cell>
          <cell r="I1410" t="e">
            <v>#REF!</v>
          </cell>
          <cell r="J1410"/>
          <cell r="K1410"/>
          <cell r="L1410"/>
          <cell r="M1410"/>
          <cell r="N1410"/>
          <cell r="O1410"/>
          <cell r="P1410"/>
          <cell r="Q1410"/>
          <cell r="R1410"/>
          <cell r="S1410"/>
        </row>
        <row r="1411">
          <cell r="G1411">
            <v>0</v>
          </cell>
          <cell r="H1411">
            <v>0</v>
          </cell>
          <cell r="I1411" t="e">
            <v>#REF!</v>
          </cell>
          <cell r="J1411"/>
          <cell r="K1411"/>
          <cell r="L1411"/>
          <cell r="M1411"/>
          <cell r="N1411"/>
          <cell r="O1411"/>
          <cell r="P1411"/>
          <cell r="Q1411"/>
          <cell r="R1411"/>
          <cell r="S1411"/>
        </row>
        <row r="1412">
          <cell r="G1412">
            <v>0</v>
          </cell>
          <cell r="H1412">
            <v>0</v>
          </cell>
          <cell r="I1412" t="e">
            <v>#REF!</v>
          </cell>
          <cell r="J1412"/>
          <cell r="K1412"/>
          <cell r="L1412"/>
          <cell r="M1412"/>
          <cell r="N1412"/>
          <cell r="O1412"/>
          <cell r="P1412"/>
          <cell r="Q1412"/>
          <cell r="R1412"/>
          <cell r="S1412"/>
        </row>
        <row r="1413">
          <cell r="G1413">
            <v>0</v>
          </cell>
          <cell r="H1413">
            <v>0</v>
          </cell>
          <cell r="I1413" t="e">
            <v>#REF!</v>
          </cell>
          <cell r="J1413"/>
          <cell r="K1413"/>
          <cell r="L1413"/>
          <cell r="M1413"/>
          <cell r="N1413"/>
          <cell r="O1413"/>
          <cell r="P1413"/>
          <cell r="Q1413"/>
          <cell r="R1413"/>
          <cell r="S1413"/>
        </row>
        <row r="1414">
          <cell r="G1414">
            <v>0</v>
          </cell>
          <cell r="H1414">
            <v>0</v>
          </cell>
          <cell r="I1414" t="e">
            <v>#REF!</v>
          </cell>
          <cell r="J1414"/>
          <cell r="K1414"/>
          <cell r="L1414"/>
          <cell r="M1414"/>
          <cell r="N1414"/>
          <cell r="O1414"/>
          <cell r="P1414"/>
          <cell r="Q1414"/>
          <cell r="R1414"/>
          <cell r="S1414"/>
        </row>
        <row r="1415">
          <cell r="G1415">
            <v>0</v>
          </cell>
          <cell r="H1415">
            <v>0</v>
          </cell>
          <cell r="I1415" t="e">
            <v>#REF!</v>
          </cell>
          <cell r="J1415"/>
          <cell r="K1415"/>
          <cell r="L1415"/>
          <cell r="M1415"/>
          <cell r="N1415"/>
          <cell r="O1415"/>
          <cell r="P1415"/>
          <cell r="Q1415"/>
          <cell r="R1415"/>
          <cell r="S1415"/>
        </row>
        <row r="1416">
          <cell r="G1416">
            <v>0</v>
          </cell>
          <cell r="H1416">
            <v>0</v>
          </cell>
          <cell r="I1416" t="e">
            <v>#REF!</v>
          </cell>
          <cell r="J1416"/>
          <cell r="K1416"/>
          <cell r="L1416"/>
          <cell r="M1416"/>
          <cell r="N1416"/>
          <cell r="O1416"/>
          <cell r="P1416"/>
          <cell r="Q1416"/>
          <cell r="R1416"/>
          <cell r="S1416"/>
        </row>
        <row r="1417">
          <cell r="G1417">
            <v>0</v>
          </cell>
          <cell r="H1417">
            <v>0</v>
          </cell>
          <cell r="I1417" t="e">
            <v>#REF!</v>
          </cell>
          <cell r="J1417"/>
          <cell r="K1417"/>
          <cell r="L1417"/>
          <cell r="M1417"/>
          <cell r="N1417"/>
          <cell r="O1417"/>
          <cell r="P1417"/>
          <cell r="Q1417"/>
          <cell r="R1417"/>
          <cell r="S1417"/>
        </row>
        <row r="1418">
          <cell r="G1418">
            <v>0</v>
          </cell>
          <cell r="H1418">
            <v>0</v>
          </cell>
          <cell r="I1418" t="e">
            <v>#REF!</v>
          </cell>
          <cell r="J1418"/>
          <cell r="K1418"/>
          <cell r="L1418"/>
          <cell r="M1418"/>
          <cell r="N1418"/>
          <cell r="O1418"/>
          <cell r="P1418"/>
          <cell r="Q1418"/>
          <cell r="R1418"/>
          <cell r="S1418"/>
        </row>
        <row r="1419">
          <cell r="G1419">
            <v>0</v>
          </cell>
          <cell r="H1419">
            <v>0</v>
          </cell>
          <cell r="I1419" t="e">
            <v>#REF!</v>
          </cell>
          <cell r="J1419"/>
          <cell r="K1419"/>
          <cell r="L1419"/>
          <cell r="M1419"/>
          <cell r="N1419"/>
          <cell r="O1419"/>
          <cell r="P1419"/>
          <cell r="Q1419"/>
          <cell r="R1419"/>
          <cell r="S1419"/>
        </row>
        <row r="1420">
          <cell r="G1420">
            <v>0</v>
          </cell>
          <cell r="H1420">
            <v>0</v>
          </cell>
          <cell r="I1420" t="e">
            <v>#REF!</v>
          </cell>
          <cell r="J1420"/>
          <cell r="K1420"/>
          <cell r="L1420"/>
          <cell r="M1420"/>
          <cell r="N1420"/>
          <cell r="O1420"/>
          <cell r="P1420"/>
          <cell r="Q1420"/>
          <cell r="R1420"/>
          <cell r="S1420"/>
        </row>
        <row r="1421">
          <cell r="G1421">
            <v>0</v>
          </cell>
          <cell r="H1421">
            <v>0</v>
          </cell>
          <cell r="I1421" t="e">
            <v>#REF!</v>
          </cell>
          <cell r="J1421"/>
          <cell r="K1421"/>
          <cell r="L1421"/>
          <cell r="M1421"/>
          <cell r="N1421"/>
          <cell r="O1421"/>
          <cell r="P1421"/>
          <cell r="Q1421"/>
          <cell r="R1421"/>
          <cell r="S1421"/>
        </row>
        <row r="1422">
          <cell r="G1422">
            <v>0</v>
          </cell>
          <cell r="H1422">
            <v>0</v>
          </cell>
          <cell r="I1422" t="e">
            <v>#REF!</v>
          </cell>
          <cell r="J1422"/>
          <cell r="K1422"/>
          <cell r="L1422"/>
          <cell r="M1422"/>
          <cell r="N1422"/>
          <cell r="O1422"/>
          <cell r="P1422"/>
          <cell r="Q1422"/>
          <cell r="R1422"/>
          <cell r="S1422"/>
        </row>
        <row r="1423">
          <cell r="G1423">
            <v>0</v>
          </cell>
          <cell r="H1423">
            <v>0</v>
          </cell>
          <cell r="I1423" t="e">
            <v>#REF!</v>
          </cell>
          <cell r="J1423"/>
          <cell r="K1423"/>
          <cell r="L1423"/>
          <cell r="M1423"/>
          <cell r="N1423"/>
          <cell r="O1423"/>
          <cell r="P1423"/>
          <cell r="Q1423"/>
          <cell r="R1423"/>
          <cell r="S1423"/>
        </row>
        <row r="1424">
          <cell r="G1424">
            <v>0</v>
          </cell>
          <cell r="H1424">
            <v>0</v>
          </cell>
          <cell r="I1424" t="e">
            <v>#REF!</v>
          </cell>
          <cell r="J1424"/>
          <cell r="K1424"/>
          <cell r="L1424"/>
          <cell r="M1424"/>
          <cell r="N1424"/>
          <cell r="O1424"/>
          <cell r="P1424"/>
          <cell r="Q1424"/>
          <cell r="R1424"/>
          <cell r="S1424"/>
        </row>
        <row r="1425">
          <cell r="G1425">
            <v>0</v>
          </cell>
          <cell r="H1425">
            <v>0</v>
          </cell>
          <cell r="I1425" t="e">
            <v>#REF!</v>
          </cell>
          <cell r="J1425"/>
          <cell r="K1425"/>
          <cell r="L1425"/>
          <cell r="M1425"/>
          <cell r="N1425"/>
          <cell r="O1425"/>
          <cell r="P1425"/>
          <cell r="Q1425"/>
          <cell r="R1425"/>
          <cell r="S1425"/>
        </row>
        <row r="1426">
          <cell r="G1426">
            <v>0</v>
          </cell>
          <cell r="H1426">
            <v>0</v>
          </cell>
          <cell r="I1426" t="e">
            <v>#REF!</v>
          </cell>
          <cell r="J1426"/>
          <cell r="K1426"/>
          <cell r="L1426"/>
          <cell r="M1426"/>
          <cell r="N1426"/>
          <cell r="O1426"/>
          <cell r="P1426"/>
          <cell r="Q1426"/>
          <cell r="R1426"/>
          <cell r="S1426"/>
        </row>
        <row r="1427">
          <cell r="G1427">
            <v>0</v>
          </cell>
          <cell r="H1427">
            <v>0</v>
          </cell>
          <cell r="I1427" t="e">
            <v>#REF!</v>
          </cell>
          <cell r="J1427"/>
          <cell r="K1427"/>
          <cell r="L1427"/>
          <cell r="M1427"/>
          <cell r="N1427"/>
          <cell r="O1427"/>
          <cell r="P1427"/>
          <cell r="Q1427"/>
          <cell r="R1427"/>
          <cell r="S1427"/>
        </row>
        <row r="1428">
          <cell r="G1428">
            <v>0</v>
          </cell>
          <cell r="H1428">
            <v>0</v>
          </cell>
          <cell r="I1428" t="e">
            <v>#REF!</v>
          </cell>
          <cell r="J1428"/>
          <cell r="K1428"/>
          <cell r="L1428"/>
          <cell r="M1428"/>
          <cell r="N1428"/>
          <cell r="O1428"/>
          <cell r="P1428"/>
          <cell r="Q1428"/>
          <cell r="R1428"/>
          <cell r="S1428"/>
        </row>
        <row r="1429">
          <cell r="G1429">
            <v>0</v>
          </cell>
          <cell r="H1429">
            <v>0</v>
          </cell>
          <cell r="I1429" t="e">
            <v>#REF!</v>
          </cell>
          <cell r="J1429"/>
          <cell r="K1429"/>
          <cell r="L1429"/>
          <cell r="M1429"/>
          <cell r="N1429"/>
          <cell r="O1429"/>
          <cell r="P1429"/>
          <cell r="Q1429"/>
          <cell r="R1429"/>
          <cell r="S1429"/>
        </row>
        <row r="1430">
          <cell r="G1430">
            <v>0</v>
          </cell>
          <cell r="H1430">
            <v>0</v>
          </cell>
          <cell r="I1430" t="e">
            <v>#REF!</v>
          </cell>
          <cell r="J1430"/>
          <cell r="K1430"/>
          <cell r="L1430"/>
          <cell r="M1430"/>
          <cell r="N1430"/>
          <cell r="O1430"/>
          <cell r="P1430"/>
          <cell r="Q1430"/>
          <cell r="R1430"/>
          <cell r="S1430"/>
        </row>
        <row r="1431">
          <cell r="G1431">
            <v>0</v>
          </cell>
          <cell r="H1431">
            <v>0</v>
          </cell>
          <cell r="I1431" t="e">
            <v>#REF!</v>
          </cell>
          <cell r="J1431"/>
          <cell r="K1431"/>
          <cell r="L1431"/>
          <cell r="M1431"/>
          <cell r="N1431"/>
          <cell r="O1431"/>
          <cell r="P1431"/>
          <cell r="Q1431"/>
          <cell r="R1431"/>
          <cell r="S1431"/>
        </row>
        <row r="1432">
          <cell r="G1432">
            <v>0</v>
          </cell>
          <cell r="H1432">
            <v>0</v>
          </cell>
          <cell r="I1432" t="e">
            <v>#REF!</v>
          </cell>
          <cell r="J1432"/>
          <cell r="K1432"/>
          <cell r="L1432"/>
          <cell r="M1432"/>
          <cell r="N1432"/>
          <cell r="O1432"/>
          <cell r="P1432"/>
          <cell r="Q1432"/>
          <cell r="R1432"/>
          <cell r="S1432"/>
        </row>
        <row r="1433">
          <cell r="G1433">
            <v>0</v>
          </cell>
          <cell r="H1433">
            <v>0</v>
          </cell>
          <cell r="I1433" t="e">
            <v>#REF!</v>
          </cell>
          <cell r="J1433"/>
          <cell r="K1433"/>
          <cell r="L1433"/>
          <cell r="M1433"/>
          <cell r="N1433"/>
          <cell r="O1433"/>
          <cell r="P1433"/>
          <cell r="Q1433"/>
          <cell r="R1433"/>
          <cell r="S1433"/>
        </row>
        <row r="1434">
          <cell r="G1434">
            <v>0</v>
          </cell>
          <cell r="H1434">
            <v>0</v>
          </cell>
          <cell r="I1434" t="e">
            <v>#REF!</v>
          </cell>
          <cell r="J1434"/>
          <cell r="K1434"/>
          <cell r="L1434"/>
          <cell r="M1434"/>
          <cell r="N1434"/>
          <cell r="O1434"/>
          <cell r="P1434"/>
          <cell r="Q1434"/>
          <cell r="R1434"/>
          <cell r="S1434"/>
        </row>
        <row r="1435">
          <cell r="G1435">
            <v>0</v>
          </cell>
          <cell r="H1435">
            <v>0</v>
          </cell>
          <cell r="I1435" t="e">
            <v>#REF!</v>
          </cell>
          <cell r="J1435"/>
          <cell r="K1435"/>
          <cell r="L1435"/>
          <cell r="M1435"/>
          <cell r="N1435"/>
          <cell r="O1435"/>
          <cell r="P1435"/>
          <cell r="Q1435"/>
          <cell r="R1435"/>
          <cell r="S1435"/>
        </row>
        <row r="1436">
          <cell r="G1436">
            <v>0</v>
          </cell>
          <cell r="H1436">
            <v>0</v>
          </cell>
          <cell r="I1436" t="e">
            <v>#REF!</v>
          </cell>
          <cell r="J1436"/>
          <cell r="K1436"/>
          <cell r="L1436"/>
          <cell r="M1436"/>
          <cell r="N1436"/>
          <cell r="O1436"/>
          <cell r="P1436"/>
          <cell r="Q1436"/>
          <cell r="R1436"/>
          <cell r="S1436"/>
        </row>
        <row r="1437">
          <cell r="G1437">
            <v>0</v>
          </cell>
          <cell r="H1437">
            <v>0</v>
          </cell>
          <cell r="I1437" t="e">
            <v>#REF!</v>
          </cell>
          <cell r="J1437"/>
          <cell r="K1437"/>
          <cell r="L1437"/>
          <cell r="M1437"/>
          <cell r="N1437"/>
          <cell r="O1437"/>
          <cell r="P1437"/>
          <cell r="Q1437"/>
          <cell r="R1437"/>
          <cell r="S1437"/>
        </row>
        <row r="1438">
          <cell r="G1438">
            <v>0</v>
          </cell>
          <cell r="H1438">
            <v>0</v>
          </cell>
          <cell r="I1438" t="e">
            <v>#REF!</v>
          </cell>
          <cell r="J1438"/>
          <cell r="K1438"/>
          <cell r="L1438"/>
          <cell r="M1438"/>
          <cell r="N1438"/>
          <cell r="O1438"/>
          <cell r="P1438"/>
          <cell r="Q1438"/>
          <cell r="R1438"/>
          <cell r="S1438"/>
        </row>
        <row r="1439">
          <cell r="G1439">
            <v>0</v>
          </cell>
          <cell r="H1439">
            <v>0</v>
          </cell>
          <cell r="I1439" t="e">
            <v>#REF!</v>
          </cell>
          <cell r="J1439"/>
          <cell r="K1439"/>
          <cell r="L1439"/>
          <cell r="M1439"/>
          <cell r="N1439"/>
          <cell r="O1439"/>
          <cell r="P1439"/>
          <cell r="Q1439"/>
          <cell r="R1439"/>
          <cell r="S1439"/>
        </row>
        <row r="1440">
          <cell r="G1440">
            <v>0</v>
          </cell>
          <cell r="H1440">
            <v>0</v>
          </cell>
          <cell r="I1440" t="e">
            <v>#REF!</v>
          </cell>
          <cell r="J1440"/>
          <cell r="K1440"/>
          <cell r="L1440"/>
          <cell r="M1440"/>
          <cell r="N1440"/>
          <cell r="O1440"/>
          <cell r="P1440"/>
          <cell r="Q1440"/>
          <cell r="R1440"/>
          <cell r="S1440"/>
        </row>
        <row r="1441">
          <cell r="G1441">
            <v>0</v>
          </cell>
          <cell r="H1441">
            <v>0</v>
          </cell>
          <cell r="I1441" t="e">
            <v>#REF!</v>
          </cell>
          <cell r="J1441"/>
          <cell r="K1441"/>
          <cell r="L1441"/>
          <cell r="M1441"/>
          <cell r="N1441"/>
          <cell r="O1441"/>
          <cell r="P1441"/>
          <cell r="Q1441"/>
          <cell r="R1441"/>
          <cell r="S1441"/>
        </row>
        <row r="1442">
          <cell r="G1442">
            <v>0</v>
          </cell>
          <cell r="H1442">
            <v>0</v>
          </cell>
          <cell r="I1442" t="e">
            <v>#REF!</v>
          </cell>
          <cell r="J1442"/>
          <cell r="K1442"/>
          <cell r="L1442"/>
          <cell r="M1442"/>
          <cell r="N1442"/>
          <cell r="O1442"/>
          <cell r="P1442"/>
          <cell r="Q1442"/>
          <cell r="R1442"/>
          <cell r="S1442"/>
        </row>
        <row r="1443">
          <cell r="G1443">
            <v>0</v>
          </cell>
          <cell r="H1443">
            <v>0</v>
          </cell>
          <cell r="I1443" t="e">
            <v>#REF!</v>
          </cell>
          <cell r="J1443"/>
          <cell r="K1443"/>
          <cell r="L1443"/>
          <cell r="M1443"/>
          <cell r="N1443"/>
          <cell r="O1443"/>
          <cell r="P1443"/>
          <cell r="Q1443"/>
          <cell r="R1443"/>
          <cell r="S1443"/>
        </row>
        <row r="1444">
          <cell r="G1444">
            <v>0</v>
          </cell>
          <cell r="H1444">
            <v>0</v>
          </cell>
          <cell r="I1444" t="e">
            <v>#REF!</v>
          </cell>
          <cell r="J1444"/>
          <cell r="K1444"/>
          <cell r="L1444"/>
          <cell r="M1444"/>
          <cell r="N1444"/>
          <cell r="O1444"/>
          <cell r="P1444"/>
          <cell r="Q1444"/>
          <cell r="R1444"/>
          <cell r="S1444"/>
        </row>
        <row r="1445">
          <cell r="G1445">
            <v>0</v>
          </cell>
          <cell r="H1445">
            <v>0</v>
          </cell>
          <cell r="I1445" t="e">
            <v>#REF!</v>
          </cell>
          <cell r="J1445"/>
          <cell r="K1445"/>
          <cell r="L1445"/>
          <cell r="M1445"/>
          <cell r="N1445"/>
          <cell r="O1445"/>
          <cell r="P1445"/>
          <cell r="Q1445"/>
          <cell r="R1445"/>
          <cell r="S1445"/>
        </row>
        <row r="1446">
          <cell r="G1446">
            <v>0</v>
          </cell>
          <cell r="H1446">
            <v>0</v>
          </cell>
          <cell r="I1446" t="e">
            <v>#REF!</v>
          </cell>
          <cell r="J1446"/>
          <cell r="K1446"/>
          <cell r="L1446"/>
          <cell r="M1446"/>
          <cell r="N1446"/>
          <cell r="O1446"/>
          <cell r="P1446"/>
          <cell r="Q1446"/>
          <cell r="R1446"/>
          <cell r="S1446"/>
        </row>
        <row r="1447">
          <cell r="G1447">
            <v>0</v>
          </cell>
          <cell r="H1447">
            <v>0</v>
          </cell>
          <cell r="I1447" t="e">
            <v>#REF!</v>
          </cell>
          <cell r="J1447"/>
          <cell r="K1447"/>
          <cell r="L1447"/>
          <cell r="M1447"/>
          <cell r="N1447"/>
          <cell r="O1447"/>
          <cell r="P1447"/>
          <cell r="Q1447"/>
          <cell r="R1447"/>
          <cell r="S1447"/>
        </row>
        <row r="1448">
          <cell r="G1448">
            <v>0</v>
          </cell>
          <cell r="H1448">
            <v>0</v>
          </cell>
          <cell r="I1448" t="e">
            <v>#REF!</v>
          </cell>
          <cell r="J1448"/>
          <cell r="K1448"/>
          <cell r="L1448"/>
          <cell r="M1448"/>
          <cell r="N1448"/>
          <cell r="O1448"/>
          <cell r="P1448"/>
          <cell r="Q1448"/>
          <cell r="R1448"/>
          <cell r="S1448"/>
        </row>
        <row r="1449">
          <cell r="G1449">
            <v>0</v>
          </cell>
          <cell r="H1449">
            <v>0</v>
          </cell>
          <cell r="I1449" t="e">
            <v>#REF!</v>
          </cell>
          <cell r="J1449"/>
          <cell r="K1449"/>
          <cell r="L1449"/>
          <cell r="M1449"/>
          <cell r="N1449"/>
          <cell r="O1449"/>
          <cell r="P1449"/>
          <cell r="Q1449"/>
          <cell r="R1449"/>
          <cell r="S1449"/>
        </row>
        <row r="1450">
          <cell r="G1450">
            <v>0</v>
          </cell>
          <cell r="H1450">
            <v>0</v>
          </cell>
          <cell r="I1450" t="e">
            <v>#REF!</v>
          </cell>
          <cell r="J1450"/>
          <cell r="K1450"/>
          <cell r="L1450"/>
          <cell r="M1450"/>
          <cell r="N1450"/>
          <cell r="O1450"/>
          <cell r="P1450"/>
          <cell r="Q1450"/>
          <cell r="R1450"/>
          <cell r="S1450"/>
        </row>
        <row r="1451">
          <cell r="G1451">
            <v>0</v>
          </cell>
          <cell r="H1451">
            <v>0</v>
          </cell>
          <cell r="I1451" t="e">
            <v>#REF!</v>
          </cell>
          <cell r="J1451"/>
          <cell r="K1451"/>
          <cell r="L1451"/>
          <cell r="M1451"/>
          <cell r="N1451"/>
          <cell r="O1451"/>
          <cell r="P1451"/>
          <cell r="Q1451"/>
          <cell r="R1451"/>
          <cell r="S1451"/>
        </row>
        <row r="1452">
          <cell r="G1452">
            <v>0</v>
          </cell>
          <cell r="H1452">
            <v>0</v>
          </cell>
          <cell r="I1452" t="e">
            <v>#REF!</v>
          </cell>
          <cell r="J1452"/>
          <cell r="K1452"/>
          <cell r="L1452"/>
          <cell r="M1452"/>
          <cell r="N1452"/>
          <cell r="O1452"/>
          <cell r="P1452"/>
          <cell r="Q1452"/>
          <cell r="R1452"/>
          <cell r="S1452"/>
        </row>
        <row r="1453">
          <cell r="G1453">
            <v>0</v>
          </cell>
          <cell r="H1453">
            <v>0</v>
          </cell>
          <cell r="I1453" t="e">
            <v>#REF!</v>
          </cell>
          <cell r="J1453"/>
          <cell r="K1453"/>
          <cell r="L1453"/>
          <cell r="M1453"/>
          <cell r="N1453"/>
          <cell r="O1453"/>
          <cell r="P1453"/>
          <cell r="Q1453"/>
          <cell r="R1453"/>
          <cell r="S1453"/>
        </row>
        <row r="1454">
          <cell r="G1454">
            <v>0</v>
          </cell>
          <cell r="H1454">
            <v>0</v>
          </cell>
          <cell r="I1454" t="e">
            <v>#REF!</v>
          </cell>
          <cell r="J1454"/>
          <cell r="K1454"/>
          <cell r="L1454"/>
          <cell r="M1454"/>
          <cell r="N1454"/>
          <cell r="O1454"/>
          <cell r="P1454"/>
          <cell r="Q1454"/>
          <cell r="R1454"/>
          <cell r="S1454"/>
        </row>
        <row r="1455">
          <cell r="G1455">
            <v>0</v>
          </cell>
          <cell r="H1455">
            <v>0</v>
          </cell>
          <cell r="I1455" t="e">
            <v>#REF!</v>
          </cell>
          <cell r="J1455"/>
          <cell r="K1455"/>
          <cell r="L1455"/>
          <cell r="M1455"/>
          <cell r="N1455"/>
          <cell r="O1455"/>
          <cell r="P1455"/>
          <cell r="Q1455"/>
          <cell r="R1455"/>
          <cell r="S1455"/>
        </row>
        <row r="1456">
          <cell r="G1456">
            <v>0</v>
          </cell>
          <cell r="H1456">
            <v>0</v>
          </cell>
          <cell r="I1456" t="e">
            <v>#REF!</v>
          </cell>
          <cell r="J1456"/>
          <cell r="K1456"/>
          <cell r="L1456"/>
          <cell r="M1456"/>
          <cell r="N1456"/>
          <cell r="O1456"/>
          <cell r="P1456"/>
          <cell r="Q1456"/>
          <cell r="R1456"/>
          <cell r="S1456"/>
        </row>
        <row r="1457">
          <cell r="G1457">
            <v>0</v>
          </cell>
          <cell r="H1457">
            <v>0</v>
          </cell>
          <cell r="I1457" t="e">
            <v>#REF!</v>
          </cell>
          <cell r="J1457"/>
          <cell r="K1457"/>
          <cell r="L1457"/>
          <cell r="M1457"/>
          <cell r="N1457"/>
          <cell r="O1457"/>
          <cell r="P1457"/>
          <cell r="Q1457"/>
          <cell r="R1457"/>
          <cell r="S1457"/>
        </row>
        <row r="1458">
          <cell r="G1458">
            <v>0</v>
          </cell>
          <cell r="H1458">
            <v>0</v>
          </cell>
          <cell r="I1458" t="e">
            <v>#REF!</v>
          </cell>
          <cell r="J1458"/>
          <cell r="K1458"/>
          <cell r="L1458"/>
          <cell r="M1458"/>
          <cell r="N1458"/>
          <cell r="O1458"/>
          <cell r="P1458"/>
          <cell r="Q1458"/>
          <cell r="R1458"/>
          <cell r="S1458"/>
        </row>
        <row r="1459">
          <cell r="G1459">
            <v>0</v>
          </cell>
          <cell r="H1459">
            <v>0</v>
          </cell>
          <cell r="I1459" t="e">
            <v>#REF!</v>
          </cell>
          <cell r="J1459"/>
          <cell r="K1459"/>
          <cell r="L1459"/>
          <cell r="M1459"/>
          <cell r="N1459"/>
          <cell r="O1459"/>
          <cell r="P1459"/>
          <cell r="Q1459"/>
          <cell r="R1459"/>
          <cell r="S1459"/>
        </row>
        <row r="1460">
          <cell r="G1460">
            <v>0</v>
          </cell>
          <cell r="H1460">
            <v>0</v>
          </cell>
          <cell r="I1460" t="e">
            <v>#REF!</v>
          </cell>
          <cell r="J1460"/>
          <cell r="K1460"/>
          <cell r="L1460"/>
          <cell r="M1460"/>
          <cell r="N1460"/>
          <cell r="O1460"/>
          <cell r="P1460"/>
          <cell r="Q1460"/>
          <cell r="R1460"/>
          <cell r="S1460"/>
        </row>
        <row r="1461">
          <cell r="G1461">
            <v>0</v>
          </cell>
          <cell r="H1461">
            <v>0</v>
          </cell>
          <cell r="I1461" t="e">
            <v>#REF!</v>
          </cell>
          <cell r="J1461"/>
          <cell r="K1461"/>
          <cell r="L1461"/>
          <cell r="M1461"/>
          <cell r="N1461"/>
          <cell r="O1461"/>
          <cell r="P1461"/>
          <cell r="Q1461"/>
          <cell r="R1461"/>
          <cell r="S1461"/>
        </row>
        <row r="1462">
          <cell r="G1462">
            <v>0</v>
          </cell>
          <cell r="H1462">
            <v>0</v>
          </cell>
          <cell r="I1462" t="e">
            <v>#REF!</v>
          </cell>
          <cell r="J1462"/>
          <cell r="K1462"/>
          <cell r="L1462"/>
          <cell r="M1462"/>
          <cell r="N1462"/>
          <cell r="O1462"/>
          <cell r="P1462"/>
          <cell r="Q1462"/>
          <cell r="R1462"/>
          <cell r="S1462"/>
        </row>
        <row r="1463">
          <cell r="G1463">
            <v>0</v>
          </cell>
          <cell r="H1463">
            <v>0</v>
          </cell>
          <cell r="I1463" t="e">
            <v>#REF!</v>
          </cell>
          <cell r="J1463"/>
          <cell r="K1463"/>
          <cell r="L1463"/>
          <cell r="M1463"/>
          <cell r="N1463"/>
          <cell r="O1463"/>
          <cell r="P1463"/>
          <cell r="Q1463"/>
          <cell r="R1463"/>
          <cell r="S1463"/>
        </row>
        <row r="1464">
          <cell r="G1464">
            <v>0</v>
          </cell>
          <cell r="H1464">
            <v>0</v>
          </cell>
          <cell r="I1464" t="e">
            <v>#REF!</v>
          </cell>
          <cell r="J1464"/>
          <cell r="K1464"/>
          <cell r="L1464"/>
          <cell r="M1464"/>
          <cell r="N1464"/>
          <cell r="O1464"/>
          <cell r="P1464"/>
          <cell r="Q1464"/>
          <cell r="R1464"/>
          <cell r="S1464"/>
        </row>
        <row r="1465">
          <cell r="G1465">
            <v>0</v>
          </cell>
          <cell r="H1465">
            <v>0</v>
          </cell>
          <cell r="I1465" t="e">
            <v>#REF!</v>
          </cell>
          <cell r="J1465"/>
          <cell r="K1465"/>
          <cell r="L1465"/>
          <cell r="M1465"/>
          <cell r="N1465"/>
          <cell r="O1465"/>
          <cell r="P1465"/>
          <cell r="Q1465"/>
          <cell r="R1465"/>
          <cell r="S1465"/>
        </row>
        <row r="1466">
          <cell r="G1466">
            <v>0</v>
          </cell>
          <cell r="H1466">
            <v>0</v>
          </cell>
          <cell r="I1466" t="e">
            <v>#REF!</v>
          </cell>
          <cell r="J1466"/>
          <cell r="K1466"/>
          <cell r="L1466"/>
          <cell r="M1466"/>
          <cell r="N1466"/>
          <cell r="O1466"/>
          <cell r="P1466"/>
          <cell r="Q1466"/>
          <cell r="R1466"/>
          <cell r="S1466"/>
        </row>
        <row r="1467">
          <cell r="G1467">
            <v>0</v>
          </cell>
          <cell r="H1467">
            <v>0</v>
          </cell>
          <cell r="I1467" t="e">
            <v>#REF!</v>
          </cell>
          <cell r="J1467"/>
          <cell r="K1467"/>
          <cell r="L1467"/>
          <cell r="M1467"/>
          <cell r="N1467"/>
          <cell r="O1467"/>
          <cell r="P1467"/>
          <cell r="Q1467"/>
          <cell r="R1467"/>
          <cell r="S1467"/>
        </row>
        <row r="1468">
          <cell r="G1468">
            <v>0</v>
          </cell>
          <cell r="H1468">
            <v>0</v>
          </cell>
          <cell r="I1468" t="e">
            <v>#REF!</v>
          </cell>
          <cell r="J1468"/>
          <cell r="K1468"/>
          <cell r="L1468"/>
          <cell r="M1468"/>
          <cell r="N1468"/>
          <cell r="O1468"/>
          <cell r="P1468"/>
          <cell r="Q1468"/>
          <cell r="R1468"/>
          <cell r="S1468"/>
        </row>
        <row r="1469">
          <cell r="G1469">
            <v>0</v>
          </cell>
          <cell r="H1469">
            <v>0</v>
          </cell>
          <cell r="I1469" t="e">
            <v>#REF!</v>
          </cell>
          <cell r="J1469"/>
          <cell r="K1469"/>
          <cell r="L1469"/>
          <cell r="M1469"/>
          <cell r="N1469"/>
          <cell r="O1469"/>
          <cell r="P1469"/>
          <cell r="Q1469"/>
          <cell r="R1469"/>
          <cell r="S1469"/>
        </row>
        <row r="1470">
          <cell r="G1470">
            <v>0</v>
          </cell>
          <cell r="H1470">
            <v>0</v>
          </cell>
          <cell r="I1470" t="e">
            <v>#REF!</v>
          </cell>
          <cell r="J1470"/>
          <cell r="K1470"/>
          <cell r="L1470"/>
          <cell r="M1470"/>
          <cell r="N1470"/>
          <cell r="O1470"/>
          <cell r="P1470"/>
          <cell r="Q1470"/>
          <cell r="R1470"/>
          <cell r="S1470"/>
        </row>
        <row r="1471">
          <cell r="G1471">
            <v>0</v>
          </cell>
          <cell r="H1471">
            <v>0</v>
          </cell>
          <cell r="I1471" t="e">
            <v>#REF!</v>
          </cell>
          <cell r="J1471"/>
          <cell r="K1471"/>
          <cell r="L1471"/>
          <cell r="M1471"/>
          <cell r="N1471"/>
          <cell r="O1471"/>
          <cell r="P1471"/>
          <cell r="Q1471"/>
          <cell r="R1471"/>
          <cell r="S1471"/>
        </row>
        <row r="1472">
          <cell r="G1472">
            <v>0</v>
          </cell>
          <cell r="H1472">
            <v>0</v>
          </cell>
          <cell r="I1472" t="e">
            <v>#REF!</v>
          </cell>
          <cell r="J1472"/>
          <cell r="K1472"/>
          <cell r="L1472"/>
          <cell r="M1472"/>
          <cell r="N1472"/>
          <cell r="O1472"/>
          <cell r="P1472"/>
          <cell r="Q1472"/>
          <cell r="R1472"/>
          <cell r="S1472"/>
        </row>
        <row r="1473">
          <cell r="G1473">
            <v>0</v>
          </cell>
          <cell r="H1473">
            <v>0</v>
          </cell>
          <cell r="I1473" t="e">
            <v>#REF!</v>
          </cell>
          <cell r="J1473"/>
          <cell r="K1473"/>
          <cell r="L1473"/>
          <cell r="M1473"/>
          <cell r="N1473"/>
          <cell r="O1473"/>
          <cell r="P1473"/>
          <cell r="Q1473"/>
          <cell r="R1473"/>
          <cell r="S1473"/>
        </row>
        <row r="1474">
          <cell r="G1474">
            <v>0</v>
          </cell>
          <cell r="H1474">
            <v>0</v>
          </cell>
          <cell r="I1474" t="e">
            <v>#REF!</v>
          </cell>
          <cell r="J1474"/>
          <cell r="K1474"/>
          <cell r="L1474"/>
          <cell r="M1474"/>
          <cell r="N1474"/>
          <cell r="O1474"/>
          <cell r="P1474"/>
          <cell r="Q1474"/>
          <cell r="R1474"/>
          <cell r="S1474"/>
        </row>
        <row r="1475">
          <cell r="G1475">
            <v>0</v>
          </cell>
          <cell r="H1475">
            <v>0</v>
          </cell>
          <cell r="I1475" t="e">
            <v>#REF!</v>
          </cell>
          <cell r="J1475"/>
          <cell r="K1475"/>
          <cell r="L1475"/>
          <cell r="M1475"/>
          <cell r="N1475"/>
          <cell r="O1475"/>
          <cell r="P1475"/>
          <cell r="Q1475"/>
          <cell r="R1475"/>
          <cell r="S1475"/>
        </row>
        <row r="1476">
          <cell r="G1476">
            <v>0</v>
          </cell>
          <cell r="H1476">
            <v>0</v>
          </cell>
          <cell r="I1476" t="e">
            <v>#REF!</v>
          </cell>
          <cell r="J1476"/>
          <cell r="K1476"/>
          <cell r="L1476"/>
          <cell r="M1476"/>
          <cell r="N1476"/>
          <cell r="O1476"/>
          <cell r="P1476"/>
          <cell r="Q1476"/>
          <cell r="R1476"/>
          <cell r="S1476"/>
        </row>
        <row r="1477">
          <cell r="G1477">
            <v>0</v>
          </cell>
          <cell r="H1477">
            <v>0</v>
          </cell>
          <cell r="I1477" t="e">
            <v>#REF!</v>
          </cell>
          <cell r="J1477"/>
          <cell r="K1477"/>
          <cell r="L1477"/>
          <cell r="M1477"/>
          <cell r="N1477"/>
          <cell r="O1477"/>
          <cell r="P1477"/>
          <cell r="Q1477"/>
          <cell r="R1477"/>
          <cell r="S1477"/>
        </row>
        <row r="1478">
          <cell r="G1478">
            <v>0</v>
          </cell>
          <cell r="H1478">
            <v>0</v>
          </cell>
          <cell r="I1478" t="e">
            <v>#REF!</v>
          </cell>
          <cell r="J1478"/>
          <cell r="K1478"/>
          <cell r="L1478"/>
          <cell r="M1478"/>
          <cell r="N1478"/>
          <cell r="O1478"/>
          <cell r="P1478"/>
          <cell r="Q1478"/>
          <cell r="R1478"/>
          <cell r="S1478"/>
        </row>
        <row r="1479">
          <cell r="G1479">
            <v>0</v>
          </cell>
          <cell r="H1479">
            <v>0</v>
          </cell>
          <cell r="I1479" t="e">
            <v>#REF!</v>
          </cell>
          <cell r="J1479"/>
          <cell r="K1479"/>
          <cell r="L1479"/>
          <cell r="M1479"/>
          <cell r="N1479"/>
          <cell r="O1479"/>
          <cell r="P1479"/>
          <cell r="Q1479"/>
          <cell r="R1479"/>
          <cell r="S1479"/>
        </row>
        <row r="1480">
          <cell r="G1480">
            <v>0</v>
          </cell>
          <cell r="H1480">
            <v>0</v>
          </cell>
          <cell r="I1480" t="e">
            <v>#REF!</v>
          </cell>
          <cell r="J1480"/>
          <cell r="K1480"/>
          <cell r="L1480"/>
          <cell r="M1480"/>
          <cell r="N1480"/>
          <cell r="O1480"/>
          <cell r="P1480"/>
          <cell r="Q1480"/>
          <cell r="R1480"/>
          <cell r="S1480"/>
        </row>
        <row r="1481">
          <cell r="G1481">
            <v>0</v>
          </cell>
          <cell r="H1481">
            <v>0</v>
          </cell>
          <cell r="I1481" t="e">
            <v>#REF!</v>
          </cell>
          <cell r="J1481"/>
          <cell r="K1481"/>
          <cell r="L1481"/>
          <cell r="M1481"/>
          <cell r="N1481"/>
          <cell r="O1481"/>
          <cell r="P1481"/>
          <cell r="Q1481"/>
          <cell r="R1481"/>
          <cell r="S1481"/>
        </row>
        <row r="1482">
          <cell r="G1482">
            <v>0</v>
          </cell>
          <cell r="H1482">
            <v>0</v>
          </cell>
          <cell r="I1482" t="e">
            <v>#REF!</v>
          </cell>
          <cell r="J1482"/>
          <cell r="K1482"/>
          <cell r="L1482"/>
          <cell r="M1482"/>
          <cell r="N1482"/>
          <cell r="O1482"/>
          <cell r="P1482"/>
          <cell r="Q1482"/>
          <cell r="R1482"/>
          <cell r="S1482"/>
        </row>
        <row r="1483">
          <cell r="G1483">
            <v>0</v>
          </cell>
          <cell r="H1483">
            <v>0</v>
          </cell>
          <cell r="I1483" t="e">
            <v>#REF!</v>
          </cell>
          <cell r="J1483"/>
          <cell r="K1483"/>
          <cell r="L1483"/>
          <cell r="M1483"/>
          <cell r="N1483"/>
          <cell r="O1483"/>
          <cell r="P1483"/>
          <cell r="Q1483"/>
          <cell r="R1483"/>
          <cell r="S1483"/>
        </row>
        <row r="1484">
          <cell r="G1484">
            <v>0</v>
          </cell>
          <cell r="H1484">
            <v>0</v>
          </cell>
          <cell r="I1484" t="e">
            <v>#REF!</v>
          </cell>
          <cell r="J1484"/>
          <cell r="K1484"/>
          <cell r="L1484"/>
          <cell r="M1484"/>
          <cell r="N1484"/>
          <cell r="O1484"/>
          <cell r="P1484"/>
          <cell r="Q1484"/>
          <cell r="R1484"/>
          <cell r="S1484"/>
        </row>
        <row r="1485">
          <cell r="G1485">
            <v>0</v>
          </cell>
          <cell r="H1485">
            <v>0</v>
          </cell>
          <cell r="I1485" t="e">
            <v>#REF!</v>
          </cell>
          <cell r="J1485"/>
          <cell r="K1485"/>
          <cell r="L1485"/>
          <cell r="M1485"/>
          <cell r="N1485"/>
          <cell r="O1485"/>
          <cell r="P1485"/>
          <cell r="Q1485"/>
          <cell r="R1485"/>
          <cell r="S1485"/>
        </row>
        <row r="1486">
          <cell r="G1486">
            <v>0</v>
          </cell>
          <cell r="H1486">
            <v>0</v>
          </cell>
          <cell r="I1486" t="e">
            <v>#REF!</v>
          </cell>
          <cell r="J1486"/>
          <cell r="K1486"/>
          <cell r="L1486"/>
          <cell r="M1486"/>
          <cell r="N1486"/>
          <cell r="O1486"/>
          <cell r="P1486"/>
          <cell r="Q1486"/>
          <cell r="R1486"/>
          <cell r="S1486"/>
        </row>
        <row r="1487">
          <cell r="G1487">
            <v>0</v>
          </cell>
          <cell r="H1487">
            <v>0</v>
          </cell>
          <cell r="I1487" t="e">
            <v>#REF!</v>
          </cell>
          <cell r="J1487"/>
          <cell r="K1487"/>
          <cell r="L1487"/>
          <cell r="M1487"/>
          <cell r="N1487"/>
          <cell r="O1487"/>
          <cell r="P1487"/>
          <cell r="Q1487"/>
          <cell r="R1487"/>
          <cell r="S1487"/>
        </row>
        <row r="1488">
          <cell r="G1488">
            <v>0</v>
          </cell>
          <cell r="H1488">
            <v>0</v>
          </cell>
          <cell r="I1488" t="e">
            <v>#REF!</v>
          </cell>
          <cell r="J1488"/>
          <cell r="K1488"/>
          <cell r="L1488"/>
          <cell r="M1488"/>
          <cell r="N1488"/>
          <cell r="O1488"/>
          <cell r="P1488"/>
          <cell r="Q1488"/>
          <cell r="R1488"/>
          <cell r="S1488"/>
        </row>
        <row r="1489">
          <cell r="G1489">
            <v>0</v>
          </cell>
          <cell r="H1489">
            <v>0</v>
          </cell>
          <cell r="I1489" t="e">
            <v>#REF!</v>
          </cell>
          <cell r="J1489"/>
          <cell r="K1489"/>
          <cell r="L1489"/>
          <cell r="M1489"/>
          <cell r="N1489"/>
          <cell r="O1489"/>
          <cell r="P1489"/>
          <cell r="Q1489"/>
          <cell r="R1489"/>
          <cell r="S1489"/>
        </row>
        <row r="1490">
          <cell r="G1490">
            <v>0</v>
          </cell>
          <cell r="H1490">
            <v>0</v>
          </cell>
          <cell r="I1490" t="e">
            <v>#REF!</v>
          </cell>
          <cell r="J1490"/>
          <cell r="K1490"/>
          <cell r="L1490"/>
          <cell r="M1490"/>
          <cell r="N1490"/>
          <cell r="O1490"/>
          <cell r="P1490"/>
          <cell r="Q1490"/>
          <cell r="R1490"/>
          <cell r="S1490"/>
        </row>
        <row r="1491">
          <cell r="G1491">
            <v>0</v>
          </cell>
          <cell r="H1491">
            <v>0</v>
          </cell>
          <cell r="I1491" t="e">
            <v>#REF!</v>
          </cell>
          <cell r="J1491"/>
          <cell r="K1491"/>
          <cell r="L1491"/>
          <cell r="M1491"/>
          <cell r="N1491"/>
          <cell r="O1491"/>
          <cell r="P1491"/>
          <cell r="Q1491"/>
          <cell r="R1491"/>
          <cell r="S1491"/>
        </row>
        <row r="1492">
          <cell r="G1492">
            <v>0</v>
          </cell>
          <cell r="H1492">
            <v>0</v>
          </cell>
          <cell r="I1492" t="e">
            <v>#REF!</v>
          </cell>
          <cell r="J1492"/>
          <cell r="K1492"/>
          <cell r="L1492"/>
          <cell r="M1492"/>
          <cell r="N1492"/>
          <cell r="O1492"/>
          <cell r="P1492"/>
          <cell r="Q1492"/>
          <cell r="R1492"/>
          <cell r="S1492"/>
        </row>
        <row r="1493">
          <cell r="G1493">
            <v>0</v>
          </cell>
          <cell r="H1493">
            <v>0</v>
          </cell>
          <cell r="I1493" t="e">
            <v>#REF!</v>
          </cell>
          <cell r="J1493"/>
          <cell r="K1493"/>
          <cell r="L1493"/>
          <cell r="M1493"/>
          <cell r="N1493"/>
          <cell r="O1493"/>
          <cell r="P1493"/>
          <cell r="Q1493"/>
          <cell r="R1493"/>
          <cell r="S1493"/>
        </row>
        <row r="1494">
          <cell r="G1494">
            <v>0</v>
          </cell>
          <cell r="H1494">
            <v>0</v>
          </cell>
          <cell r="I1494" t="e">
            <v>#REF!</v>
          </cell>
          <cell r="J1494"/>
          <cell r="K1494"/>
          <cell r="L1494"/>
          <cell r="M1494"/>
          <cell r="N1494"/>
          <cell r="O1494"/>
          <cell r="P1494"/>
          <cell r="Q1494"/>
          <cell r="R1494"/>
          <cell r="S1494"/>
        </row>
        <row r="1495">
          <cell r="G1495">
            <v>0</v>
          </cell>
          <cell r="H1495">
            <v>0</v>
          </cell>
          <cell r="I1495" t="e">
            <v>#REF!</v>
          </cell>
          <cell r="J1495"/>
          <cell r="K1495"/>
          <cell r="L1495"/>
          <cell r="M1495"/>
          <cell r="N1495"/>
          <cell r="O1495"/>
          <cell r="P1495"/>
          <cell r="Q1495"/>
          <cell r="R1495"/>
          <cell r="S1495"/>
        </row>
        <row r="1496">
          <cell r="G1496">
            <v>0</v>
          </cell>
          <cell r="H1496">
            <v>0</v>
          </cell>
          <cell r="I1496" t="e">
            <v>#REF!</v>
          </cell>
          <cell r="J1496"/>
          <cell r="K1496"/>
          <cell r="L1496"/>
          <cell r="M1496"/>
          <cell r="N1496"/>
          <cell r="O1496"/>
          <cell r="P1496"/>
          <cell r="Q1496"/>
          <cell r="R1496"/>
          <cell r="S1496"/>
        </row>
        <row r="1497">
          <cell r="G1497">
            <v>0</v>
          </cell>
          <cell r="H1497">
            <v>0</v>
          </cell>
          <cell r="I1497" t="e">
            <v>#REF!</v>
          </cell>
          <cell r="J1497"/>
          <cell r="K1497"/>
          <cell r="L1497"/>
          <cell r="M1497"/>
          <cell r="N1497"/>
          <cell r="O1497"/>
          <cell r="P1497"/>
          <cell r="Q1497"/>
          <cell r="R1497"/>
          <cell r="S1497"/>
        </row>
        <row r="1498">
          <cell r="G1498">
            <v>0</v>
          </cell>
          <cell r="H1498">
            <v>0</v>
          </cell>
          <cell r="I1498" t="e">
            <v>#REF!</v>
          </cell>
          <cell r="J1498"/>
          <cell r="K1498"/>
          <cell r="L1498"/>
          <cell r="M1498"/>
          <cell r="N1498"/>
          <cell r="O1498"/>
          <cell r="P1498"/>
          <cell r="Q1498"/>
          <cell r="R1498"/>
          <cell r="S1498"/>
        </row>
        <row r="1499">
          <cell r="G1499">
            <v>0</v>
          </cell>
          <cell r="H1499">
            <v>0</v>
          </cell>
          <cell r="I1499" t="e">
            <v>#REF!</v>
          </cell>
          <cell r="J1499"/>
          <cell r="K1499"/>
          <cell r="L1499"/>
          <cell r="M1499"/>
          <cell r="N1499"/>
          <cell r="O1499"/>
          <cell r="P1499"/>
          <cell r="Q1499"/>
          <cell r="R1499"/>
          <cell r="S1499"/>
        </row>
        <row r="1500">
          <cell r="G1500">
            <v>0</v>
          </cell>
          <cell r="H1500">
            <v>0</v>
          </cell>
          <cell r="I1500" t="e">
            <v>#REF!</v>
          </cell>
          <cell r="J1500"/>
          <cell r="K1500"/>
          <cell r="L1500"/>
          <cell r="M1500"/>
          <cell r="N1500"/>
          <cell r="O1500"/>
          <cell r="P1500"/>
          <cell r="Q1500"/>
          <cell r="R1500"/>
          <cell r="S1500"/>
        </row>
        <row r="1501">
          <cell r="G1501">
            <v>0</v>
          </cell>
          <cell r="H1501">
            <v>0</v>
          </cell>
          <cell r="I1501" t="e">
            <v>#REF!</v>
          </cell>
          <cell r="J1501"/>
          <cell r="K1501"/>
          <cell r="L1501"/>
          <cell r="M1501"/>
          <cell r="N1501"/>
          <cell r="O1501"/>
          <cell r="P1501"/>
          <cell r="Q1501"/>
          <cell r="R1501"/>
          <cell r="S1501"/>
        </row>
        <row r="1502">
          <cell r="G1502">
            <v>0</v>
          </cell>
          <cell r="H1502">
            <v>0</v>
          </cell>
          <cell r="I1502" t="e">
            <v>#REF!</v>
          </cell>
          <cell r="J1502"/>
          <cell r="K1502"/>
          <cell r="L1502"/>
          <cell r="M1502"/>
          <cell r="N1502"/>
          <cell r="O1502"/>
          <cell r="P1502"/>
          <cell r="Q1502"/>
          <cell r="R1502"/>
          <cell r="S1502"/>
        </row>
        <row r="1503">
          <cell r="G1503">
            <v>0</v>
          </cell>
          <cell r="H1503">
            <v>0</v>
          </cell>
          <cell r="I1503" t="e">
            <v>#REF!</v>
          </cell>
          <cell r="J1503"/>
          <cell r="K1503"/>
          <cell r="L1503"/>
          <cell r="M1503"/>
          <cell r="N1503"/>
          <cell r="O1503"/>
          <cell r="P1503"/>
          <cell r="Q1503"/>
          <cell r="R1503"/>
          <cell r="S1503"/>
        </row>
        <row r="1504">
          <cell r="G1504">
            <v>0</v>
          </cell>
          <cell r="H1504">
            <v>0</v>
          </cell>
          <cell r="I1504" t="e">
            <v>#REF!</v>
          </cell>
          <cell r="J1504"/>
          <cell r="K1504"/>
          <cell r="L1504"/>
          <cell r="M1504"/>
          <cell r="N1504"/>
          <cell r="O1504"/>
          <cell r="P1504"/>
          <cell r="Q1504"/>
          <cell r="R1504"/>
          <cell r="S1504"/>
        </row>
        <row r="1505">
          <cell r="G1505">
            <v>0</v>
          </cell>
          <cell r="H1505">
            <v>0</v>
          </cell>
          <cell r="I1505" t="e">
            <v>#REF!</v>
          </cell>
          <cell r="J1505"/>
          <cell r="K1505"/>
          <cell r="L1505"/>
          <cell r="M1505"/>
          <cell r="N1505"/>
          <cell r="O1505"/>
          <cell r="P1505"/>
          <cell r="Q1505"/>
          <cell r="R1505"/>
          <cell r="S1505"/>
        </row>
        <row r="1506">
          <cell r="G1506">
            <v>0</v>
          </cell>
          <cell r="H1506">
            <v>0</v>
          </cell>
          <cell r="I1506" t="e">
            <v>#REF!</v>
          </cell>
          <cell r="J1506"/>
          <cell r="K1506"/>
          <cell r="L1506"/>
          <cell r="M1506"/>
          <cell r="N1506"/>
          <cell r="O1506"/>
          <cell r="P1506"/>
          <cell r="Q1506"/>
          <cell r="R1506"/>
          <cell r="S1506"/>
        </row>
        <row r="1507">
          <cell r="G1507">
            <v>0</v>
          </cell>
          <cell r="H1507">
            <v>0</v>
          </cell>
          <cell r="I1507" t="e">
            <v>#REF!</v>
          </cell>
          <cell r="J1507"/>
          <cell r="K1507"/>
          <cell r="L1507"/>
          <cell r="M1507"/>
          <cell r="N1507"/>
          <cell r="O1507"/>
          <cell r="P1507"/>
          <cell r="Q1507"/>
          <cell r="R1507"/>
          <cell r="S1507"/>
        </row>
        <row r="1508">
          <cell r="G1508">
            <v>0</v>
          </cell>
          <cell r="H1508">
            <v>0</v>
          </cell>
          <cell r="I1508" t="e">
            <v>#REF!</v>
          </cell>
          <cell r="J1508"/>
          <cell r="K1508"/>
          <cell r="L1508"/>
          <cell r="M1508"/>
          <cell r="N1508"/>
          <cell r="O1508"/>
          <cell r="P1508"/>
          <cell r="Q1508"/>
          <cell r="R1508"/>
          <cell r="S1508"/>
        </row>
        <row r="1509">
          <cell r="G1509">
            <v>0</v>
          </cell>
          <cell r="H1509">
            <v>0</v>
          </cell>
          <cell r="I1509" t="e">
            <v>#REF!</v>
          </cell>
          <cell r="J1509"/>
          <cell r="K1509"/>
          <cell r="L1509"/>
          <cell r="M1509"/>
          <cell r="N1509"/>
          <cell r="O1509"/>
          <cell r="P1509"/>
          <cell r="Q1509"/>
          <cell r="R1509"/>
          <cell r="S1509"/>
        </row>
        <row r="1510">
          <cell r="G1510">
            <v>0</v>
          </cell>
          <cell r="H1510">
            <v>0</v>
          </cell>
          <cell r="I1510" t="e">
            <v>#REF!</v>
          </cell>
          <cell r="J1510"/>
          <cell r="K1510"/>
          <cell r="L1510"/>
          <cell r="M1510"/>
          <cell r="N1510"/>
          <cell r="O1510"/>
          <cell r="P1510"/>
          <cell r="Q1510"/>
          <cell r="R1510"/>
          <cell r="S1510"/>
        </row>
        <row r="1511">
          <cell r="G1511">
            <v>0</v>
          </cell>
          <cell r="H1511">
            <v>0</v>
          </cell>
          <cell r="I1511" t="e">
            <v>#REF!</v>
          </cell>
          <cell r="J1511"/>
          <cell r="K1511"/>
          <cell r="L1511"/>
          <cell r="M1511"/>
          <cell r="N1511"/>
          <cell r="O1511"/>
          <cell r="P1511"/>
          <cell r="Q1511"/>
          <cell r="R1511"/>
          <cell r="S1511"/>
        </row>
        <row r="1512">
          <cell r="G1512">
            <v>0</v>
          </cell>
          <cell r="H1512">
            <v>0</v>
          </cell>
          <cell r="I1512" t="e">
            <v>#REF!</v>
          </cell>
          <cell r="J1512"/>
          <cell r="K1512"/>
          <cell r="L1512"/>
          <cell r="M1512"/>
          <cell r="N1512"/>
          <cell r="O1512"/>
          <cell r="P1512"/>
          <cell r="Q1512"/>
          <cell r="R1512"/>
          <cell r="S1512"/>
        </row>
        <row r="1513">
          <cell r="G1513">
            <v>0</v>
          </cell>
          <cell r="H1513">
            <v>0</v>
          </cell>
          <cell r="I1513" t="e">
            <v>#REF!</v>
          </cell>
          <cell r="J1513"/>
          <cell r="K1513"/>
          <cell r="L1513"/>
          <cell r="M1513"/>
          <cell r="N1513"/>
          <cell r="O1513"/>
          <cell r="P1513"/>
          <cell r="Q1513"/>
          <cell r="R1513"/>
          <cell r="S1513"/>
        </row>
        <row r="1514">
          <cell r="G1514">
            <v>0</v>
          </cell>
          <cell r="H1514">
            <v>0</v>
          </cell>
          <cell r="I1514" t="e">
            <v>#REF!</v>
          </cell>
          <cell r="J1514"/>
          <cell r="K1514"/>
          <cell r="L1514"/>
          <cell r="M1514"/>
          <cell r="N1514"/>
          <cell r="O1514"/>
          <cell r="P1514"/>
          <cell r="Q1514"/>
          <cell r="R1514"/>
          <cell r="S1514"/>
        </row>
        <row r="1515">
          <cell r="G1515">
            <v>0</v>
          </cell>
          <cell r="H1515">
            <v>0</v>
          </cell>
          <cell r="I1515" t="e">
            <v>#REF!</v>
          </cell>
          <cell r="J1515"/>
          <cell r="K1515"/>
          <cell r="L1515"/>
          <cell r="M1515"/>
          <cell r="N1515"/>
          <cell r="O1515"/>
          <cell r="P1515"/>
          <cell r="Q1515"/>
          <cell r="R1515"/>
          <cell r="S1515"/>
        </row>
        <row r="1516">
          <cell r="G1516">
            <v>0</v>
          </cell>
          <cell r="H1516">
            <v>0</v>
          </cell>
          <cell r="I1516" t="e">
            <v>#REF!</v>
          </cell>
          <cell r="J1516"/>
          <cell r="K1516"/>
          <cell r="L1516"/>
          <cell r="M1516"/>
          <cell r="N1516"/>
          <cell r="O1516"/>
          <cell r="P1516"/>
          <cell r="Q1516"/>
          <cell r="R1516"/>
          <cell r="S1516"/>
        </row>
        <row r="1517">
          <cell r="G1517">
            <v>0</v>
          </cell>
          <cell r="H1517">
            <v>0</v>
          </cell>
          <cell r="I1517" t="e">
            <v>#REF!</v>
          </cell>
          <cell r="J1517"/>
          <cell r="K1517"/>
          <cell r="L1517"/>
          <cell r="M1517"/>
          <cell r="N1517"/>
          <cell r="O1517"/>
          <cell r="P1517"/>
          <cell r="Q1517"/>
          <cell r="R1517"/>
          <cell r="S1517"/>
        </row>
        <row r="1518">
          <cell r="G1518">
            <v>0</v>
          </cell>
          <cell r="H1518">
            <v>0</v>
          </cell>
          <cell r="I1518" t="e">
            <v>#REF!</v>
          </cell>
          <cell r="J1518"/>
          <cell r="K1518"/>
          <cell r="L1518"/>
          <cell r="M1518"/>
          <cell r="N1518"/>
          <cell r="O1518"/>
          <cell r="P1518"/>
          <cell r="Q1518"/>
          <cell r="R1518"/>
          <cell r="S1518"/>
        </row>
        <row r="1519">
          <cell r="G1519">
            <v>0</v>
          </cell>
          <cell r="H1519">
            <v>0</v>
          </cell>
          <cell r="I1519" t="e">
            <v>#REF!</v>
          </cell>
          <cell r="J1519"/>
          <cell r="K1519"/>
          <cell r="L1519"/>
          <cell r="M1519"/>
          <cell r="N1519"/>
          <cell r="O1519"/>
          <cell r="P1519"/>
          <cell r="Q1519"/>
          <cell r="R1519"/>
          <cell r="S1519"/>
        </row>
        <row r="1520">
          <cell r="G1520">
            <v>0</v>
          </cell>
          <cell r="H1520">
            <v>0</v>
          </cell>
          <cell r="I1520" t="e">
            <v>#REF!</v>
          </cell>
          <cell r="J1520"/>
          <cell r="K1520"/>
          <cell r="L1520"/>
          <cell r="M1520"/>
          <cell r="N1520"/>
          <cell r="O1520"/>
          <cell r="P1520"/>
          <cell r="Q1520"/>
          <cell r="R1520"/>
          <cell r="S1520"/>
        </row>
        <row r="1521">
          <cell r="G1521">
            <v>0</v>
          </cell>
          <cell r="H1521">
            <v>0</v>
          </cell>
          <cell r="I1521" t="e">
            <v>#REF!</v>
          </cell>
          <cell r="J1521"/>
          <cell r="K1521"/>
          <cell r="L1521"/>
          <cell r="M1521"/>
          <cell r="N1521"/>
          <cell r="O1521"/>
          <cell r="P1521"/>
          <cell r="Q1521"/>
          <cell r="R1521"/>
          <cell r="S1521"/>
        </row>
        <row r="1522">
          <cell r="G1522">
            <v>0</v>
          </cell>
          <cell r="H1522">
            <v>0</v>
          </cell>
          <cell r="I1522" t="e">
            <v>#REF!</v>
          </cell>
          <cell r="J1522"/>
          <cell r="K1522"/>
          <cell r="L1522"/>
          <cell r="M1522"/>
          <cell r="N1522"/>
          <cell r="O1522"/>
          <cell r="P1522"/>
          <cell r="Q1522"/>
          <cell r="R1522"/>
          <cell r="S1522"/>
        </row>
        <row r="1523">
          <cell r="G1523">
            <v>0</v>
          </cell>
          <cell r="H1523">
            <v>0</v>
          </cell>
          <cell r="I1523" t="e">
            <v>#REF!</v>
          </cell>
          <cell r="J1523"/>
          <cell r="K1523"/>
          <cell r="L1523"/>
          <cell r="M1523"/>
          <cell r="N1523"/>
          <cell r="O1523"/>
          <cell r="P1523"/>
          <cell r="Q1523"/>
          <cell r="R1523"/>
          <cell r="S1523"/>
        </row>
        <row r="1524">
          <cell r="G1524">
            <v>0</v>
          </cell>
          <cell r="H1524">
            <v>0</v>
          </cell>
          <cell r="I1524" t="e">
            <v>#REF!</v>
          </cell>
          <cell r="J1524"/>
          <cell r="K1524"/>
          <cell r="L1524"/>
          <cell r="M1524"/>
          <cell r="N1524"/>
          <cell r="O1524"/>
          <cell r="P1524"/>
          <cell r="Q1524"/>
          <cell r="R1524"/>
          <cell r="S1524"/>
        </row>
        <row r="1525">
          <cell r="G1525">
            <v>0</v>
          </cell>
          <cell r="H1525">
            <v>0</v>
          </cell>
          <cell r="I1525" t="e">
            <v>#REF!</v>
          </cell>
          <cell r="J1525"/>
          <cell r="K1525"/>
          <cell r="L1525"/>
          <cell r="M1525"/>
          <cell r="N1525"/>
          <cell r="O1525"/>
          <cell r="P1525"/>
          <cell r="Q1525"/>
          <cell r="R1525"/>
          <cell r="S1525"/>
        </row>
        <row r="1526">
          <cell r="G1526">
            <v>0</v>
          </cell>
          <cell r="H1526">
            <v>0</v>
          </cell>
          <cell r="I1526" t="e">
            <v>#REF!</v>
          </cell>
          <cell r="J1526"/>
          <cell r="K1526"/>
          <cell r="L1526"/>
          <cell r="M1526"/>
          <cell r="N1526"/>
          <cell r="O1526"/>
          <cell r="P1526"/>
          <cell r="Q1526"/>
          <cell r="R1526"/>
          <cell r="S1526"/>
        </row>
        <row r="1527">
          <cell r="G1527">
            <v>0</v>
          </cell>
          <cell r="H1527">
            <v>0</v>
          </cell>
          <cell r="I1527" t="e">
            <v>#REF!</v>
          </cell>
          <cell r="J1527"/>
          <cell r="K1527"/>
          <cell r="L1527"/>
          <cell r="M1527"/>
          <cell r="N1527"/>
          <cell r="O1527"/>
          <cell r="P1527"/>
          <cell r="Q1527"/>
          <cell r="R1527"/>
          <cell r="S1527"/>
        </row>
        <row r="1528">
          <cell r="G1528">
            <v>0</v>
          </cell>
          <cell r="H1528">
            <v>0</v>
          </cell>
          <cell r="I1528" t="e">
            <v>#REF!</v>
          </cell>
          <cell r="J1528"/>
          <cell r="K1528"/>
          <cell r="L1528"/>
          <cell r="M1528"/>
          <cell r="N1528"/>
          <cell r="O1528"/>
          <cell r="P1528"/>
          <cell r="Q1528"/>
          <cell r="R1528"/>
          <cell r="S1528"/>
        </row>
        <row r="1529">
          <cell r="G1529">
            <v>0</v>
          </cell>
          <cell r="H1529">
            <v>0</v>
          </cell>
          <cell r="I1529" t="e">
            <v>#REF!</v>
          </cell>
          <cell r="J1529"/>
          <cell r="K1529"/>
          <cell r="L1529"/>
          <cell r="M1529"/>
          <cell r="N1529"/>
          <cell r="O1529"/>
          <cell r="P1529"/>
          <cell r="Q1529"/>
          <cell r="R1529"/>
          <cell r="S1529"/>
        </row>
        <row r="1530">
          <cell r="G1530">
            <v>0</v>
          </cell>
          <cell r="H1530">
            <v>0</v>
          </cell>
          <cell r="I1530" t="e">
            <v>#REF!</v>
          </cell>
          <cell r="J1530"/>
          <cell r="K1530"/>
          <cell r="L1530"/>
          <cell r="M1530"/>
          <cell r="N1530"/>
          <cell r="O1530"/>
          <cell r="P1530"/>
          <cell r="Q1530"/>
          <cell r="R1530"/>
          <cell r="S1530"/>
        </row>
        <row r="1531">
          <cell r="G1531">
            <v>0</v>
          </cell>
          <cell r="H1531">
            <v>0</v>
          </cell>
          <cell r="I1531" t="e">
            <v>#REF!</v>
          </cell>
          <cell r="J1531"/>
          <cell r="K1531"/>
          <cell r="L1531"/>
          <cell r="M1531"/>
          <cell r="N1531"/>
          <cell r="O1531"/>
          <cell r="P1531"/>
          <cell r="Q1531"/>
          <cell r="R1531"/>
          <cell r="S1531"/>
        </row>
        <row r="1532">
          <cell r="G1532">
            <v>0</v>
          </cell>
          <cell r="H1532">
            <v>0</v>
          </cell>
          <cell r="I1532" t="e">
            <v>#REF!</v>
          </cell>
          <cell r="J1532"/>
          <cell r="K1532"/>
          <cell r="L1532"/>
          <cell r="M1532"/>
          <cell r="N1532"/>
          <cell r="O1532"/>
          <cell r="P1532"/>
          <cell r="Q1532"/>
          <cell r="R1532"/>
          <cell r="S1532"/>
        </row>
        <row r="1533">
          <cell r="G1533">
            <v>0</v>
          </cell>
          <cell r="H1533">
            <v>0</v>
          </cell>
          <cell r="I1533" t="e">
            <v>#REF!</v>
          </cell>
          <cell r="J1533"/>
          <cell r="K1533"/>
          <cell r="L1533"/>
          <cell r="M1533"/>
          <cell r="N1533"/>
          <cell r="O1533"/>
          <cell r="P1533"/>
          <cell r="Q1533"/>
          <cell r="R1533"/>
          <cell r="S1533"/>
        </row>
        <row r="1534">
          <cell r="G1534">
            <v>0</v>
          </cell>
          <cell r="H1534">
            <v>0</v>
          </cell>
          <cell r="I1534" t="e">
            <v>#REF!</v>
          </cell>
          <cell r="J1534"/>
          <cell r="K1534"/>
          <cell r="L1534"/>
          <cell r="M1534"/>
          <cell r="N1534"/>
          <cell r="O1534"/>
          <cell r="P1534"/>
          <cell r="Q1534"/>
          <cell r="R1534"/>
          <cell r="S1534"/>
        </row>
        <row r="1535">
          <cell r="G1535">
            <v>0</v>
          </cell>
          <cell r="H1535">
            <v>0</v>
          </cell>
          <cell r="I1535" t="e">
            <v>#REF!</v>
          </cell>
          <cell r="J1535"/>
          <cell r="K1535"/>
          <cell r="L1535"/>
          <cell r="M1535"/>
          <cell r="N1535"/>
          <cell r="O1535"/>
          <cell r="P1535"/>
          <cell r="Q1535"/>
          <cell r="R1535"/>
          <cell r="S1535"/>
        </row>
        <row r="1536">
          <cell r="G1536">
            <v>0</v>
          </cell>
          <cell r="H1536">
            <v>0</v>
          </cell>
          <cell r="I1536" t="e">
            <v>#REF!</v>
          </cell>
          <cell r="J1536"/>
          <cell r="K1536"/>
          <cell r="L1536"/>
          <cell r="M1536"/>
          <cell r="N1536"/>
          <cell r="O1536"/>
          <cell r="P1536"/>
          <cell r="Q1536"/>
          <cell r="R1536"/>
          <cell r="S1536"/>
        </row>
        <row r="1537">
          <cell r="G1537">
            <v>0</v>
          </cell>
          <cell r="H1537">
            <v>0</v>
          </cell>
          <cell r="I1537" t="e">
            <v>#REF!</v>
          </cell>
          <cell r="J1537"/>
          <cell r="K1537"/>
          <cell r="L1537"/>
          <cell r="M1537"/>
          <cell r="N1537"/>
          <cell r="O1537"/>
          <cell r="P1537"/>
          <cell r="Q1537"/>
          <cell r="R1537"/>
          <cell r="S1537"/>
        </row>
        <row r="1538">
          <cell r="G1538">
            <v>0</v>
          </cell>
          <cell r="H1538">
            <v>0</v>
          </cell>
          <cell r="I1538" t="e">
            <v>#REF!</v>
          </cell>
          <cell r="J1538"/>
          <cell r="K1538"/>
          <cell r="L1538"/>
          <cell r="M1538"/>
          <cell r="N1538"/>
          <cell r="O1538"/>
          <cell r="P1538"/>
          <cell r="Q1538"/>
          <cell r="R1538"/>
          <cell r="S1538"/>
        </row>
        <row r="1539">
          <cell r="G1539">
            <v>0</v>
          </cell>
          <cell r="H1539">
            <v>0</v>
          </cell>
          <cell r="I1539" t="e">
            <v>#REF!</v>
          </cell>
          <cell r="J1539"/>
          <cell r="K1539"/>
          <cell r="L1539"/>
          <cell r="M1539"/>
          <cell r="N1539"/>
          <cell r="O1539"/>
          <cell r="P1539"/>
          <cell r="Q1539"/>
          <cell r="R1539"/>
          <cell r="S1539"/>
        </row>
        <row r="1540">
          <cell r="G1540">
            <v>0</v>
          </cell>
          <cell r="H1540">
            <v>0</v>
          </cell>
          <cell r="I1540" t="e">
            <v>#REF!</v>
          </cell>
          <cell r="J1540"/>
          <cell r="K1540"/>
          <cell r="L1540"/>
          <cell r="M1540"/>
          <cell r="N1540"/>
          <cell r="O1540"/>
          <cell r="P1540"/>
          <cell r="Q1540"/>
          <cell r="R1540"/>
          <cell r="S1540"/>
        </row>
        <row r="1541">
          <cell r="G1541">
            <v>0</v>
          </cell>
          <cell r="H1541">
            <v>0</v>
          </cell>
          <cell r="I1541" t="e">
            <v>#REF!</v>
          </cell>
          <cell r="J1541"/>
          <cell r="K1541"/>
          <cell r="L1541"/>
          <cell r="M1541"/>
          <cell r="N1541"/>
          <cell r="O1541"/>
          <cell r="P1541"/>
          <cell r="Q1541"/>
          <cell r="R1541"/>
          <cell r="S1541"/>
        </row>
        <row r="1542">
          <cell r="G1542">
            <v>0</v>
          </cell>
          <cell r="H1542">
            <v>0</v>
          </cell>
          <cell r="I1542" t="e">
            <v>#REF!</v>
          </cell>
          <cell r="J1542"/>
          <cell r="K1542"/>
          <cell r="L1542"/>
          <cell r="M1542"/>
          <cell r="N1542"/>
          <cell r="O1542"/>
          <cell r="P1542"/>
          <cell r="Q1542"/>
          <cell r="R1542"/>
          <cell r="S1542"/>
        </row>
        <row r="1543">
          <cell r="G1543">
            <v>0</v>
          </cell>
          <cell r="H1543">
            <v>0</v>
          </cell>
          <cell r="I1543" t="e">
            <v>#REF!</v>
          </cell>
          <cell r="J1543"/>
          <cell r="K1543"/>
          <cell r="L1543"/>
          <cell r="M1543"/>
          <cell r="N1543"/>
          <cell r="O1543"/>
          <cell r="P1543"/>
          <cell r="Q1543"/>
          <cell r="R1543"/>
          <cell r="S1543"/>
        </row>
        <row r="1544">
          <cell r="G1544">
            <v>0</v>
          </cell>
          <cell r="H1544">
            <v>0</v>
          </cell>
          <cell r="I1544" t="e">
            <v>#REF!</v>
          </cell>
          <cell r="J1544"/>
          <cell r="K1544"/>
          <cell r="L1544"/>
          <cell r="M1544"/>
          <cell r="N1544"/>
          <cell r="O1544"/>
          <cell r="P1544"/>
          <cell r="Q1544"/>
          <cell r="R1544"/>
          <cell r="S1544"/>
        </row>
        <row r="1545">
          <cell r="G1545">
            <v>0</v>
          </cell>
          <cell r="H1545">
            <v>0</v>
          </cell>
          <cell r="I1545" t="e">
            <v>#REF!</v>
          </cell>
          <cell r="J1545"/>
          <cell r="K1545"/>
          <cell r="L1545"/>
          <cell r="M1545"/>
          <cell r="N1545"/>
          <cell r="O1545"/>
          <cell r="P1545"/>
          <cell r="Q1545"/>
          <cell r="R1545"/>
          <cell r="S1545"/>
        </row>
        <row r="1546">
          <cell r="G1546">
            <v>0</v>
          </cell>
          <cell r="H1546">
            <v>0</v>
          </cell>
          <cell r="I1546" t="e">
            <v>#REF!</v>
          </cell>
          <cell r="J1546"/>
          <cell r="K1546"/>
          <cell r="L1546"/>
          <cell r="M1546"/>
          <cell r="N1546"/>
          <cell r="O1546"/>
          <cell r="P1546"/>
          <cell r="Q1546"/>
          <cell r="R1546"/>
          <cell r="S1546"/>
        </row>
        <row r="1547">
          <cell r="G1547">
            <v>0</v>
          </cell>
          <cell r="H1547">
            <v>0</v>
          </cell>
          <cell r="I1547" t="e">
            <v>#REF!</v>
          </cell>
          <cell r="J1547"/>
          <cell r="K1547"/>
          <cell r="L1547"/>
          <cell r="M1547"/>
          <cell r="N1547"/>
          <cell r="O1547"/>
          <cell r="P1547"/>
          <cell r="Q1547"/>
          <cell r="R1547"/>
          <cell r="S1547"/>
        </row>
        <row r="1548">
          <cell r="G1548">
            <v>0</v>
          </cell>
          <cell r="H1548">
            <v>0</v>
          </cell>
          <cell r="I1548" t="e">
            <v>#REF!</v>
          </cell>
          <cell r="J1548"/>
          <cell r="K1548"/>
          <cell r="L1548"/>
          <cell r="M1548"/>
          <cell r="N1548"/>
          <cell r="O1548"/>
          <cell r="P1548"/>
          <cell r="Q1548"/>
          <cell r="R1548"/>
          <cell r="S1548"/>
        </row>
        <row r="1549">
          <cell r="G1549">
            <v>0</v>
          </cell>
          <cell r="H1549">
            <v>0</v>
          </cell>
          <cell r="I1549" t="e">
            <v>#REF!</v>
          </cell>
          <cell r="J1549"/>
          <cell r="K1549"/>
          <cell r="L1549"/>
          <cell r="M1549"/>
          <cell r="N1549"/>
          <cell r="O1549"/>
          <cell r="P1549"/>
          <cell r="Q1549"/>
          <cell r="R1549"/>
          <cell r="S1549"/>
        </row>
        <row r="1550">
          <cell r="G1550">
            <v>0</v>
          </cell>
          <cell r="H1550">
            <v>0</v>
          </cell>
          <cell r="I1550" t="e">
            <v>#REF!</v>
          </cell>
          <cell r="J1550"/>
          <cell r="K1550"/>
          <cell r="L1550"/>
          <cell r="M1550"/>
          <cell r="N1550"/>
          <cell r="O1550"/>
          <cell r="P1550"/>
          <cell r="Q1550"/>
          <cell r="R1550"/>
          <cell r="S1550"/>
        </row>
        <row r="1551">
          <cell r="G1551">
            <v>0</v>
          </cell>
          <cell r="H1551">
            <v>0</v>
          </cell>
          <cell r="I1551" t="e">
            <v>#REF!</v>
          </cell>
          <cell r="J1551"/>
          <cell r="K1551"/>
          <cell r="L1551"/>
          <cell r="M1551"/>
          <cell r="N1551"/>
          <cell r="O1551"/>
          <cell r="P1551"/>
          <cell r="Q1551"/>
          <cell r="R1551"/>
          <cell r="S1551"/>
        </row>
        <row r="1552">
          <cell r="G1552">
            <v>0</v>
          </cell>
          <cell r="H1552">
            <v>0</v>
          </cell>
          <cell r="I1552" t="e">
            <v>#REF!</v>
          </cell>
          <cell r="J1552"/>
          <cell r="K1552"/>
          <cell r="L1552"/>
          <cell r="M1552"/>
          <cell r="N1552"/>
          <cell r="O1552"/>
          <cell r="P1552"/>
          <cell r="Q1552"/>
          <cell r="R1552"/>
          <cell r="S1552"/>
        </row>
        <row r="1553">
          <cell r="G1553">
            <v>0</v>
          </cell>
          <cell r="H1553">
            <v>0</v>
          </cell>
          <cell r="I1553" t="e">
            <v>#REF!</v>
          </cell>
          <cell r="J1553"/>
          <cell r="K1553"/>
          <cell r="L1553"/>
          <cell r="M1553"/>
          <cell r="N1553"/>
          <cell r="O1553"/>
          <cell r="P1553"/>
          <cell r="Q1553"/>
          <cell r="R1553"/>
          <cell r="S1553"/>
        </row>
        <row r="1554">
          <cell r="G1554">
            <v>0</v>
          </cell>
          <cell r="H1554">
            <v>0</v>
          </cell>
          <cell r="I1554" t="e">
            <v>#REF!</v>
          </cell>
          <cell r="J1554"/>
          <cell r="K1554"/>
          <cell r="L1554"/>
          <cell r="M1554"/>
          <cell r="N1554"/>
          <cell r="O1554"/>
          <cell r="P1554"/>
          <cell r="Q1554"/>
          <cell r="R1554"/>
          <cell r="S1554"/>
        </row>
        <row r="1555">
          <cell r="G1555">
            <v>0</v>
          </cell>
          <cell r="H1555">
            <v>0</v>
          </cell>
          <cell r="I1555" t="e">
            <v>#REF!</v>
          </cell>
          <cell r="J1555"/>
          <cell r="K1555"/>
          <cell r="L1555"/>
          <cell r="M1555"/>
          <cell r="N1555"/>
          <cell r="O1555"/>
          <cell r="P1555"/>
          <cell r="Q1555"/>
          <cell r="R1555"/>
          <cell r="S1555"/>
        </row>
        <row r="1556">
          <cell r="G1556">
            <v>0</v>
          </cell>
          <cell r="H1556">
            <v>0</v>
          </cell>
          <cell r="I1556" t="e">
            <v>#REF!</v>
          </cell>
          <cell r="J1556"/>
          <cell r="K1556"/>
          <cell r="L1556"/>
          <cell r="M1556"/>
          <cell r="N1556"/>
          <cell r="O1556"/>
          <cell r="P1556"/>
          <cell r="Q1556"/>
          <cell r="R1556"/>
          <cell r="S1556"/>
        </row>
        <row r="1557">
          <cell r="G1557">
            <v>0</v>
          </cell>
          <cell r="H1557">
            <v>0</v>
          </cell>
          <cell r="I1557" t="e">
            <v>#REF!</v>
          </cell>
          <cell r="J1557"/>
          <cell r="K1557"/>
          <cell r="L1557"/>
          <cell r="M1557"/>
          <cell r="N1557"/>
          <cell r="O1557"/>
          <cell r="P1557"/>
          <cell r="Q1557"/>
          <cell r="R1557"/>
          <cell r="S1557"/>
        </row>
        <row r="1558">
          <cell r="G1558">
            <v>0</v>
          </cell>
          <cell r="H1558">
            <v>0</v>
          </cell>
          <cell r="I1558" t="e">
            <v>#REF!</v>
          </cell>
          <cell r="J1558"/>
          <cell r="K1558"/>
          <cell r="L1558"/>
          <cell r="M1558"/>
          <cell r="N1558"/>
          <cell r="O1558"/>
          <cell r="P1558"/>
          <cell r="Q1558"/>
          <cell r="R1558"/>
          <cell r="S1558"/>
        </row>
        <row r="1559">
          <cell r="G1559">
            <v>0</v>
          </cell>
          <cell r="H1559">
            <v>0</v>
          </cell>
          <cell r="I1559" t="e">
            <v>#REF!</v>
          </cell>
          <cell r="J1559"/>
          <cell r="K1559"/>
          <cell r="L1559"/>
          <cell r="M1559"/>
          <cell r="N1559"/>
          <cell r="O1559"/>
          <cell r="P1559"/>
          <cell r="Q1559"/>
          <cell r="R1559"/>
          <cell r="S1559"/>
        </row>
        <row r="1560">
          <cell r="G1560">
            <v>0</v>
          </cell>
          <cell r="H1560">
            <v>0</v>
          </cell>
          <cell r="I1560" t="e">
            <v>#REF!</v>
          </cell>
          <cell r="J1560"/>
          <cell r="K1560"/>
          <cell r="L1560"/>
          <cell r="M1560"/>
          <cell r="N1560"/>
          <cell r="O1560"/>
          <cell r="P1560"/>
          <cell r="Q1560"/>
          <cell r="R1560"/>
          <cell r="S1560"/>
        </row>
        <row r="1561">
          <cell r="G1561">
            <v>0</v>
          </cell>
          <cell r="H1561">
            <v>0</v>
          </cell>
          <cell r="I1561" t="e">
            <v>#REF!</v>
          </cell>
          <cell r="J1561"/>
          <cell r="K1561"/>
          <cell r="L1561"/>
          <cell r="M1561"/>
          <cell r="N1561"/>
          <cell r="O1561"/>
          <cell r="P1561"/>
          <cell r="Q1561"/>
          <cell r="R1561"/>
          <cell r="S1561"/>
        </row>
        <row r="1562">
          <cell r="G1562">
            <v>0</v>
          </cell>
          <cell r="H1562">
            <v>0</v>
          </cell>
          <cell r="I1562" t="e">
            <v>#REF!</v>
          </cell>
          <cell r="J1562"/>
          <cell r="K1562"/>
          <cell r="L1562"/>
          <cell r="M1562"/>
          <cell r="N1562"/>
          <cell r="O1562"/>
          <cell r="P1562"/>
          <cell r="Q1562"/>
          <cell r="R1562"/>
          <cell r="S1562"/>
        </row>
        <row r="1563">
          <cell r="G1563">
            <v>0</v>
          </cell>
          <cell r="H1563">
            <v>0</v>
          </cell>
          <cell r="I1563" t="e">
            <v>#REF!</v>
          </cell>
          <cell r="J1563"/>
          <cell r="K1563"/>
          <cell r="L1563"/>
          <cell r="M1563"/>
          <cell r="N1563"/>
          <cell r="O1563"/>
          <cell r="P1563"/>
          <cell r="Q1563"/>
          <cell r="R1563"/>
          <cell r="S1563"/>
        </row>
        <row r="1564">
          <cell r="G1564">
            <v>0</v>
          </cell>
          <cell r="H1564">
            <v>0</v>
          </cell>
          <cell r="I1564" t="e">
            <v>#REF!</v>
          </cell>
          <cell r="J1564"/>
          <cell r="K1564"/>
          <cell r="L1564"/>
          <cell r="M1564"/>
          <cell r="N1564"/>
          <cell r="O1564"/>
          <cell r="P1564"/>
          <cell r="Q1564"/>
          <cell r="R1564"/>
          <cell r="S1564"/>
        </row>
        <row r="1565">
          <cell r="G1565">
            <v>0</v>
          </cell>
          <cell r="H1565">
            <v>0</v>
          </cell>
          <cell r="I1565" t="e">
            <v>#REF!</v>
          </cell>
          <cell r="J1565"/>
          <cell r="K1565"/>
          <cell r="L1565"/>
          <cell r="M1565"/>
          <cell r="N1565"/>
          <cell r="O1565"/>
          <cell r="P1565"/>
          <cell r="Q1565"/>
          <cell r="R1565"/>
          <cell r="S1565"/>
        </row>
        <row r="1566">
          <cell r="J1566"/>
          <cell r="K1566"/>
          <cell r="L1566"/>
          <cell r="M1566"/>
          <cell r="N1566"/>
          <cell r="O1566"/>
          <cell r="P1566"/>
          <cell r="Q1566"/>
          <cell r="R1566"/>
          <cell r="S1566"/>
        </row>
        <row r="1567">
          <cell r="J1567"/>
          <cell r="K1567"/>
          <cell r="L1567"/>
          <cell r="M1567"/>
          <cell r="N1567"/>
          <cell r="O1567"/>
          <cell r="P1567"/>
          <cell r="Q1567"/>
          <cell r="R1567"/>
          <cell r="S1567"/>
        </row>
        <row r="1568">
          <cell r="J1568"/>
          <cell r="K1568"/>
          <cell r="L1568"/>
          <cell r="M1568"/>
          <cell r="N1568"/>
          <cell r="O1568"/>
          <cell r="P1568"/>
          <cell r="Q1568"/>
          <cell r="R1568"/>
          <cell r="S1568"/>
        </row>
        <row r="1569">
          <cell r="J1569"/>
          <cell r="K1569"/>
          <cell r="L1569"/>
          <cell r="M1569"/>
          <cell r="N1569"/>
          <cell r="O1569"/>
          <cell r="P1569"/>
          <cell r="Q1569"/>
          <cell r="R1569"/>
          <cell r="S1569"/>
        </row>
        <row r="1570">
          <cell r="J1570"/>
          <cell r="K1570"/>
          <cell r="L1570"/>
          <cell r="M1570"/>
          <cell r="N1570"/>
          <cell r="O1570"/>
          <cell r="P1570"/>
          <cell r="Q1570"/>
          <cell r="R1570"/>
          <cell r="S1570"/>
        </row>
        <row r="1571">
          <cell r="J1571"/>
          <cell r="K1571"/>
          <cell r="L1571"/>
          <cell r="M1571"/>
          <cell r="N1571"/>
          <cell r="O1571"/>
          <cell r="P1571"/>
          <cell r="Q1571"/>
          <cell r="R1571"/>
          <cell r="S1571"/>
        </row>
        <row r="1572">
          <cell r="J1572"/>
          <cell r="K1572"/>
          <cell r="L1572"/>
          <cell r="M1572"/>
          <cell r="N1572"/>
          <cell r="O1572"/>
          <cell r="P1572"/>
          <cell r="Q1572"/>
          <cell r="R1572"/>
          <cell r="S1572"/>
        </row>
        <row r="1573">
          <cell r="J1573"/>
          <cell r="K1573"/>
          <cell r="L1573"/>
          <cell r="M1573"/>
          <cell r="N1573"/>
          <cell r="O1573"/>
          <cell r="P1573"/>
          <cell r="Q1573"/>
          <cell r="R1573"/>
          <cell r="S1573"/>
        </row>
        <row r="1574">
          <cell r="J1574"/>
          <cell r="K1574"/>
          <cell r="L1574"/>
          <cell r="M1574"/>
          <cell r="N1574"/>
          <cell r="O1574"/>
          <cell r="P1574"/>
          <cell r="Q1574"/>
          <cell r="R1574"/>
          <cell r="S1574"/>
        </row>
        <row r="1575">
          <cell r="J1575"/>
          <cell r="K1575"/>
          <cell r="L1575"/>
          <cell r="M1575"/>
          <cell r="N1575"/>
          <cell r="O1575"/>
          <cell r="P1575"/>
          <cell r="Q1575"/>
          <cell r="R1575"/>
          <cell r="S1575"/>
        </row>
        <row r="1576">
          <cell r="J1576"/>
          <cell r="K1576"/>
          <cell r="L1576"/>
          <cell r="M1576"/>
          <cell r="N1576"/>
          <cell r="O1576"/>
          <cell r="P1576"/>
          <cell r="Q1576"/>
          <cell r="R1576"/>
          <cell r="S1576"/>
        </row>
        <row r="1577">
          <cell r="J1577"/>
          <cell r="K1577"/>
          <cell r="L1577"/>
          <cell r="M1577"/>
          <cell r="N1577"/>
          <cell r="O1577"/>
          <cell r="P1577"/>
          <cell r="Q1577"/>
          <cell r="R1577"/>
          <cell r="S1577"/>
        </row>
        <row r="1578">
          <cell r="J1578"/>
          <cell r="K1578"/>
          <cell r="L1578"/>
          <cell r="M1578"/>
          <cell r="N1578"/>
          <cell r="O1578"/>
          <cell r="P1578"/>
          <cell r="Q1578"/>
          <cell r="R1578"/>
          <cell r="S1578"/>
        </row>
        <row r="1579">
          <cell r="J1579"/>
          <cell r="K1579"/>
          <cell r="L1579"/>
          <cell r="M1579"/>
          <cell r="N1579"/>
          <cell r="O1579"/>
          <cell r="P1579"/>
          <cell r="Q1579"/>
          <cell r="R1579"/>
          <cell r="S1579"/>
        </row>
        <row r="1580">
          <cell r="J1580"/>
          <cell r="K1580"/>
          <cell r="L1580"/>
          <cell r="M1580"/>
          <cell r="N1580"/>
          <cell r="O1580"/>
          <cell r="P1580"/>
          <cell r="Q1580"/>
          <cell r="R1580"/>
          <cell r="S1580"/>
        </row>
        <row r="1581">
          <cell r="J1581"/>
          <cell r="K1581"/>
          <cell r="L1581"/>
          <cell r="M1581"/>
          <cell r="N1581"/>
          <cell r="O1581"/>
          <cell r="P1581"/>
          <cell r="Q1581"/>
          <cell r="R1581"/>
          <cell r="S1581"/>
        </row>
        <row r="1582">
          <cell r="J1582"/>
          <cell r="K1582"/>
          <cell r="L1582"/>
          <cell r="M1582"/>
          <cell r="N1582"/>
          <cell r="O1582"/>
          <cell r="P1582"/>
          <cell r="Q1582"/>
          <cell r="R1582"/>
          <cell r="S1582"/>
        </row>
        <row r="1583">
          <cell r="J1583"/>
          <cell r="K1583"/>
          <cell r="L1583"/>
          <cell r="M1583"/>
          <cell r="N1583"/>
          <cell r="O1583"/>
          <cell r="P1583"/>
          <cell r="Q1583"/>
          <cell r="R1583"/>
          <cell r="S1583"/>
        </row>
        <row r="1584">
          <cell r="J1584"/>
          <cell r="K1584"/>
          <cell r="L1584"/>
          <cell r="M1584"/>
          <cell r="N1584"/>
          <cell r="O1584"/>
          <cell r="P1584"/>
          <cell r="Q1584"/>
          <cell r="R1584"/>
          <cell r="S1584"/>
        </row>
        <row r="1585">
          <cell r="J1585"/>
          <cell r="K1585"/>
          <cell r="L1585"/>
          <cell r="M1585"/>
          <cell r="N1585"/>
          <cell r="O1585"/>
          <cell r="P1585"/>
          <cell r="Q1585"/>
          <cell r="R1585"/>
          <cell r="S1585"/>
        </row>
        <row r="1586">
          <cell r="J1586"/>
          <cell r="K1586"/>
          <cell r="L1586"/>
          <cell r="M1586"/>
          <cell r="N1586"/>
          <cell r="O1586"/>
          <cell r="P1586"/>
          <cell r="Q1586"/>
          <cell r="R1586"/>
          <cell r="S1586"/>
        </row>
        <row r="1587">
          <cell r="J1587"/>
          <cell r="K1587"/>
          <cell r="L1587"/>
          <cell r="M1587"/>
          <cell r="N1587"/>
          <cell r="O1587"/>
          <cell r="P1587"/>
          <cell r="Q1587"/>
          <cell r="R1587"/>
          <cell r="S1587"/>
        </row>
        <row r="1588">
          <cell r="J1588"/>
          <cell r="K1588"/>
          <cell r="L1588"/>
          <cell r="M1588"/>
          <cell r="N1588"/>
          <cell r="O1588"/>
          <cell r="P1588"/>
          <cell r="Q1588"/>
          <cell r="R1588"/>
          <cell r="S1588"/>
        </row>
        <row r="1589">
          <cell r="J1589"/>
          <cell r="K1589"/>
          <cell r="L1589"/>
          <cell r="M1589"/>
          <cell r="N1589"/>
          <cell r="O1589"/>
          <cell r="P1589"/>
          <cell r="Q1589"/>
          <cell r="R1589"/>
          <cell r="S1589"/>
        </row>
        <row r="1590">
          <cell r="J1590"/>
          <cell r="K1590"/>
          <cell r="L1590"/>
          <cell r="M1590"/>
          <cell r="N1590"/>
          <cell r="O1590"/>
          <cell r="P1590"/>
          <cell r="Q1590"/>
          <cell r="R1590"/>
          <cell r="S1590"/>
        </row>
        <row r="1591">
          <cell r="J1591"/>
          <cell r="K1591"/>
          <cell r="L1591"/>
          <cell r="M1591"/>
          <cell r="N1591"/>
          <cell r="O1591"/>
          <cell r="P1591"/>
          <cell r="Q1591"/>
          <cell r="R1591"/>
          <cell r="S1591"/>
        </row>
        <row r="1592">
          <cell r="J1592"/>
          <cell r="K1592"/>
          <cell r="L1592"/>
          <cell r="M1592"/>
          <cell r="N1592"/>
          <cell r="O1592"/>
          <cell r="P1592"/>
          <cell r="Q1592"/>
          <cell r="R1592"/>
          <cell r="S1592"/>
        </row>
        <row r="1593">
          <cell r="J1593"/>
          <cell r="K1593"/>
          <cell r="L1593"/>
          <cell r="M1593"/>
          <cell r="N1593"/>
          <cell r="O1593"/>
          <cell r="P1593"/>
          <cell r="Q1593"/>
          <cell r="R1593"/>
          <cell r="S1593"/>
        </row>
        <row r="1594">
          <cell r="J1594"/>
          <cell r="K1594"/>
          <cell r="L1594"/>
          <cell r="M1594"/>
          <cell r="N1594"/>
          <cell r="O1594"/>
          <cell r="P1594"/>
          <cell r="Q1594"/>
          <cell r="R1594"/>
          <cell r="S1594"/>
        </row>
        <row r="1595">
          <cell r="J1595"/>
          <cell r="K1595"/>
          <cell r="L1595"/>
          <cell r="M1595"/>
          <cell r="N1595"/>
          <cell r="O1595"/>
          <cell r="P1595"/>
          <cell r="Q1595"/>
          <cell r="R1595"/>
          <cell r="S1595"/>
        </row>
        <row r="1596">
          <cell r="J1596"/>
          <cell r="K1596"/>
          <cell r="L1596"/>
          <cell r="M1596"/>
          <cell r="N1596"/>
          <cell r="O1596"/>
          <cell r="P1596"/>
          <cell r="Q1596"/>
          <cell r="R1596"/>
          <cell r="S1596"/>
        </row>
        <row r="1597">
          <cell r="J1597"/>
          <cell r="K1597"/>
          <cell r="L1597"/>
          <cell r="M1597"/>
          <cell r="N1597"/>
          <cell r="O1597"/>
          <cell r="P1597"/>
          <cell r="Q1597"/>
          <cell r="R1597"/>
          <cell r="S1597"/>
        </row>
        <row r="1598">
          <cell r="J1598"/>
          <cell r="K1598"/>
          <cell r="L1598"/>
          <cell r="M1598"/>
          <cell r="N1598"/>
          <cell r="O1598"/>
          <cell r="P1598"/>
          <cell r="Q1598"/>
          <cell r="R1598"/>
          <cell r="S1598"/>
        </row>
        <row r="1599">
          <cell r="J1599"/>
          <cell r="K1599"/>
          <cell r="L1599"/>
          <cell r="M1599"/>
          <cell r="N1599"/>
          <cell r="O1599"/>
          <cell r="P1599"/>
          <cell r="Q1599"/>
          <cell r="R1599"/>
          <cell r="S1599"/>
        </row>
        <row r="1600">
          <cell r="J1600"/>
          <cell r="K1600"/>
          <cell r="L1600"/>
          <cell r="M1600"/>
          <cell r="N1600"/>
          <cell r="O1600"/>
          <cell r="P1600"/>
          <cell r="Q1600"/>
          <cell r="R1600"/>
          <cell r="S1600"/>
        </row>
        <row r="1601">
          <cell r="J1601"/>
          <cell r="K1601"/>
          <cell r="L1601"/>
          <cell r="M1601"/>
          <cell r="N1601"/>
          <cell r="O1601"/>
          <cell r="P1601"/>
          <cell r="Q1601"/>
          <cell r="R1601"/>
          <cell r="S1601"/>
        </row>
        <row r="1602">
          <cell r="J1602"/>
          <cell r="K1602"/>
          <cell r="L1602"/>
          <cell r="M1602"/>
          <cell r="N1602"/>
          <cell r="O1602"/>
          <cell r="P1602"/>
          <cell r="Q1602"/>
          <cell r="R1602"/>
          <cell r="S1602"/>
        </row>
        <row r="1603">
          <cell r="J1603"/>
          <cell r="K1603"/>
          <cell r="L1603"/>
          <cell r="M1603"/>
          <cell r="N1603"/>
          <cell r="O1603"/>
          <cell r="P1603"/>
          <cell r="Q1603"/>
          <cell r="R1603"/>
          <cell r="S1603"/>
        </row>
        <row r="1604">
          <cell r="J1604"/>
          <cell r="K1604"/>
          <cell r="L1604"/>
          <cell r="M1604"/>
          <cell r="N1604"/>
          <cell r="O1604"/>
          <cell r="P1604"/>
          <cell r="Q1604"/>
          <cell r="R1604"/>
          <cell r="S1604"/>
        </row>
        <row r="1605">
          <cell r="J1605"/>
          <cell r="K1605"/>
          <cell r="L1605"/>
          <cell r="M1605"/>
          <cell r="N1605"/>
          <cell r="O1605"/>
          <cell r="P1605"/>
          <cell r="Q1605"/>
          <cell r="R1605"/>
          <cell r="S1605"/>
        </row>
        <row r="1606">
          <cell r="J1606"/>
          <cell r="K1606"/>
          <cell r="L1606"/>
          <cell r="M1606"/>
          <cell r="N1606"/>
          <cell r="O1606"/>
          <cell r="P1606"/>
          <cell r="Q1606"/>
          <cell r="R1606"/>
          <cell r="S1606"/>
        </row>
        <row r="1607">
          <cell r="J1607"/>
          <cell r="K1607"/>
          <cell r="L1607"/>
          <cell r="M1607"/>
          <cell r="N1607"/>
          <cell r="O1607"/>
          <cell r="P1607"/>
          <cell r="Q1607"/>
          <cell r="R1607"/>
          <cell r="S1607"/>
        </row>
        <row r="1608">
          <cell r="J1608"/>
          <cell r="K1608"/>
          <cell r="L1608"/>
          <cell r="M1608"/>
          <cell r="N1608"/>
          <cell r="O1608"/>
          <cell r="P1608"/>
          <cell r="Q1608"/>
          <cell r="R1608"/>
          <cell r="S1608"/>
        </row>
        <row r="1609">
          <cell r="J1609"/>
          <cell r="K1609"/>
          <cell r="L1609"/>
          <cell r="M1609"/>
          <cell r="N1609"/>
          <cell r="O1609"/>
          <cell r="P1609"/>
          <cell r="Q1609"/>
          <cell r="R1609"/>
          <cell r="S1609"/>
        </row>
        <row r="1610">
          <cell r="J1610"/>
          <cell r="K1610"/>
          <cell r="L1610"/>
          <cell r="M1610"/>
          <cell r="N1610"/>
          <cell r="O1610"/>
          <cell r="P1610"/>
          <cell r="Q1610"/>
          <cell r="R1610"/>
          <cell r="S1610"/>
        </row>
        <row r="1611">
          <cell r="J1611"/>
          <cell r="K1611"/>
          <cell r="L1611"/>
          <cell r="M1611"/>
          <cell r="N1611"/>
          <cell r="O1611"/>
          <cell r="P1611"/>
          <cell r="Q1611"/>
          <cell r="R1611"/>
          <cell r="S1611"/>
        </row>
        <row r="1612">
          <cell r="J1612"/>
          <cell r="K1612"/>
          <cell r="L1612"/>
          <cell r="M1612"/>
          <cell r="N1612"/>
          <cell r="O1612"/>
          <cell r="P1612"/>
          <cell r="Q1612"/>
          <cell r="R1612"/>
          <cell r="S1612"/>
        </row>
        <row r="1613">
          <cell r="J1613"/>
          <cell r="K1613"/>
          <cell r="L1613"/>
          <cell r="M1613"/>
          <cell r="N1613"/>
          <cell r="O1613"/>
          <cell r="P1613"/>
          <cell r="Q1613"/>
          <cell r="R1613"/>
          <cell r="S1613"/>
        </row>
        <row r="1614">
          <cell r="J1614"/>
          <cell r="K1614"/>
          <cell r="L1614"/>
          <cell r="M1614"/>
          <cell r="N1614"/>
          <cell r="O1614"/>
          <cell r="P1614"/>
          <cell r="Q1614"/>
          <cell r="R1614"/>
          <cell r="S1614"/>
        </row>
        <row r="1615">
          <cell r="J1615"/>
          <cell r="K1615"/>
          <cell r="L1615"/>
          <cell r="M1615"/>
          <cell r="N1615"/>
          <cell r="O1615"/>
          <cell r="P1615"/>
          <cell r="Q1615"/>
          <cell r="R1615"/>
          <cell r="S1615"/>
        </row>
        <row r="1616">
          <cell r="J1616"/>
          <cell r="K1616"/>
          <cell r="L1616"/>
          <cell r="M1616"/>
          <cell r="N1616"/>
          <cell r="O1616"/>
          <cell r="P1616"/>
          <cell r="Q1616"/>
          <cell r="R1616"/>
          <cell r="S1616"/>
        </row>
        <row r="1617">
          <cell r="J1617"/>
          <cell r="K1617"/>
          <cell r="L1617"/>
          <cell r="M1617"/>
          <cell r="N1617"/>
          <cell r="O1617"/>
          <cell r="P1617"/>
          <cell r="Q1617"/>
          <cell r="R1617"/>
          <cell r="S1617"/>
        </row>
        <row r="1618">
          <cell r="J1618"/>
          <cell r="K1618"/>
          <cell r="L1618"/>
          <cell r="M1618"/>
          <cell r="N1618"/>
          <cell r="O1618"/>
          <cell r="P1618"/>
          <cell r="Q1618"/>
          <cell r="R1618"/>
          <cell r="S1618"/>
        </row>
        <row r="1619">
          <cell r="J1619"/>
          <cell r="K1619"/>
          <cell r="L1619"/>
          <cell r="M1619"/>
          <cell r="N1619"/>
          <cell r="O1619"/>
          <cell r="P1619"/>
          <cell r="Q1619"/>
          <cell r="R1619"/>
          <cell r="S1619"/>
        </row>
        <row r="1620">
          <cell r="J1620"/>
          <cell r="K1620"/>
          <cell r="L1620"/>
          <cell r="M1620"/>
          <cell r="N1620"/>
          <cell r="O1620"/>
          <cell r="P1620"/>
          <cell r="Q1620"/>
          <cell r="R1620"/>
          <cell r="S1620"/>
        </row>
        <row r="1621">
          <cell r="J1621"/>
          <cell r="K1621"/>
          <cell r="L1621"/>
          <cell r="M1621"/>
          <cell r="N1621"/>
          <cell r="O1621"/>
          <cell r="P1621"/>
          <cell r="Q1621"/>
          <cell r="R1621"/>
          <cell r="S1621"/>
        </row>
        <row r="1622">
          <cell r="J1622"/>
          <cell r="K1622"/>
          <cell r="L1622"/>
          <cell r="M1622"/>
          <cell r="N1622"/>
          <cell r="O1622"/>
          <cell r="P1622"/>
          <cell r="Q1622"/>
          <cell r="R1622"/>
          <cell r="S1622"/>
        </row>
        <row r="1623">
          <cell r="J1623"/>
          <cell r="K1623"/>
          <cell r="L1623"/>
          <cell r="M1623"/>
          <cell r="N1623"/>
          <cell r="O1623"/>
          <cell r="P1623"/>
          <cell r="Q1623"/>
          <cell r="R1623"/>
          <cell r="S1623"/>
        </row>
        <row r="1624">
          <cell r="J1624"/>
          <cell r="K1624"/>
          <cell r="L1624"/>
          <cell r="M1624"/>
          <cell r="N1624"/>
          <cell r="O1624"/>
          <cell r="P1624"/>
          <cell r="Q1624"/>
          <cell r="R1624"/>
          <cell r="S1624"/>
        </row>
        <row r="1625">
          <cell r="J1625"/>
          <cell r="K1625"/>
          <cell r="L1625"/>
          <cell r="M1625"/>
          <cell r="N1625"/>
          <cell r="O1625"/>
          <cell r="P1625"/>
          <cell r="Q1625"/>
          <cell r="R1625"/>
          <cell r="S1625"/>
        </row>
        <row r="1626">
          <cell r="J1626"/>
          <cell r="K1626"/>
          <cell r="L1626"/>
          <cell r="M1626"/>
          <cell r="N1626"/>
          <cell r="O1626"/>
          <cell r="P1626"/>
          <cell r="Q1626"/>
          <cell r="R1626"/>
          <cell r="S1626"/>
        </row>
        <row r="1627">
          <cell r="J1627"/>
          <cell r="K1627"/>
          <cell r="L1627"/>
          <cell r="M1627"/>
          <cell r="N1627"/>
          <cell r="O1627"/>
          <cell r="P1627"/>
          <cell r="Q1627"/>
          <cell r="R1627"/>
          <cell r="S1627"/>
        </row>
        <row r="1628">
          <cell r="J1628"/>
          <cell r="K1628"/>
          <cell r="L1628"/>
          <cell r="M1628"/>
          <cell r="N1628"/>
          <cell r="O1628"/>
          <cell r="P1628"/>
          <cell r="Q1628"/>
          <cell r="R1628"/>
          <cell r="S1628"/>
        </row>
        <row r="1629">
          <cell r="J1629"/>
          <cell r="K1629"/>
          <cell r="L1629"/>
          <cell r="M1629"/>
          <cell r="N1629"/>
          <cell r="O1629"/>
          <cell r="P1629"/>
          <cell r="Q1629"/>
          <cell r="R1629"/>
          <cell r="S1629"/>
        </row>
        <row r="1630">
          <cell r="J1630"/>
          <cell r="K1630"/>
          <cell r="L1630"/>
          <cell r="M1630"/>
          <cell r="N1630"/>
          <cell r="O1630"/>
          <cell r="P1630"/>
          <cell r="Q1630"/>
          <cell r="R1630"/>
          <cell r="S1630"/>
        </row>
        <row r="1631">
          <cell r="J1631"/>
          <cell r="K1631"/>
          <cell r="L1631"/>
          <cell r="M1631"/>
          <cell r="N1631"/>
          <cell r="O1631"/>
          <cell r="P1631"/>
          <cell r="Q1631"/>
          <cell r="R1631"/>
          <cell r="S1631"/>
        </row>
        <row r="1632">
          <cell r="J1632"/>
          <cell r="K1632"/>
          <cell r="L1632"/>
          <cell r="M1632"/>
          <cell r="N1632"/>
          <cell r="O1632"/>
          <cell r="P1632"/>
          <cell r="Q1632"/>
          <cell r="R1632"/>
          <cell r="S1632"/>
        </row>
        <row r="1633">
          <cell r="J1633"/>
          <cell r="K1633"/>
          <cell r="L1633"/>
          <cell r="M1633"/>
          <cell r="N1633"/>
          <cell r="O1633"/>
          <cell r="P1633"/>
          <cell r="Q1633"/>
          <cell r="R1633"/>
          <cell r="S1633"/>
        </row>
        <row r="1634">
          <cell r="J1634"/>
          <cell r="K1634"/>
          <cell r="L1634"/>
          <cell r="M1634"/>
          <cell r="N1634"/>
          <cell r="O1634"/>
          <cell r="P1634"/>
          <cell r="Q1634"/>
          <cell r="R1634"/>
          <cell r="S1634"/>
        </row>
        <row r="1635">
          <cell r="J1635"/>
          <cell r="K1635"/>
          <cell r="L1635"/>
          <cell r="M1635"/>
          <cell r="N1635"/>
          <cell r="O1635"/>
          <cell r="P1635"/>
          <cell r="Q1635"/>
          <cell r="R1635"/>
          <cell r="S1635"/>
        </row>
        <row r="1636">
          <cell r="J1636"/>
          <cell r="K1636"/>
          <cell r="L1636"/>
          <cell r="M1636"/>
          <cell r="N1636"/>
          <cell r="O1636"/>
          <cell r="P1636"/>
          <cell r="Q1636"/>
          <cell r="R1636"/>
          <cell r="S1636"/>
        </row>
        <row r="1637">
          <cell r="J1637"/>
          <cell r="K1637"/>
          <cell r="L1637"/>
          <cell r="M1637"/>
          <cell r="N1637"/>
          <cell r="O1637"/>
          <cell r="P1637"/>
          <cell r="Q1637"/>
          <cell r="R1637"/>
          <cell r="S1637"/>
        </row>
        <row r="1638">
          <cell r="J1638"/>
          <cell r="K1638"/>
          <cell r="L1638"/>
          <cell r="M1638"/>
          <cell r="N1638"/>
          <cell r="O1638"/>
          <cell r="P1638"/>
          <cell r="Q1638"/>
          <cell r="R1638"/>
          <cell r="S1638"/>
        </row>
        <row r="1639">
          <cell r="J1639"/>
          <cell r="K1639"/>
          <cell r="L1639"/>
          <cell r="M1639"/>
          <cell r="N1639"/>
          <cell r="O1639"/>
          <cell r="P1639"/>
          <cell r="Q1639"/>
          <cell r="R1639"/>
          <cell r="S1639"/>
        </row>
        <row r="1640">
          <cell r="J1640"/>
          <cell r="K1640"/>
          <cell r="L1640"/>
          <cell r="M1640"/>
          <cell r="N1640"/>
          <cell r="O1640"/>
          <cell r="P1640"/>
          <cell r="Q1640"/>
          <cell r="R1640"/>
          <cell r="S1640"/>
        </row>
        <row r="1641">
          <cell r="J1641"/>
          <cell r="K1641"/>
          <cell r="L1641"/>
          <cell r="M1641"/>
          <cell r="N1641"/>
          <cell r="O1641"/>
          <cell r="P1641"/>
          <cell r="Q1641"/>
          <cell r="R1641"/>
          <cell r="S1641"/>
        </row>
        <row r="1642">
          <cell r="J1642"/>
          <cell r="K1642"/>
          <cell r="L1642"/>
          <cell r="M1642"/>
          <cell r="N1642"/>
          <cell r="O1642"/>
          <cell r="P1642"/>
          <cell r="Q1642"/>
          <cell r="R1642"/>
          <cell r="S1642"/>
        </row>
        <row r="1643">
          <cell r="J1643"/>
          <cell r="K1643"/>
          <cell r="L1643"/>
          <cell r="M1643"/>
          <cell r="N1643"/>
          <cell r="O1643"/>
          <cell r="P1643"/>
          <cell r="Q1643"/>
          <cell r="R1643"/>
          <cell r="S1643"/>
        </row>
        <row r="1644">
          <cell r="J1644"/>
          <cell r="K1644"/>
          <cell r="L1644"/>
          <cell r="M1644"/>
          <cell r="N1644"/>
          <cell r="O1644"/>
          <cell r="P1644"/>
          <cell r="Q1644"/>
          <cell r="R1644"/>
          <cell r="S1644"/>
        </row>
        <row r="1645">
          <cell r="J1645"/>
          <cell r="K1645"/>
          <cell r="L1645"/>
          <cell r="M1645"/>
          <cell r="N1645"/>
          <cell r="O1645"/>
          <cell r="P1645"/>
          <cell r="Q1645"/>
          <cell r="R1645"/>
          <cell r="S1645"/>
        </row>
        <row r="1646">
          <cell r="J1646"/>
          <cell r="K1646"/>
          <cell r="L1646"/>
          <cell r="M1646"/>
          <cell r="N1646"/>
          <cell r="O1646"/>
          <cell r="P1646"/>
          <cell r="Q1646"/>
          <cell r="R1646"/>
          <cell r="S1646"/>
        </row>
        <row r="1647">
          <cell r="J1647"/>
          <cell r="K1647"/>
          <cell r="L1647"/>
          <cell r="M1647"/>
          <cell r="N1647"/>
          <cell r="O1647"/>
          <cell r="P1647"/>
          <cell r="Q1647"/>
          <cell r="R1647"/>
          <cell r="S1647"/>
        </row>
        <row r="1648">
          <cell r="J1648"/>
          <cell r="K1648"/>
          <cell r="L1648"/>
          <cell r="M1648"/>
          <cell r="N1648"/>
          <cell r="O1648"/>
          <cell r="P1648"/>
          <cell r="Q1648"/>
          <cell r="R1648"/>
          <cell r="S1648"/>
        </row>
        <row r="1649">
          <cell r="J1649"/>
          <cell r="K1649"/>
          <cell r="L1649"/>
          <cell r="M1649"/>
          <cell r="N1649"/>
          <cell r="O1649"/>
          <cell r="P1649"/>
          <cell r="Q1649"/>
          <cell r="R1649"/>
          <cell r="S1649"/>
        </row>
        <row r="1650">
          <cell r="J1650"/>
          <cell r="K1650"/>
          <cell r="L1650"/>
          <cell r="M1650"/>
          <cell r="N1650"/>
          <cell r="O1650"/>
          <cell r="P1650"/>
          <cell r="Q1650"/>
          <cell r="R1650"/>
          <cell r="S1650"/>
        </row>
        <row r="1651">
          <cell r="J1651"/>
          <cell r="K1651"/>
          <cell r="L1651"/>
          <cell r="M1651"/>
          <cell r="N1651"/>
          <cell r="O1651"/>
          <cell r="P1651"/>
          <cell r="Q1651"/>
          <cell r="R1651"/>
          <cell r="S1651"/>
        </row>
        <row r="1652">
          <cell r="J1652"/>
          <cell r="K1652"/>
          <cell r="L1652"/>
          <cell r="M1652"/>
          <cell r="N1652"/>
          <cell r="O1652"/>
          <cell r="P1652"/>
          <cell r="Q1652"/>
          <cell r="R1652"/>
          <cell r="S1652"/>
        </row>
        <row r="1653">
          <cell r="J1653"/>
          <cell r="K1653"/>
          <cell r="L1653"/>
          <cell r="M1653"/>
          <cell r="N1653"/>
          <cell r="O1653"/>
          <cell r="P1653"/>
          <cell r="Q1653"/>
          <cell r="R1653"/>
          <cell r="S1653"/>
        </row>
        <row r="1654">
          <cell r="J1654"/>
          <cell r="K1654"/>
          <cell r="L1654"/>
          <cell r="M1654"/>
          <cell r="N1654"/>
          <cell r="O1654"/>
          <cell r="P1654"/>
          <cell r="Q1654"/>
          <cell r="R1654"/>
          <cell r="S1654"/>
        </row>
        <row r="1655">
          <cell r="J1655"/>
          <cell r="K1655"/>
          <cell r="L1655"/>
          <cell r="M1655"/>
          <cell r="N1655"/>
          <cell r="O1655"/>
          <cell r="P1655"/>
          <cell r="Q1655"/>
          <cell r="R1655"/>
          <cell r="S1655"/>
        </row>
        <row r="1656">
          <cell r="J1656"/>
          <cell r="K1656"/>
          <cell r="L1656"/>
          <cell r="M1656"/>
          <cell r="N1656"/>
          <cell r="O1656"/>
          <cell r="P1656"/>
          <cell r="Q1656"/>
          <cell r="R1656"/>
          <cell r="S1656"/>
        </row>
        <row r="1657">
          <cell r="J1657"/>
          <cell r="K1657"/>
          <cell r="L1657"/>
          <cell r="M1657"/>
          <cell r="N1657"/>
          <cell r="O1657"/>
          <cell r="P1657"/>
          <cell r="Q1657"/>
          <cell r="R1657"/>
          <cell r="S1657"/>
        </row>
        <row r="1658">
          <cell r="J1658"/>
          <cell r="K1658"/>
          <cell r="L1658"/>
          <cell r="M1658"/>
          <cell r="N1658"/>
          <cell r="O1658"/>
          <cell r="P1658"/>
          <cell r="Q1658"/>
          <cell r="R1658"/>
          <cell r="S1658"/>
        </row>
        <row r="1659">
          <cell r="J1659"/>
          <cell r="K1659"/>
          <cell r="L1659"/>
          <cell r="M1659"/>
          <cell r="N1659"/>
          <cell r="O1659"/>
          <cell r="P1659"/>
          <cell r="Q1659"/>
          <cell r="R1659"/>
          <cell r="S1659"/>
        </row>
        <row r="1660">
          <cell r="J1660"/>
          <cell r="K1660"/>
          <cell r="L1660"/>
          <cell r="M1660"/>
          <cell r="N1660"/>
          <cell r="O1660"/>
          <cell r="P1660"/>
          <cell r="Q1660"/>
          <cell r="R1660"/>
          <cell r="S1660"/>
        </row>
        <row r="1661">
          <cell r="J1661"/>
          <cell r="K1661"/>
          <cell r="L1661"/>
          <cell r="M1661"/>
          <cell r="N1661"/>
          <cell r="O1661"/>
          <cell r="P1661"/>
          <cell r="Q1661"/>
          <cell r="R1661"/>
          <cell r="S1661"/>
        </row>
        <row r="1662">
          <cell r="J1662"/>
          <cell r="K1662"/>
          <cell r="L1662"/>
          <cell r="M1662"/>
          <cell r="N1662"/>
          <cell r="O1662"/>
          <cell r="P1662"/>
          <cell r="Q1662"/>
          <cell r="R1662"/>
          <cell r="S1662"/>
        </row>
        <row r="1663">
          <cell r="J1663"/>
          <cell r="K1663"/>
          <cell r="L1663"/>
          <cell r="M1663"/>
          <cell r="N1663"/>
          <cell r="O1663"/>
          <cell r="P1663"/>
          <cell r="Q1663"/>
          <cell r="R1663"/>
          <cell r="S1663"/>
        </row>
        <row r="1664">
          <cell r="J1664"/>
          <cell r="K1664"/>
          <cell r="L1664"/>
          <cell r="M1664"/>
          <cell r="N1664"/>
          <cell r="O1664"/>
          <cell r="P1664"/>
          <cell r="Q1664"/>
          <cell r="R1664"/>
          <cell r="S1664"/>
        </row>
        <row r="1665">
          <cell r="J1665"/>
          <cell r="K1665"/>
          <cell r="L1665"/>
          <cell r="M1665"/>
          <cell r="N1665"/>
          <cell r="O1665"/>
          <cell r="P1665"/>
          <cell r="Q1665"/>
          <cell r="R1665"/>
          <cell r="S1665"/>
        </row>
        <row r="1666">
          <cell r="J1666"/>
          <cell r="K1666"/>
          <cell r="L1666"/>
          <cell r="M1666"/>
          <cell r="N1666"/>
          <cell r="O1666"/>
          <cell r="P1666"/>
          <cell r="Q1666"/>
          <cell r="R1666"/>
          <cell r="S1666"/>
        </row>
        <row r="1667">
          <cell r="J1667"/>
          <cell r="K1667"/>
          <cell r="L1667"/>
          <cell r="M1667"/>
          <cell r="N1667"/>
          <cell r="O1667"/>
          <cell r="P1667"/>
          <cell r="Q1667"/>
          <cell r="R1667"/>
          <cell r="S1667"/>
        </row>
        <row r="1668">
          <cell r="J1668"/>
          <cell r="K1668"/>
          <cell r="L1668"/>
          <cell r="M1668"/>
          <cell r="N1668"/>
          <cell r="O1668"/>
          <cell r="P1668"/>
          <cell r="Q1668"/>
          <cell r="R1668"/>
          <cell r="S1668"/>
        </row>
        <row r="1669">
          <cell r="J1669"/>
          <cell r="K1669"/>
          <cell r="L1669"/>
          <cell r="M1669"/>
          <cell r="N1669"/>
          <cell r="O1669"/>
          <cell r="P1669"/>
          <cell r="Q1669"/>
          <cell r="R1669"/>
          <cell r="S1669"/>
        </row>
        <row r="1670">
          <cell r="J1670"/>
          <cell r="K1670"/>
          <cell r="L1670"/>
          <cell r="M1670"/>
          <cell r="N1670"/>
          <cell r="O1670"/>
          <cell r="P1670"/>
          <cell r="Q1670"/>
          <cell r="R1670"/>
          <cell r="S1670"/>
        </row>
        <row r="1671">
          <cell r="J1671"/>
          <cell r="K1671"/>
          <cell r="L1671"/>
          <cell r="M1671"/>
          <cell r="N1671"/>
          <cell r="O1671"/>
          <cell r="P1671"/>
          <cell r="Q1671"/>
          <cell r="R1671"/>
          <cell r="S1671"/>
        </row>
        <row r="1672">
          <cell r="J1672"/>
          <cell r="K1672"/>
          <cell r="L1672"/>
          <cell r="M1672"/>
          <cell r="N1672"/>
          <cell r="O1672"/>
          <cell r="P1672"/>
          <cell r="Q1672"/>
          <cell r="R1672"/>
          <cell r="S1672"/>
        </row>
        <row r="1673">
          <cell r="J1673"/>
          <cell r="K1673"/>
          <cell r="L1673"/>
          <cell r="M1673"/>
          <cell r="N1673"/>
          <cell r="O1673"/>
          <cell r="P1673"/>
          <cell r="Q1673"/>
          <cell r="R1673"/>
          <cell r="S1673"/>
        </row>
        <row r="1674">
          <cell r="J1674"/>
          <cell r="K1674"/>
          <cell r="L1674"/>
          <cell r="M1674"/>
          <cell r="N1674"/>
          <cell r="O1674"/>
          <cell r="P1674"/>
          <cell r="Q1674"/>
          <cell r="R1674"/>
          <cell r="S1674"/>
        </row>
        <row r="1675">
          <cell r="J1675"/>
          <cell r="K1675"/>
          <cell r="L1675"/>
          <cell r="M1675"/>
          <cell r="N1675"/>
          <cell r="O1675"/>
          <cell r="P1675"/>
          <cell r="Q1675"/>
          <cell r="R1675"/>
          <cell r="S1675"/>
        </row>
        <row r="1676">
          <cell r="J1676"/>
          <cell r="K1676"/>
          <cell r="L1676"/>
          <cell r="M1676"/>
          <cell r="N1676"/>
          <cell r="O1676"/>
          <cell r="P1676"/>
          <cell r="Q1676"/>
          <cell r="R1676"/>
          <cell r="S1676"/>
        </row>
        <row r="1677">
          <cell r="J1677"/>
          <cell r="K1677"/>
          <cell r="L1677"/>
          <cell r="M1677"/>
          <cell r="N1677"/>
          <cell r="O1677"/>
          <cell r="P1677"/>
          <cell r="Q1677"/>
          <cell r="R1677"/>
          <cell r="S1677"/>
        </row>
        <row r="1678">
          <cell r="J1678"/>
          <cell r="K1678"/>
          <cell r="L1678"/>
          <cell r="M1678"/>
          <cell r="N1678"/>
          <cell r="O1678"/>
          <cell r="P1678"/>
          <cell r="Q1678"/>
          <cell r="R1678"/>
          <cell r="S1678"/>
        </row>
        <row r="1679">
          <cell r="J1679"/>
          <cell r="K1679"/>
          <cell r="L1679"/>
          <cell r="M1679"/>
          <cell r="N1679"/>
          <cell r="O1679"/>
          <cell r="P1679"/>
          <cell r="Q1679"/>
          <cell r="R1679"/>
          <cell r="S1679"/>
        </row>
        <row r="1680">
          <cell r="J1680"/>
          <cell r="K1680"/>
          <cell r="L1680"/>
          <cell r="M1680"/>
          <cell r="N1680"/>
          <cell r="O1680"/>
          <cell r="P1680"/>
          <cell r="Q1680"/>
          <cell r="R1680"/>
          <cell r="S1680"/>
        </row>
        <row r="1681">
          <cell r="J1681"/>
          <cell r="K1681"/>
          <cell r="L1681"/>
          <cell r="M1681"/>
          <cell r="N1681"/>
          <cell r="O1681"/>
          <cell r="P1681"/>
          <cell r="Q1681"/>
          <cell r="R1681"/>
          <cell r="S1681"/>
        </row>
        <row r="1682">
          <cell r="J1682"/>
          <cell r="K1682"/>
          <cell r="L1682"/>
          <cell r="M1682"/>
          <cell r="N1682"/>
          <cell r="O1682"/>
          <cell r="P1682"/>
          <cell r="Q1682"/>
          <cell r="R1682"/>
          <cell r="S1682"/>
        </row>
        <row r="1683">
          <cell r="J1683"/>
          <cell r="K1683"/>
          <cell r="L1683"/>
          <cell r="M1683"/>
          <cell r="N1683"/>
          <cell r="O1683"/>
          <cell r="P1683"/>
          <cell r="Q1683"/>
          <cell r="R1683"/>
          <cell r="S1683"/>
        </row>
        <row r="1684">
          <cell r="J1684"/>
          <cell r="K1684"/>
          <cell r="L1684"/>
          <cell r="M1684"/>
          <cell r="N1684"/>
          <cell r="O1684"/>
          <cell r="P1684"/>
          <cell r="Q1684"/>
          <cell r="R1684"/>
          <cell r="S1684"/>
        </row>
        <row r="1685">
          <cell r="J1685"/>
          <cell r="K1685"/>
          <cell r="L1685"/>
          <cell r="M1685"/>
          <cell r="N1685"/>
          <cell r="O1685"/>
          <cell r="P1685"/>
          <cell r="Q1685"/>
          <cell r="R1685"/>
          <cell r="S1685"/>
        </row>
        <row r="1686">
          <cell r="J1686"/>
          <cell r="K1686"/>
          <cell r="L1686"/>
          <cell r="M1686"/>
          <cell r="N1686"/>
          <cell r="O1686"/>
          <cell r="P1686"/>
          <cell r="Q1686"/>
          <cell r="R1686"/>
          <cell r="S1686"/>
        </row>
        <row r="1687">
          <cell r="J1687"/>
          <cell r="K1687"/>
          <cell r="L1687"/>
          <cell r="M1687"/>
          <cell r="N1687"/>
          <cell r="O1687"/>
          <cell r="P1687"/>
          <cell r="Q1687"/>
          <cell r="R1687"/>
          <cell r="S1687"/>
        </row>
        <row r="1688">
          <cell r="J1688"/>
          <cell r="K1688"/>
          <cell r="L1688"/>
          <cell r="M1688"/>
          <cell r="N1688"/>
          <cell r="O1688"/>
          <cell r="P1688"/>
          <cell r="Q1688"/>
          <cell r="R1688"/>
          <cell r="S1688"/>
        </row>
        <row r="1689">
          <cell r="J1689"/>
          <cell r="K1689"/>
          <cell r="L1689"/>
          <cell r="M1689"/>
          <cell r="N1689"/>
          <cell r="O1689"/>
          <cell r="P1689"/>
          <cell r="Q1689"/>
          <cell r="R1689"/>
          <cell r="S1689"/>
        </row>
        <row r="1690">
          <cell r="J1690"/>
          <cell r="K1690"/>
          <cell r="L1690"/>
          <cell r="M1690"/>
          <cell r="N1690"/>
          <cell r="O1690"/>
          <cell r="P1690"/>
          <cell r="Q1690"/>
          <cell r="R1690"/>
          <cell r="S1690"/>
        </row>
        <row r="1691">
          <cell r="J1691"/>
          <cell r="K1691"/>
          <cell r="L1691"/>
          <cell r="M1691"/>
          <cell r="N1691"/>
          <cell r="O1691"/>
          <cell r="P1691"/>
          <cell r="Q1691"/>
          <cell r="R1691"/>
          <cell r="S1691"/>
        </row>
        <row r="1692">
          <cell r="J1692"/>
          <cell r="K1692"/>
          <cell r="L1692"/>
          <cell r="M1692"/>
          <cell r="N1692"/>
          <cell r="O1692"/>
          <cell r="P1692"/>
          <cell r="Q1692"/>
          <cell r="R1692"/>
          <cell r="S1692"/>
        </row>
        <row r="1693">
          <cell r="J1693"/>
          <cell r="K1693"/>
          <cell r="L1693"/>
          <cell r="M1693"/>
          <cell r="N1693"/>
          <cell r="O1693"/>
          <cell r="P1693"/>
          <cell r="Q1693"/>
          <cell r="R1693"/>
          <cell r="S1693"/>
        </row>
        <row r="1694">
          <cell r="J1694"/>
          <cell r="K1694"/>
          <cell r="L1694"/>
          <cell r="M1694"/>
          <cell r="N1694"/>
          <cell r="O1694"/>
          <cell r="P1694"/>
          <cell r="Q1694"/>
          <cell r="R1694"/>
          <cell r="S1694"/>
        </row>
        <row r="1695">
          <cell r="J1695"/>
          <cell r="K1695"/>
          <cell r="L1695"/>
          <cell r="M1695"/>
          <cell r="N1695"/>
          <cell r="O1695"/>
          <cell r="P1695"/>
          <cell r="Q1695"/>
          <cell r="R1695"/>
          <cell r="S1695"/>
        </row>
        <row r="1696">
          <cell r="J1696"/>
          <cell r="K1696"/>
          <cell r="L1696"/>
          <cell r="M1696"/>
          <cell r="N1696"/>
          <cell r="O1696"/>
          <cell r="P1696"/>
          <cell r="Q1696"/>
          <cell r="R1696"/>
          <cell r="S1696"/>
        </row>
        <row r="1697">
          <cell r="J1697"/>
          <cell r="K1697"/>
          <cell r="L1697"/>
          <cell r="M1697"/>
          <cell r="N1697"/>
          <cell r="O1697"/>
          <cell r="P1697"/>
          <cell r="Q1697"/>
          <cell r="R1697"/>
          <cell r="S1697"/>
        </row>
        <row r="1698">
          <cell r="J1698"/>
          <cell r="K1698"/>
          <cell r="L1698"/>
          <cell r="M1698"/>
          <cell r="N1698"/>
          <cell r="O1698"/>
          <cell r="P1698"/>
          <cell r="Q1698"/>
          <cell r="R1698"/>
          <cell r="S1698"/>
        </row>
        <row r="1699">
          <cell r="J1699"/>
          <cell r="K1699"/>
          <cell r="L1699"/>
          <cell r="M1699"/>
          <cell r="N1699"/>
          <cell r="O1699"/>
          <cell r="P1699"/>
          <cell r="Q1699"/>
          <cell r="R1699"/>
          <cell r="S1699"/>
        </row>
        <row r="1700">
          <cell r="J1700"/>
          <cell r="K1700"/>
          <cell r="L1700"/>
          <cell r="M1700"/>
          <cell r="N1700"/>
          <cell r="O1700"/>
          <cell r="P1700"/>
          <cell r="Q1700"/>
          <cell r="R1700"/>
          <cell r="S1700"/>
        </row>
        <row r="1701">
          <cell r="J1701"/>
          <cell r="K1701"/>
          <cell r="L1701"/>
          <cell r="M1701"/>
          <cell r="N1701"/>
          <cell r="O1701"/>
          <cell r="P1701"/>
          <cell r="Q1701"/>
          <cell r="R1701"/>
          <cell r="S1701"/>
        </row>
        <row r="1702">
          <cell r="J1702"/>
          <cell r="K1702"/>
          <cell r="L1702"/>
          <cell r="M1702"/>
          <cell r="N1702"/>
          <cell r="O1702"/>
          <cell r="P1702"/>
          <cell r="Q1702"/>
          <cell r="R1702"/>
          <cell r="S1702"/>
        </row>
        <row r="1703">
          <cell r="J1703"/>
          <cell r="K1703"/>
          <cell r="L1703"/>
          <cell r="M1703"/>
          <cell r="N1703"/>
          <cell r="O1703"/>
          <cell r="P1703"/>
          <cell r="Q1703"/>
          <cell r="R1703"/>
          <cell r="S1703"/>
        </row>
        <row r="1704">
          <cell r="J1704"/>
          <cell r="K1704"/>
          <cell r="L1704"/>
          <cell r="M1704"/>
          <cell r="N1704"/>
          <cell r="O1704"/>
          <cell r="P1704"/>
          <cell r="Q1704"/>
          <cell r="R1704"/>
          <cell r="S1704"/>
        </row>
        <row r="1705">
          <cell r="J1705"/>
          <cell r="K1705"/>
          <cell r="L1705"/>
          <cell r="M1705"/>
          <cell r="N1705"/>
          <cell r="O1705"/>
          <cell r="P1705"/>
          <cell r="Q1705"/>
          <cell r="R1705"/>
          <cell r="S1705"/>
        </row>
        <row r="1706">
          <cell r="J1706"/>
          <cell r="K1706"/>
          <cell r="L1706"/>
          <cell r="M1706"/>
          <cell r="N1706"/>
          <cell r="O1706"/>
          <cell r="P1706"/>
          <cell r="Q1706"/>
          <cell r="R1706"/>
          <cell r="S1706"/>
        </row>
        <row r="1707">
          <cell r="J1707"/>
          <cell r="K1707"/>
          <cell r="L1707"/>
          <cell r="M1707"/>
          <cell r="N1707"/>
          <cell r="O1707"/>
          <cell r="P1707"/>
          <cell r="Q1707"/>
          <cell r="R1707"/>
          <cell r="S1707"/>
        </row>
        <row r="1708">
          <cell r="J1708"/>
          <cell r="K1708"/>
          <cell r="L1708"/>
          <cell r="M1708"/>
          <cell r="N1708"/>
          <cell r="O1708"/>
          <cell r="P1708"/>
          <cell r="Q1708"/>
          <cell r="R1708"/>
          <cell r="S1708"/>
        </row>
        <row r="1709">
          <cell r="J1709"/>
          <cell r="K1709"/>
          <cell r="L1709"/>
          <cell r="M1709"/>
          <cell r="N1709"/>
          <cell r="O1709"/>
          <cell r="P1709"/>
          <cell r="Q1709"/>
          <cell r="R1709"/>
          <cell r="S1709"/>
        </row>
        <row r="1710">
          <cell r="J1710"/>
          <cell r="K1710"/>
          <cell r="L1710"/>
          <cell r="M1710"/>
          <cell r="N1710"/>
          <cell r="O1710"/>
          <cell r="P1710"/>
          <cell r="Q1710"/>
          <cell r="R1710"/>
          <cell r="S1710"/>
        </row>
        <row r="1711">
          <cell r="J1711"/>
          <cell r="K1711"/>
          <cell r="L1711"/>
          <cell r="M1711"/>
          <cell r="N1711"/>
          <cell r="O1711"/>
          <cell r="P1711"/>
          <cell r="Q1711"/>
          <cell r="R1711"/>
          <cell r="S1711"/>
        </row>
        <row r="1712">
          <cell r="J1712"/>
          <cell r="K1712"/>
          <cell r="L1712"/>
          <cell r="M1712"/>
          <cell r="N1712"/>
          <cell r="O1712"/>
          <cell r="P1712"/>
          <cell r="Q1712"/>
          <cell r="R1712"/>
          <cell r="S1712"/>
        </row>
        <row r="1713">
          <cell r="J1713"/>
          <cell r="K1713"/>
          <cell r="L1713"/>
          <cell r="M1713"/>
          <cell r="N1713"/>
          <cell r="O1713"/>
          <cell r="P1713"/>
          <cell r="Q1713"/>
          <cell r="R1713"/>
          <cell r="S1713"/>
        </row>
        <row r="1714">
          <cell r="J1714"/>
          <cell r="K1714"/>
          <cell r="L1714"/>
          <cell r="M1714"/>
          <cell r="N1714"/>
          <cell r="O1714"/>
          <cell r="P1714"/>
          <cell r="Q1714"/>
          <cell r="R1714"/>
          <cell r="S1714"/>
        </row>
        <row r="1715">
          <cell r="J1715"/>
          <cell r="K1715"/>
          <cell r="L1715"/>
          <cell r="M1715"/>
          <cell r="N1715"/>
          <cell r="O1715"/>
          <cell r="P1715"/>
          <cell r="Q1715"/>
          <cell r="R1715"/>
          <cell r="S1715"/>
        </row>
        <row r="1716">
          <cell r="J1716"/>
          <cell r="K1716"/>
          <cell r="L1716"/>
          <cell r="M1716"/>
          <cell r="N1716"/>
          <cell r="O1716"/>
          <cell r="P1716"/>
          <cell r="Q1716"/>
          <cell r="R1716"/>
          <cell r="S1716"/>
        </row>
        <row r="1717">
          <cell r="J1717"/>
          <cell r="K1717"/>
          <cell r="L1717"/>
          <cell r="M1717"/>
          <cell r="N1717"/>
          <cell r="O1717"/>
          <cell r="P1717"/>
          <cell r="Q1717"/>
          <cell r="R1717"/>
          <cell r="S1717"/>
        </row>
        <row r="1718">
          <cell r="J1718"/>
          <cell r="K1718"/>
          <cell r="L1718"/>
          <cell r="M1718"/>
          <cell r="N1718"/>
          <cell r="O1718"/>
          <cell r="P1718"/>
          <cell r="Q1718"/>
          <cell r="R1718"/>
          <cell r="S1718"/>
        </row>
        <row r="1719">
          <cell r="J1719"/>
          <cell r="K1719"/>
          <cell r="L1719"/>
          <cell r="M1719"/>
          <cell r="N1719"/>
          <cell r="O1719"/>
          <cell r="P1719"/>
          <cell r="Q1719"/>
          <cell r="R1719"/>
          <cell r="S1719"/>
        </row>
        <row r="1720">
          <cell r="J1720"/>
          <cell r="K1720"/>
          <cell r="L1720"/>
          <cell r="M1720"/>
          <cell r="N1720"/>
          <cell r="O1720"/>
          <cell r="P1720"/>
          <cell r="Q1720"/>
          <cell r="R1720"/>
          <cell r="S1720"/>
        </row>
        <row r="1721">
          <cell r="J1721"/>
          <cell r="K1721"/>
          <cell r="L1721"/>
          <cell r="M1721"/>
          <cell r="N1721"/>
          <cell r="O1721"/>
          <cell r="P1721"/>
          <cell r="Q1721"/>
          <cell r="R1721"/>
          <cell r="S1721"/>
        </row>
        <row r="1722">
          <cell r="J1722"/>
          <cell r="K1722"/>
          <cell r="L1722"/>
          <cell r="M1722"/>
          <cell r="N1722"/>
          <cell r="O1722"/>
          <cell r="P1722"/>
          <cell r="Q1722"/>
          <cell r="R1722"/>
          <cell r="S1722"/>
        </row>
        <row r="1723">
          <cell r="J1723"/>
          <cell r="K1723"/>
          <cell r="L1723"/>
          <cell r="M1723"/>
          <cell r="N1723"/>
          <cell r="O1723"/>
          <cell r="P1723"/>
          <cell r="Q1723"/>
          <cell r="R1723"/>
          <cell r="S1723"/>
        </row>
        <row r="1724">
          <cell r="J1724"/>
          <cell r="K1724"/>
          <cell r="L1724"/>
          <cell r="M1724"/>
          <cell r="N1724"/>
          <cell r="O1724"/>
          <cell r="P1724"/>
          <cell r="Q1724"/>
          <cell r="R1724"/>
          <cell r="S1724"/>
        </row>
        <row r="1725">
          <cell r="J1725"/>
          <cell r="K1725"/>
          <cell r="L1725"/>
          <cell r="M1725"/>
          <cell r="N1725"/>
          <cell r="O1725"/>
          <cell r="P1725"/>
          <cell r="Q1725"/>
          <cell r="R1725"/>
          <cell r="S1725"/>
        </row>
        <row r="1726">
          <cell r="J1726"/>
          <cell r="K1726"/>
          <cell r="L1726"/>
          <cell r="M1726"/>
          <cell r="N1726"/>
          <cell r="O1726"/>
          <cell r="P1726"/>
          <cell r="Q1726"/>
          <cell r="R1726"/>
          <cell r="S1726"/>
        </row>
        <row r="1727">
          <cell r="J1727"/>
          <cell r="K1727"/>
          <cell r="L1727"/>
          <cell r="M1727"/>
          <cell r="N1727"/>
          <cell r="O1727"/>
          <cell r="P1727"/>
          <cell r="Q1727"/>
          <cell r="R1727"/>
          <cell r="S1727"/>
        </row>
        <row r="1728">
          <cell r="J1728"/>
          <cell r="K1728"/>
          <cell r="L1728"/>
          <cell r="M1728"/>
          <cell r="N1728"/>
          <cell r="O1728"/>
          <cell r="P1728"/>
          <cell r="Q1728"/>
          <cell r="R1728"/>
          <cell r="S1728"/>
        </row>
        <row r="1729">
          <cell r="J1729"/>
          <cell r="K1729"/>
          <cell r="L1729"/>
          <cell r="M1729"/>
          <cell r="N1729"/>
          <cell r="O1729"/>
          <cell r="P1729"/>
          <cell r="Q1729"/>
          <cell r="R1729"/>
          <cell r="S1729"/>
        </row>
        <row r="1730">
          <cell r="J1730"/>
          <cell r="K1730"/>
          <cell r="L1730"/>
          <cell r="M1730"/>
          <cell r="N1730"/>
          <cell r="O1730"/>
          <cell r="P1730"/>
          <cell r="Q1730"/>
          <cell r="R1730"/>
          <cell r="S1730"/>
        </row>
        <row r="1731">
          <cell r="J1731"/>
          <cell r="K1731"/>
          <cell r="L1731"/>
          <cell r="M1731"/>
          <cell r="N1731"/>
          <cell r="O1731"/>
          <cell r="P1731"/>
          <cell r="Q1731"/>
          <cell r="R1731"/>
          <cell r="S1731"/>
        </row>
        <row r="1732">
          <cell r="J1732"/>
          <cell r="K1732"/>
          <cell r="L1732"/>
          <cell r="M1732"/>
          <cell r="N1732"/>
          <cell r="O1732"/>
          <cell r="P1732"/>
          <cell r="Q1732"/>
          <cell r="R1732"/>
          <cell r="S1732"/>
        </row>
        <row r="1733">
          <cell r="J1733"/>
          <cell r="K1733"/>
          <cell r="L1733"/>
          <cell r="M1733"/>
          <cell r="N1733"/>
          <cell r="O1733"/>
          <cell r="P1733"/>
          <cell r="Q1733"/>
          <cell r="R1733"/>
          <cell r="S1733"/>
        </row>
        <row r="1734">
          <cell r="J1734"/>
          <cell r="K1734"/>
          <cell r="L1734"/>
          <cell r="M1734"/>
          <cell r="N1734"/>
          <cell r="O1734"/>
          <cell r="P1734"/>
          <cell r="Q1734"/>
          <cell r="R1734"/>
          <cell r="S1734"/>
        </row>
        <row r="1735">
          <cell r="J1735"/>
          <cell r="K1735"/>
          <cell r="L1735"/>
          <cell r="M1735"/>
          <cell r="N1735"/>
          <cell r="O1735"/>
          <cell r="P1735"/>
          <cell r="Q1735"/>
          <cell r="R1735"/>
          <cell r="S1735"/>
        </row>
        <row r="1736">
          <cell r="J1736"/>
          <cell r="K1736"/>
          <cell r="L1736"/>
          <cell r="M1736"/>
          <cell r="N1736"/>
          <cell r="O1736"/>
          <cell r="P1736"/>
          <cell r="Q1736"/>
          <cell r="R1736"/>
          <cell r="S1736"/>
        </row>
        <row r="1737">
          <cell r="J1737"/>
          <cell r="K1737"/>
          <cell r="L1737"/>
          <cell r="M1737"/>
          <cell r="N1737"/>
          <cell r="O1737"/>
          <cell r="P1737"/>
          <cell r="Q1737"/>
          <cell r="R1737"/>
          <cell r="S1737"/>
        </row>
        <row r="1738">
          <cell r="J1738"/>
          <cell r="K1738"/>
          <cell r="L1738"/>
          <cell r="M1738"/>
          <cell r="N1738"/>
          <cell r="O1738"/>
          <cell r="P1738"/>
          <cell r="Q1738"/>
          <cell r="R1738"/>
          <cell r="S1738"/>
        </row>
        <row r="1739">
          <cell r="J1739"/>
          <cell r="K1739"/>
          <cell r="L1739"/>
          <cell r="M1739"/>
          <cell r="N1739"/>
          <cell r="O1739"/>
          <cell r="P1739"/>
          <cell r="Q1739"/>
          <cell r="R1739"/>
          <cell r="S1739"/>
        </row>
        <row r="1740">
          <cell r="J1740"/>
          <cell r="K1740"/>
          <cell r="L1740"/>
          <cell r="M1740"/>
          <cell r="N1740"/>
          <cell r="O1740"/>
          <cell r="P1740"/>
          <cell r="Q1740"/>
          <cell r="R1740"/>
          <cell r="S1740"/>
        </row>
        <row r="1741">
          <cell r="J1741"/>
          <cell r="K1741"/>
          <cell r="L1741"/>
          <cell r="M1741"/>
          <cell r="N1741"/>
          <cell r="O1741"/>
          <cell r="P1741"/>
          <cell r="Q1741"/>
          <cell r="R1741"/>
          <cell r="S1741"/>
        </row>
        <row r="1742">
          <cell r="J1742"/>
          <cell r="K1742"/>
          <cell r="L1742"/>
          <cell r="M1742"/>
          <cell r="N1742"/>
          <cell r="O1742"/>
          <cell r="P1742"/>
          <cell r="Q1742"/>
          <cell r="R1742"/>
          <cell r="S1742"/>
        </row>
        <row r="1743">
          <cell r="J1743"/>
          <cell r="K1743"/>
          <cell r="L1743"/>
          <cell r="M1743"/>
          <cell r="N1743"/>
          <cell r="O1743"/>
          <cell r="P1743"/>
          <cell r="Q1743"/>
          <cell r="R1743"/>
          <cell r="S1743"/>
        </row>
        <row r="1744">
          <cell r="J1744"/>
          <cell r="K1744"/>
          <cell r="L1744"/>
          <cell r="M1744"/>
          <cell r="N1744"/>
          <cell r="O1744"/>
          <cell r="P1744"/>
          <cell r="Q1744"/>
          <cell r="R1744"/>
          <cell r="S1744"/>
        </row>
        <row r="1745">
          <cell r="J1745"/>
          <cell r="K1745"/>
          <cell r="L1745"/>
          <cell r="M1745"/>
          <cell r="N1745"/>
          <cell r="O1745"/>
          <cell r="P1745"/>
          <cell r="Q1745"/>
          <cell r="R1745"/>
          <cell r="S1745"/>
        </row>
        <row r="1746">
          <cell r="J1746"/>
          <cell r="K1746"/>
          <cell r="L1746"/>
          <cell r="M1746"/>
          <cell r="N1746"/>
          <cell r="O1746"/>
          <cell r="P1746"/>
          <cell r="Q1746"/>
          <cell r="R1746"/>
          <cell r="S1746"/>
        </row>
        <row r="1747">
          <cell r="J1747"/>
          <cell r="K1747"/>
          <cell r="L1747"/>
          <cell r="M1747"/>
          <cell r="N1747"/>
          <cell r="O1747"/>
          <cell r="P1747"/>
          <cell r="Q1747"/>
          <cell r="R1747"/>
          <cell r="S1747"/>
        </row>
        <row r="1748">
          <cell r="J1748"/>
          <cell r="K1748"/>
          <cell r="L1748"/>
          <cell r="M1748"/>
          <cell r="N1748"/>
          <cell r="O1748"/>
          <cell r="P1748"/>
          <cell r="Q1748"/>
          <cell r="R1748"/>
          <cell r="S1748"/>
        </row>
        <row r="1749">
          <cell r="J1749"/>
          <cell r="K1749"/>
          <cell r="L1749"/>
          <cell r="M1749"/>
          <cell r="N1749"/>
          <cell r="O1749"/>
          <cell r="P1749"/>
          <cell r="Q1749"/>
          <cell r="R1749"/>
          <cell r="S1749"/>
        </row>
        <row r="1750">
          <cell r="J1750"/>
          <cell r="K1750"/>
          <cell r="L1750"/>
          <cell r="M1750"/>
          <cell r="N1750"/>
          <cell r="O1750"/>
          <cell r="P1750"/>
          <cell r="Q1750"/>
          <cell r="R1750"/>
          <cell r="S1750"/>
        </row>
        <row r="1751">
          <cell r="J1751"/>
          <cell r="K1751"/>
          <cell r="L1751"/>
          <cell r="M1751"/>
          <cell r="N1751"/>
          <cell r="O1751"/>
          <cell r="P1751"/>
          <cell r="Q1751"/>
          <cell r="R1751"/>
          <cell r="S1751"/>
        </row>
        <row r="1752">
          <cell r="J1752"/>
          <cell r="K1752"/>
          <cell r="L1752"/>
          <cell r="M1752"/>
          <cell r="N1752"/>
          <cell r="O1752"/>
          <cell r="P1752"/>
          <cell r="Q1752"/>
          <cell r="R1752"/>
          <cell r="S1752"/>
        </row>
        <row r="1753">
          <cell r="J1753"/>
          <cell r="K1753"/>
          <cell r="L1753"/>
          <cell r="M1753"/>
          <cell r="N1753"/>
          <cell r="O1753"/>
          <cell r="P1753"/>
          <cell r="Q1753"/>
          <cell r="R1753"/>
          <cell r="S1753"/>
        </row>
        <row r="1754">
          <cell r="J1754"/>
          <cell r="K1754"/>
          <cell r="L1754"/>
          <cell r="M1754"/>
          <cell r="N1754"/>
          <cell r="O1754"/>
          <cell r="P1754"/>
          <cell r="Q1754"/>
          <cell r="R1754"/>
          <cell r="S1754"/>
        </row>
        <row r="1755">
          <cell r="J1755"/>
          <cell r="K1755"/>
          <cell r="L1755"/>
          <cell r="M1755"/>
          <cell r="N1755"/>
          <cell r="O1755"/>
          <cell r="P1755"/>
          <cell r="Q1755"/>
          <cell r="R1755"/>
          <cell r="S1755"/>
        </row>
        <row r="1756">
          <cell r="J1756"/>
          <cell r="K1756"/>
          <cell r="L1756"/>
          <cell r="M1756"/>
          <cell r="N1756"/>
          <cell r="O1756"/>
          <cell r="P1756"/>
          <cell r="Q1756"/>
          <cell r="R1756"/>
          <cell r="S1756"/>
        </row>
        <row r="1757">
          <cell r="J1757"/>
          <cell r="K1757"/>
          <cell r="L1757"/>
          <cell r="M1757"/>
          <cell r="N1757"/>
          <cell r="O1757"/>
          <cell r="P1757"/>
          <cell r="Q1757"/>
          <cell r="R1757"/>
          <cell r="S1757"/>
        </row>
        <row r="1758">
          <cell r="J1758"/>
          <cell r="K1758"/>
          <cell r="L1758"/>
          <cell r="M1758"/>
          <cell r="N1758"/>
          <cell r="O1758"/>
          <cell r="P1758"/>
          <cell r="Q1758"/>
          <cell r="R1758"/>
          <cell r="S1758"/>
        </row>
        <row r="1759">
          <cell r="J1759"/>
          <cell r="K1759"/>
          <cell r="L1759"/>
          <cell r="M1759"/>
          <cell r="N1759"/>
          <cell r="O1759"/>
          <cell r="P1759"/>
          <cell r="Q1759"/>
          <cell r="R1759"/>
          <cell r="S1759"/>
        </row>
        <row r="1760">
          <cell r="J1760"/>
          <cell r="K1760"/>
          <cell r="L1760"/>
          <cell r="M1760"/>
          <cell r="N1760"/>
          <cell r="O1760"/>
          <cell r="P1760"/>
          <cell r="Q1760"/>
          <cell r="R1760"/>
          <cell r="S1760"/>
        </row>
        <row r="1761">
          <cell r="J1761"/>
          <cell r="K1761"/>
          <cell r="L1761"/>
          <cell r="M1761"/>
          <cell r="N1761"/>
          <cell r="O1761"/>
          <cell r="P1761"/>
          <cell r="Q1761"/>
          <cell r="R1761"/>
          <cell r="S1761"/>
        </row>
        <row r="1762">
          <cell r="J1762"/>
          <cell r="K1762"/>
          <cell r="L1762"/>
          <cell r="M1762"/>
          <cell r="N1762"/>
          <cell r="O1762"/>
          <cell r="P1762"/>
          <cell r="Q1762"/>
          <cell r="R1762"/>
          <cell r="S1762"/>
        </row>
        <row r="1763">
          <cell r="J1763"/>
          <cell r="K1763"/>
          <cell r="L1763"/>
          <cell r="M1763"/>
          <cell r="N1763"/>
          <cell r="O1763"/>
          <cell r="P1763"/>
          <cell r="Q1763"/>
          <cell r="R1763"/>
          <cell r="S1763"/>
        </row>
        <row r="1764">
          <cell r="J1764"/>
          <cell r="K1764"/>
          <cell r="L1764"/>
          <cell r="M1764"/>
          <cell r="N1764"/>
          <cell r="O1764"/>
          <cell r="P1764"/>
          <cell r="Q1764"/>
          <cell r="R1764"/>
          <cell r="S1764"/>
        </row>
        <row r="1765">
          <cell r="J1765"/>
          <cell r="K1765"/>
          <cell r="L1765"/>
          <cell r="M1765"/>
          <cell r="N1765"/>
          <cell r="O1765"/>
          <cell r="P1765"/>
          <cell r="Q1765"/>
          <cell r="R1765"/>
          <cell r="S1765"/>
        </row>
        <row r="1766">
          <cell r="J1766"/>
          <cell r="K1766"/>
          <cell r="L1766"/>
          <cell r="M1766"/>
          <cell r="N1766"/>
          <cell r="O1766"/>
          <cell r="P1766"/>
          <cell r="Q1766"/>
          <cell r="R1766"/>
          <cell r="S1766"/>
        </row>
        <row r="1767">
          <cell r="J1767"/>
          <cell r="K1767"/>
          <cell r="L1767"/>
          <cell r="M1767"/>
          <cell r="N1767"/>
          <cell r="O1767"/>
          <cell r="P1767"/>
          <cell r="Q1767"/>
          <cell r="R1767"/>
          <cell r="S1767"/>
        </row>
        <row r="1768">
          <cell r="J1768"/>
          <cell r="K1768"/>
          <cell r="L1768"/>
          <cell r="M1768"/>
          <cell r="N1768"/>
          <cell r="O1768"/>
          <cell r="P1768"/>
          <cell r="Q1768"/>
          <cell r="R1768"/>
          <cell r="S1768"/>
        </row>
        <row r="1769">
          <cell r="J1769"/>
          <cell r="K1769"/>
          <cell r="L1769"/>
          <cell r="M1769"/>
          <cell r="N1769"/>
          <cell r="O1769"/>
          <cell r="P1769"/>
          <cell r="Q1769"/>
          <cell r="R1769"/>
          <cell r="S1769"/>
        </row>
        <row r="1770">
          <cell r="J1770"/>
          <cell r="K1770"/>
          <cell r="L1770"/>
          <cell r="M1770"/>
          <cell r="N1770"/>
          <cell r="O1770"/>
          <cell r="P1770"/>
          <cell r="Q1770"/>
          <cell r="R1770"/>
          <cell r="S1770"/>
        </row>
        <row r="1771">
          <cell r="J1771"/>
          <cell r="K1771"/>
          <cell r="L1771"/>
          <cell r="M1771"/>
          <cell r="N1771"/>
          <cell r="O1771"/>
          <cell r="P1771"/>
          <cell r="Q1771"/>
          <cell r="R1771"/>
          <cell r="S1771"/>
        </row>
        <row r="1772">
          <cell r="J1772"/>
          <cell r="K1772"/>
          <cell r="L1772"/>
          <cell r="M1772"/>
          <cell r="N1772"/>
          <cell r="O1772"/>
          <cell r="P1772"/>
          <cell r="Q1772"/>
          <cell r="R1772"/>
          <cell r="S1772"/>
        </row>
        <row r="1773">
          <cell r="J1773"/>
          <cell r="K1773"/>
          <cell r="L1773"/>
          <cell r="M1773"/>
          <cell r="N1773"/>
          <cell r="O1773"/>
          <cell r="P1773"/>
          <cell r="Q1773"/>
          <cell r="R1773"/>
          <cell r="S1773"/>
        </row>
        <row r="1774">
          <cell r="J1774"/>
          <cell r="K1774"/>
          <cell r="L1774"/>
          <cell r="M1774"/>
          <cell r="N1774"/>
          <cell r="O1774"/>
          <cell r="P1774"/>
          <cell r="Q1774"/>
          <cell r="R1774"/>
          <cell r="S1774"/>
        </row>
        <row r="1775">
          <cell r="J1775"/>
          <cell r="K1775"/>
          <cell r="L1775"/>
          <cell r="M1775"/>
          <cell r="N1775"/>
          <cell r="O1775"/>
          <cell r="P1775"/>
          <cell r="Q1775"/>
          <cell r="R1775"/>
          <cell r="S1775"/>
        </row>
        <row r="1776">
          <cell r="J1776"/>
          <cell r="K1776"/>
          <cell r="L1776"/>
          <cell r="M1776"/>
          <cell r="N1776"/>
          <cell r="O1776"/>
          <cell r="P1776"/>
          <cell r="Q1776"/>
          <cell r="R1776"/>
          <cell r="S1776"/>
        </row>
        <row r="1777">
          <cell r="J1777"/>
          <cell r="K1777"/>
          <cell r="L1777"/>
          <cell r="M1777"/>
          <cell r="N1777"/>
          <cell r="O1777"/>
          <cell r="P1777"/>
          <cell r="Q1777"/>
          <cell r="R1777"/>
          <cell r="S1777"/>
        </row>
        <row r="1778">
          <cell r="J1778"/>
          <cell r="K1778"/>
          <cell r="L1778"/>
          <cell r="M1778"/>
          <cell r="N1778"/>
          <cell r="O1778"/>
          <cell r="P1778"/>
          <cell r="Q1778"/>
          <cell r="R1778"/>
          <cell r="S1778"/>
        </row>
        <row r="1779">
          <cell r="J1779"/>
          <cell r="K1779"/>
          <cell r="L1779"/>
          <cell r="M1779"/>
          <cell r="N1779"/>
          <cell r="O1779"/>
          <cell r="P1779"/>
          <cell r="Q1779"/>
          <cell r="R1779"/>
          <cell r="S1779"/>
        </row>
        <row r="1780">
          <cell r="J1780"/>
          <cell r="K1780"/>
          <cell r="L1780"/>
          <cell r="M1780"/>
          <cell r="N1780"/>
          <cell r="O1780"/>
          <cell r="P1780"/>
          <cell r="Q1780"/>
          <cell r="R1780"/>
          <cell r="S1780"/>
        </row>
        <row r="1781">
          <cell r="J1781"/>
          <cell r="K1781"/>
          <cell r="L1781"/>
          <cell r="M1781"/>
          <cell r="N1781"/>
          <cell r="O1781"/>
          <cell r="P1781"/>
          <cell r="Q1781"/>
          <cell r="R1781"/>
          <cell r="S1781"/>
        </row>
        <row r="1782">
          <cell r="J1782"/>
          <cell r="K1782"/>
          <cell r="L1782"/>
          <cell r="M1782"/>
          <cell r="N1782"/>
          <cell r="O1782"/>
          <cell r="P1782"/>
          <cell r="Q1782"/>
          <cell r="R1782"/>
          <cell r="S1782"/>
        </row>
        <row r="1783">
          <cell r="J1783"/>
          <cell r="K1783"/>
          <cell r="L1783"/>
          <cell r="M1783"/>
          <cell r="N1783"/>
          <cell r="O1783"/>
          <cell r="P1783"/>
          <cell r="Q1783"/>
          <cell r="R1783"/>
          <cell r="S1783"/>
        </row>
        <row r="1784">
          <cell r="J1784"/>
          <cell r="K1784"/>
          <cell r="L1784"/>
          <cell r="M1784"/>
          <cell r="N1784"/>
          <cell r="O1784"/>
          <cell r="P1784"/>
          <cell r="Q1784"/>
          <cell r="R1784"/>
          <cell r="S1784"/>
        </row>
        <row r="1785">
          <cell r="J1785"/>
          <cell r="K1785"/>
          <cell r="L1785"/>
          <cell r="M1785"/>
          <cell r="N1785"/>
          <cell r="O1785"/>
          <cell r="P1785"/>
          <cell r="Q1785"/>
          <cell r="R1785"/>
          <cell r="S1785"/>
        </row>
        <row r="1786">
          <cell r="J1786"/>
          <cell r="K1786"/>
          <cell r="L1786"/>
          <cell r="M1786"/>
          <cell r="N1786"/>
          <cell r="O1786"/>
          <cell r="P1786"/>
          <cell r="Q1786"/>
          <cell r="R1786"/>
          <cell r="S1786"/>
        </row>
        <row r="1787">
          <cell r="J1787"/>
          <cell r="K1787"/>
          <cell r="L1787"/>
          <cell r="M1787"/>
          <cell r="N1787"/>
          <cell r="O1787"/>
          <cell r="P1787"/>
          <cell r="Q1787"/>
          <cell r="R1787"/>
          <cell r="S1787"/>
        </row>
        <row r="1788">
          <cell r="J1788"/>
          <cell r="K1788"/>
          <cell r="L1788"/>
          <cell r="M1788"/>
          <cell r="N1788"/>
          <cell r="O1788"/>
          <cell r="P1788"/>
          <cell r="Q1788"/>
          <cell r="R1788"/>
          <cell r="S1788"/>
        </row>
        <row r="1789">
          <cell r="J1789"/>
          <cell r="K1789"/>
          <cell r="L1789"/>
          <cell r="M1789"/>
          <cell r="N1789"/>
          <cell r="O1789"/>
          <cell r="P1789"/>
          <cell r="Q1789"/>
          <cell r="R1789"/>
          <cell r="S1789"/>
        </row>
        <row r="1790">
          <cell r="J1790"/>
          <cell r="K1790"/>
          <cell r="L1790"/>
          <cell r="M1790"/>
          <cell r="N1790"/>
          <cell r="O1790"/>
          <cell r="P1790"/>
          <cell r="Q1790"/>
          <cell r="R1790"/>
          <cell r="S1790"/>
        </row>
        <row r="1791">
          <cell r="J1791"/>
          <cell r="K1791"/>
          <cell r="L1791"/>
          <cell r="M1791"/>
          <cell r="N1791"/>
          <cell r="O1791"/>
          <cell r="P1791"/>
          <cell r="Q1791"/>
          <cell r="R1791"/>
          <cell r="S1791"/>
        </row>
        <row r="1792">
          <cell r="J1792"/>
          <cell r="K1792"/>
          <cell r="L1792"/>
          <cell r="M1792"/>
          <cell r="N1792"/>
          <cell r="O1792"/>
          <cell r="P1792"/>
          <cell r="Q1792"/>
          <cell r="R1792"/>
          <cell r="S1792"/>
        </row>
        <row r="1793">
          <cell r="J1793"/>
          <cell r="K1793"/>
          <cell r="L1793"/>
          <cell r="M1793"/>
          <cell r="N1793"/>
          <cell r="O1793"/>
          <cell r="P1793"/>
          <cell r="Q1793"/>
          <cell r="R1793"/>
          <cell r="S1793"/>
        </row>
        <row r="1794">
          <cell r="J1794"/>
          <cell r="K1794"/>
          <cell r="L1794"/>
          <cell r="M1794"/>
          <cell r="N1794"/>
          <cell r="O1794"/>
          <cell r="P1794"/>
          <cell r="Q1794"/>
          <cell r="R1794"/>
          <cell r="S1794"/>
        </row>
        <row r="1795">
          <cell r="J1795"/>
          <cell r="K1795"/>
          <cell r="L1795"/>
          <cell r="M1795"/>
          <cell r="N1795"/>
          <cell r="O1795"/>
          <cell r="P1795"/>
          <cell r="Q1795"/>
          <cell r="R1795"/>
          <cell r="S1795"/>
        </row>
        <row r="1796">
          <cell r="J1796"/>
          <cell r="K1796"/>
          <cell r="L1796"/>
          <cell r="M1796"/>
          <cell r="N1796"/>
          <cell r="O1796"/>
          <cell r="P1796"/>
          <cell r="Q1796"/>
          <cell r="R1796"/>
          <cell r="S1796"/>
        </row>
        <row r="1797">
          <cell r="J1797"/>
          <cell r="K1797"/>
          <cell r="L1797"/>
          <cell r="M1797"/>
          <cell r="N1797"/>
          <cell r="O1797"/>
          <cell r="P1797"/>
          <cell r="Q1797"/>
          <cell r="R1797"/>
          <cell r="S1797"/>
        </row>
        <row r="1798">
          <cell r="J1798"/>
          <cell r="K1798"/>
          <cell r="L1798"/>
          <cell r="M1798"/>
          <cell r="N1798"/>
          <cell r="O1798"/>
          <cell r="P1798"/>
          <cell r="Q1798"/>
          <cell r="R1798"/>
          <cell r="S1798"/>
        </row>
        <row r="1799">
          <cell r="J1799"/>
          <cell r="K1799"/>
          <cell r="L1799"/>
          <cell r="M1799"/>
          <cell r="N1799"/>
          <cell r="O1799"/>
          <cell r="P1799"/>
          <cell r="Q1799"/>
          <cell r="R1799"/>
          <cell r="S1799"/>
        </row>
        <row r="1800">
          <cell r="J1800"/>
          <cell r="K1800"/>
          <cell r="L1800"/>
          <cell r="M1800"/>
          <cell r="N1800"/>
          <cell r="O1800"/>
          <cell r="P1800"/>
          <cell r="Q1800"/>
          <cell r="R1800"/>
          <cell r="S1800"/>
        </row>
        <row r="1801">
          <cell r="J1801"/>
          <cell r="K1801"/>
          <cell r="L1801"/>
          <cell r="M1801"/>
          <cell r="N1801"/>
          <cell r="O1801"/>
          <cell r="P1801"/>
          <cell r="Q1801"/>
          <cell r="R1801"/>
          <cell r="S1801"/>
        </row>
        <row r="1802">
          <cell r="J1802"/>
          <cell r="K1802"/>
          <cell r="L1802"/>
          <cell r="M1802"/>
          <cell r="N1802"/>
          <cell r="O1802"/>
          <cell r="P1802"/>
          <cell r="Q1802"/>
          <cell r="R1802"/>
          <cell r="S1802"/>
        </row>
        <row r="1803">
          <cell r="J1803"/>
          <cell r="K1803"/>
          <cell r="L1803"/>
          <cell r="M1803"/>
          <cell r="N1803"/>
          <cell r="O1803"/>
          <cell r="P1803"/>
          <cell r="Q1803"/>
          <cell r="R1803"/>
          <cell r="S1803"/>
        </row>
        <row r="1804">
          <cell r="J1804"/>
          <cell r="K1804"/>
          <cell r="L1804"/>
          <cell r="M1804"/>
          <cell r="N1804"/>
          <cell r="O1804"/>
          <cell r="P1804"/>
          <cell r="Q1804"/>
          <cell r="R1804"/>
          <cell r="S1804"/>
        </row>
        <row r="1805">
          <cell r="J1805"/>
          <cell r="K1805"/>
          <cell r="L1805"/>
          <cell r="M1805"/>
          <cell r="N1805"/>
          <cell r="O1805"/>
          <cell r="P1805"/>
          <cell r="Q1805"/>
          <cell r="R1805"/>
          <cell r="S1805"/>
        </row>
        <row r="1806">
          <cell r="J1806"/>
          <cell r="K1806"/>
          <cell r="L1806"/>
          <cell r="M1806"/>
          <cell r="N1806"/>
          <cell r="O1806"/>
          <cell r="P1806"/>
          <cell r="Q1806"/>
          <cell r="R1806"/>
          <cell r="S1806"/>
        </row>
        <row r="1807">
          <cell r="J1807"/>
          <cell r="K1807"/>
          <cell r="L1807"/>
          <cell r="M1807"/>
          <cell r="N1807"/>
          <cell r="O1807"/>
          <cell r="P1807"/>
          <cell r="Q1807"/>
          <cell r="R1807"/>
          <cell r="S1807"/>
        </row>
        <row r="1808">
          <cell r="J1808"/>
          <cell r="K1808"/>
          <cell r="L1808"/>
          <cell r="M1808"/>
          <cell r="N1808"/>
          <cell r="O1808"/>
          <cell r="P1808"/>
          <cell r="Q1808"/>
          <cell r="R1808"/>
          <cell r="S1808"/>
        </row>
        <row r="1809">
          <cell r="J1809"/>
          <cell r="K1809"/>
          <cell r="L1809"/>
          <cell r="M1809"/>
          <cell r="N1809"/>
          <cell r="O1809"/>
          <cell r="P1809"/>
          <cell r="Q1809"/>
          <cell r="R1809"/>
          <cell r="S1809"/>
        </row>
        <row r="1810">
          <cell r="J1810"/>
          <cell r="K1810"/>
          <cell r="L1810"/>
          <cell r="M1810"/>
          <cell r="N1810"/>
          <cell r="O1810"/>
          <cell r="P1810"/>
          <cell r="Q1810"/>
          <cell r="R1810"/>
          <cell r="S1810"/>
        </row>
        <row r="1811">
          <cell r="J1811"/>
          <cell r="K1811"/>
          <cell r="L1811"/>
          <cell r="M1811"/>
          <cell r="N1811"/>
          <cell r="O1811"/>
          <cell r="P1811"/>
          <cell r="Q1811"/>
          <cell r="R1811"/>
          <cell r="S1811"/>
        </row>
        <row r="1812">
          <cell r="J1812"/>
          <cell r="K1812"/>
          <cell r="L1812"/>
          <cell r="M1812"/>
          <cell r="N1812"/>
          <cell r="O1812"/>
          <cell r="P1812"/>
          <cell r="Q1812"/>
          <cell r="R1812"/>
          <cell r="S1812"/>
        </row>
        <row r="1813">
          <cell r="J1813"/>
          <cell r="K1813"/>
          <cell r="L1813"/>
          <cell r="M1813"/>
          <cell r="N1813"/>
          <cell r="O1813"/>
          <cell r="P1813"/>
          <cell r="Q1813"/>
          <cell r="R1813"/>
          <cell r="S1813"/>
        </row>
        <row r="1814">
          <cell r="J1814"/>
          <cell r="K1814"/>
          <cell r="L1814"/>
          <cell r="M1814"/>
          <cell r="N1814"/>
          <cell r="O1814"/>
          <cell r="P1814"/>
          <cell r="Q1814"/>
          <cell r="R1814"/>
          <cell r="S1814"/>
        </row>
        <row r="1815">
          <cell r="J1815"/>
          <cell r="K1815"/>
          <cell r="L1815"/>
          <cell r="M1815"/>
          <cell r="N1815"/>
          <cell r="O1815"/>
          <cell r="P1815"/>
          <cell r="Q1815"/>
          <cell r="R1815"/>
          <cell r="S1815"/>
        </row>
        <row r="1816">
          <cell r="J1816"/>
          <cell r="K1816"/>
          <cell r="L1816"/>
          <cell r="M1816"/>
          <cell r="N1816"/>
          <cell r="O1816"/>
          <cell r="P1816"/>
          <cell r="Q1816"/>
          <cell r="R1816"/>
          <cell r="S1816"/>
        </row>
        <row r="1817">
          <cell r="J1817"/>
          <cell r="K1817"/>
          <cell r="L1817"/>
          <cell r="M1817"/>
          <cell r="N1817"/>
          <cell r="O1817"/>
          <cell r="P1817"/>
          <cell r="Q1817"/>
          <cell r="R1817"/>
          <cell r="S1817"/>
        </row>
        <row r="1818">
          <cell r="J1818"/>
          <cell r="K1818"/>
          <cell r="L1818"/>
          <cell r="M1818"/>
          <cell r="N1818"/>
          <cell r="O1818"/>
          <cell r="P1818"/>
          <cell r="Q1818"/>
          <cell r="R1818"/>
          <cell r="S1818"/>
        </row>
        <row r="1819">
          <cell r="J1819"/>
          <cell r="K1819"/>
          <cell r="L1819"/>
          <cell r="M1819"/>
          <cell r="N1819"/>
          <cell r="O1819"/>
          <cell r="P1819"/>
          <cell r="Q1819"/>
          <cell r="R1819"/>
          <cell r="S1819"/>
        </row>
        <row r="1820">
          <cell r="J1820"/>
          <cell r="K1820"/>
          <cell r="L1820"/>
          <cell r="M1820"/>
          <cell r="N1820"/>
          <cell r="O1820"/>
          <cell r="P1820"/>
          <cell r="Q1820"/>
          <cell r="R1820"/>
          <cell r="S1820"/>
        </row>
        <row r="1821">
          <cell r="J1821"/>
          <cell r="K1821"/>
          <cell r="L1821"/>
          <cell r="M1821"/>
          <cell r="N1821"/>
          <cell r="O1821"/>
          <cell r="P1821"/>
          <cell r="Q1821"/>
          <cell r="R1821"/>
          <cell r="S1821"/>
        </row>
        <row r="1822">
          <cell r="J1822"/>
          <cell r="K1822"/>
          <cell r="L1822"/>
          <cell r="M1822"/>
          <cell r="N1822"/>
          <cell r="O1822"/>
          <cell r="P1822"/>
          <cell r="Q1822"/>
          <cell r="R1822"/>
          <cell r="S1822"/>
        </row>
        <row r="1823">
          <cell r="J1823"/>
          <cell r="K1823"/>
          <cell r="L1823"/>
          <cell r="M1823"/>
          <cell r="N1823"/>
          <cell r="O1823"/>
          <cell r="P1823"/>
          <cell r="Q1823"/>
          <cell r="R1823"/>
          <cell r="S1823"/>
        </row>
        <row r="1824">
          <cell r="J1824"/>
          <cell r="K1824"/>
          <cell r="L1824"/>
          <cell r="M1824"/>
          <cell r="N1824"/>
          <cell r="O1824"/>
          <cell r="P1824"/>
          <cell r="Q1824"/>
          <cell r="R1824"/>
          <cell r="S1824"/>
        </row>
        <row r="1825">
          <cell r="J1825"/>
          <cell r="K1825"/>
          <cell r="L1825"/>
          <cell r="M1825"/>
          <cell r="N1825"/>
          <cell r="O1825"/>
          <cell r="P1825"/>
          <cell r="Q1825"/>
          <cell r="R1825"/>
          <cell r="S1825"/>
        </row>
        <row r="1826">
          <cell r="J1826"/>
          <cell r="K1826"/>
          <cell r="L1826"/>
          <cell r="M1826"/>
          <cell r="N1826"/>
          <cell r="O1826"/>
          <cell r="P1826"/>
          <cell r="Q1826"/>
          <cell r="R1826"/>
          <cell r="S1826"/>
        </row>
        <row r="1827">
          <cell r="J1827"/>
          <cell r="K1827"/>
          <cell r="L1827"/>
          <cell r="M1827"/>
          <cell r="N1827"/>
          <cell r="O1827"/>
          <cell r="P1827"/>
          <cell r="Q1827"/>
          <cell r="R1827"/>
          <cell r="S1827"/>
        </row>
        <row r="1828">
          <cell r="J1828"/>
          <cell r="K1828"/>
          <cell r="L1828"/>
          <cell r="M1828"/>
        </row>
        <row r="1829">
          <cell r="J1829"/>
          <cell r="K1829"/>
          <cell r="L1829"/>
          <cell r="M1829"/>
        </row>
        <row r="1830">
          <cell r="J1830"/>
          <cell r="K1830"/>
          <cell r="L1830"/>
          <cell r="M1830"/>
        </row>
        <row r="1831">
          <cell r="J1831"/>
          <cell r="K1831"/>
          <cell r="L1831"/>
          <cell r="M1831"/>
        </row>
        <row r="1832">
          <cell r="J1832"/>
          <cell r="K1832"/>
          <cell r="L1832"/>
          <cell r="M1832"/>
        </row>
        <row r="1833">
          <cell r="J1833"/>
          <cell r="K1833"/>
          <cell r="L1833"/>
          <cell r="M1833"/>
        </row>
        <row r="1834">
          <cell r="J1834"/>
          <cell r="K1834"/>
          <cell r="L1834"/>
          <cell r="M1834"/>
        </row>
        <row r="1835">
          <cell r="J1835"/>
          <cell r="K1835"/>
          <cell r="L1835"/>
          <cell r="M1835"/>
        </row>
        <row r="1836">
          <cell r="J1836"/>
          <cell r="K1836"/>
          <cell r="L1836"/>
          <cell r="M1836"/>
        </row>
        <row r="1837">
          <cell r="J1837"/>
          <cell r="K1837"/>
          <cell r="L1837"/>
          <cell r="M1837"/>
        </row>
        <row r="1838">
          <cell r="J1838"/>
          <cell r="K1838"/>
          <cell r="L1838"/>
          <cell r="M1838"/>
        </row>
        <row r="1839">
          <cell r="J1839"/>
          <cell r="K1839"/>
          <cell r="L1839"/>
          <cell r="M1839"/>
        </row>
        <row r="1840">
          <cell r="J1840"/>
          <cell r="K1840"/>
          <cell r="L1840"/>
          <cell r="M1840"/>
        </row>
        <row r="1841">
          <cell r="J1841"/>
          <cell r="K1841"/>
          <cell r="L1841"/>
          <cell r="M1841"/>
        </row>
        <row r="1842">
          <cell r="J1842"/>
          <cell r="K1842"/>
          <cell r="L1842"/>
          <cell r="M1842"/>
        </row>
        <row r="1843">
          <cell r="J1843"/>
          <cell r="K1843"/>
          <cell r="L1843"/>
          <cell r="M1843"/>
        </row>
        <row r="1844">
          <cell r="J1844"/>
          <cell r="K1844"/>
          <cell r="L1844"/>
          <cell r="M1844"/>
        </row>
        <row r="1845">
          <cell r="J1845"/>
          <cell r="K1845"/>
          <cell r="L1845"/>
          <cell r="M1845"/>
        </row>
        <row r="1846">
          <cell r="J1846"/>
          <cell r="K1846"/>
          <cell r="L1846"/>
          <cell r="M1846"/>
        </row>
        <row r="1847">
          <cell r="J1847"/>
          <cell r="K1847"/>
          <cell r="L1847"/>
          <cell r="M1847"/>
        </row>
        <row r="1848">
          <cell r="J1848"/>
          <cell r="K1848"/>
          <cell r="L1848"/>
          <cell r="M1848"/>
        </row>
        <row r="1849">
          <cell r="J1849"/>
          <cell r="K1849"/>
          <cell r="L1849"/>
          <cell r="M1849"/>
        </row>
        <row r="1850">
          <cell r="J1850"/>
          <cell r="K1850"/>
          <cell r="L1850"/>
          <cell r="M1850"/>
        </row>
        <row r="1851">
          <cell r="J1851"/>
          <cell r="K1851"/>
          <cell r="L1851"/>
          <cell r="M1851"/>
        </row>
        <row r="1852">
          <cell r="J1852"/>
          <cell r="K1852"/>
          <cell r="L1852"/>
          <cell r="M1852"/>
        </row>
        <row r="1853">
          <cell r="J1853"/>
          <cell r="K1853"/>
          <cell r="L1853"/>
          <cell r="M1853"/>
        </row>
        <row r="1854">
          <cell r="J1854"/>
          <cell r="K1854"/>
          <cell r="L1854"/>
          <cell r="M1854"/>
        </row>
        <row r="1855">
          <cell r="J1855"/>
          <cell r="K1855"/>
          <cell r="L1855"/>
          <cell r="M1855"/>
        </row>
        <row r="1856">
          <cell r="J1856"/>
        </row>
        <row r="1857">
          <cell r="J1857"/>
        </row>
        <row r="1858">
          <cell r="J1858"/>
        </row>
        <row r="1859">
          <cell r="J1859"/>
        </row>
        <row r="1860">
          <cell r="J1860"/>
        </row>
        <row r="1861">
          <cell r="J1861"/>
        </row>
        <row r="1862">
          <cell r="J1862"/>
        </row>
        <row r="1863">
          <cell r="J1863"/>
        </row>
        <row r="1864">
          <cell r="J1864"/>
        </row>
        <row r="1865">
          <cell r="J1865"/>
        </row>
        <row r="1866">
          <cell r="J1866"/>
        </row>
        <row r="1867">
          <cell r="J1867"/>
        </row>
        <row r="1868">
          <cell r="J1868"/>
        </row>
        <row r="1869">
          <cell r="J1869"/>
        </row>
        <row r="1870">
          <cell r="J1870"/>
        </row>
        <row r="1871">
          <cell r="J1871"/>
        </row>
        <row r="1872">
          <cell r="J1872"/>
        </row>
        <row r="1873">
          <cell r="J1873"/>
        </row>
        <row r="1874">
          <cell r="J1874"/>
        </row>
        <row r="1875">
          <cell r="J1875"/>
        </row>
        <row r="1876">
          <cell r="J1876"/>
        </row>
        <row r="1877">
          <cell r="J1877"/>
        </row>
        <row r="1878">
          <cell r="J1878"/>
        </row>
        <row r="1879">
          <cell r="J1879"/>
        </row>
        <row r="1880">
          <cell r="J1880"/>
        </row>
        <row r="1881">
          <cell r="J1881"/>
        </row>
        <row r="1882">
          <cell r="J1882"/>
        </row>
        <row r="1883">
          <cell r="J1883"/>
        </row>
        <row r="1884">
          <cell r="J1884"/>
        </row>
        <row r="1885">
          <cell r="J1885"/>
        </row>
        <row r="1886">
          <cell r="J1886"/>
        </row>
        <row r="1887">
          <cell r="J1887"/>
        </row>
        <row r="1888">
          <cell r="J1888"/>
        </row>
        <row r="1889">
          <cell r="J1889"/>
        </row>
        <row r="1890">
          <cell r="J1890"/>
        </row>
        <row r="1891">
          <cell r="J1891"/>
        </row>
        <row r="1892">
          <cell r="J1892"/>
        </row>
        <row r="1893">
          <cell r="J1893"/>
        </row>
        <row r="1894">
          <cell r="J1894"/>
        </row>
        <row r="1895">
          <cell r="J1895"/>
        </row>
        <row r="1896">
          <cell r="J1896"/>
        </row>
        <row r="1897">
          <cell r="J1897"/>
        </row>
        <row r="1898">
          <cell r="J1898"/>
        </row>
        <row r="1899">
          <cell r="J1899"/>
        </row>
        <row r="1900">
          <cell r="J1900"/>
        </row>
        <row r="1901">
          <cell r="J1901"/>
        </row>
        <row r="1902">
          <cell r="J1902"/>
        </row>
        <row r="1903">
          <cell r="J1903"/>
        </row>
        <row r="1904">
          <cell r="J1904"/>
        </row>
        <row r="1905">
          <cell r="J1905"/>
        </row>
        <row r="1906">
          <cell r="J1906"/>
        </row>
        <row r="1907">
          <cell r="J1907"/>
        </row>
        <row r="1908">
          <cell r="J1908"/>
        </row>
        <row r="1909">
          <cell r="J1909"/>
        </row>
        <row r="1910">
          <cell r="J1910"/>
        </row>
        <row r="1911">
          <cell r="J1911"/>
        </row>
        <row r="1912">
          <cell r="J1912"/>
        </row>
        <row r="1913">
          <cell r="J1913"/>
        </row>
        <row r="1914">
          <cell r="J1914"/>
        </row>
        <row r="1915">
          <cell r="J1915"/>
        </row>
        <row r="1916">
          <cell r="J1916"/>
        </row>
        <row r="1917">
          <cell r="J1917"/>
        </row>
        <row r="1918">
          <cell r="J1918"/>
        </row>
        <row r="1919">
          <cell r="J1919"/>
        </row>
        <row r="1920">
          <cell r="J1920"/>
        </row>
        <row r="1921">
          <cell r="J1921"/>
        </row>
        <row r="1922">
          <cell r="J1922"/>
        </row>
        <row r="1923">
          <cell r="J1923"/>
        </row>
        <row r="1924">
          <cell r="J1924"/>
        </row>
        <row r="1925">
          <cell r="J1925"/>
        </row>
        <row r="1926">
          <cell r="J1926"/>
        </row>
        <row r="1927">
          <cell r="J1927"/>
        </row>
        <row r="1928">
          <cell r="J1928"/>
        </row>
        <row r="1929">
          <cell r="J1929"/>
        </row>
        <row r="1930">
          <cell r="J1930"/>
        </row>
        <row r="1931">
          <cell r="J1931"/>
        </row>
        <row r="1932">
          <cell r="J1932"/>
        </row>
        <row r="1933">
          <cell r="J1933"/>
        </row>
        <row r="1934">
          <cell r="J1934"/>
        </row>
        <row r="1935">
          <cell r="J1935"/>
        </row>
        <row r="1936">
          <cell r="J1936"/>
        </row>
        <row r="1937">
          <cell r="J1937"/>
        </row>
        <row r="1938">
          <cell r="J1938"/>
        </row>
        <row r="1939">
          <cell r="J1939"/>
        </row>
        <row r="1940">
          <cell r="J1940"/>
        </row>
        <row r="1941">
          <cell r="J1941"/>
        </row>
        <row r="1942">
          <cell r="J1942"/>
        </row>
        <row r="1943">
          <cell r="J1943"/>
        </row>
        <row r="1944">
          <cell r="J1944"/>
        </row>
        <row r="1945">
          <cell r="J1945"/>
        </row>
        <row r="1946">
          <cell r="J1946"/>
        </row>
        <row r="1947">
          <cell r="J1947"/>
        </row>
        <row r="1948">
          <cell r="J1948"/>
        </row>
        <row r="1949">
          <cell r="J1949"/>
        </row>
        <row r="1950">
          <cell r="J1950"/>
        </row>
        <row r="1951">
          <cell r="J1951"/>
        </row>
        <row r="1952">
          <cell r="J1952"/>
        </row>
        <row r="1953">
          <cell r="J1953"/>
        </row>
        <row r="1954">
          <cell r="J1954"/>
        </row>
        <row r="1955">
          <cell r="J1955"/>
        </row>
        <row r="1956">
          <cell r="J1956"/>
        </row>
        <row r="1957">
          <cell r="J1957"/>
        </row>
        <row r="1958">
          <cell r="J1958"/>
        </row>
        <row r="1959">
          <cell r="J1959"/>
        </row>
        <row r="1960">
          <cell r="J1960"/>
        </row>
        <row r="1961">
          <cell r="J1961"/>
        </row>
        <row r="1962">
          <cell r="J1962"/>
        </row>
        <row r="1963">
          <cell r="J1963"/>
        </row>
        <row r="1964">
          <cell r="J1964"/>
        </row>
        <row r="1965">
          <cell r="J1965"/>
        </row>
        <row r="1966">
          <cell r="J1966"/>
        </row>
        <row r="1967">
          <cell r="J1967"/>
        </row>
        <row r="1968">
          <cell r="J1968"/>
        </row>
        <row r="1969">
          <cell r="J1969"/>
        </row>
        <row r="1970">
          <cell r="J1970"/>
        </row>
        <row r="1971">
          <cell r="J1971"/>
        </row>
        <row r="1972">
          <cell r="J1972"/>
        </row>
        <row r="1973">
          <cell r="J1973"/>
        </row>
        <row r="1974">
          <cell r="J1974"/>
        </row>
        <row r="1975">
          <cell r="J1975"/>
        </row>
        <row r="1976">
          <cell r="J1976"/>
        </row>
        <row r="1977">
          <cell r="J1977"/>
        </row>
        <row r="1978">
          <cell r="J1978"/>
        </row>
        <row r="1979">
          <cell r="J1979"/>
        </row>
        <row r="1980">
          <cell r="J1980"/>
        </row>
        <row r="1981">
          <cell r="J1981"/>
        </row>
        <row r="1982">
          <cell r="J1982"/>
        </row>
        <row r="1983">
          <cell r="J1983"/>
        </row>
        <row r="1984">
          <cell r="J1984"/>
        </row>
        <row r="1985">
          <cell r="J1985"/>
        </row>
        <row r="1986">
          <cell r="J1986"/>
        </row>
        <row r="1987">
          <cell r="J1987"/>
        </row>
        <row r="1988">
          <cell r="J1988"/>
        </row>
        <row r="1989">
          <cell r="J1989"/>
        </row>
        <row r="1990">
          <cell r="J1990"/>
        </row>
        <row r="1991">
          <cell r="J1991"/>
        </row>
        <row r="1992">
          <cell r="J1992"/>
        </row>
        <row r="1993">
          <cell r="J1993"/>
        </row>
        <row r="1994">
          <cell r="J1994"/>
        </row>
        <row r="1995">
          <cell r="J1995"/>
        </row>
        <row r="1996">
          <cell r="J1996"/>
        </row>
        <row r="1997">
          <cell r="J1997"/>
        </row>
        <row r="1998">
          <cell r="J1998"/>
        </row>
        <row r="1999">
          <cell r="J1999"/>
        </row>
        <row r="2000">
          <cell r="J2000"/>
        </row>
        <row r="2001">
          <cell r="J2001"/>
        </row>
        <row r="2002">
          <cell r="J2002"/>
        </row>
        <row r="2003">
          <cell r="J2003"/>
        </row>
        <row r="2004">
          <cell r="J2004"/>
        </row>
        <row r="2005">
          <cell r="J2005"/>
        </row>
        <row r="2006">
          <cell r="J2006"/>
        </row>
        <row r="2007">
          <cell r="J2007"/>
        </row>
        <row r="2008">
          <cell r="J2008"/>
        </row>
        <row r="2009">
          <cell r="J2009"/>
        </row>
        <row r="2010">
          <cell r="J2010"/>
        </row>
        <row r="2011">
          <cell r="J2011"/>
        </row>
        <row r="2012">
          <cell r="J2012"/>
        </row>
        <row r="2013">
          <cell r="J2013"/>
        </row>
        <row r="2014">
          <cell r="J2014"/>
        </row>
        <row r="2015">
          <cell r="J2015"/>
        </row>
        <row r="2016">
          <cell r="J2016"/>
        </row>
        <row r="2017">
          <cell r="J2017"/>
        </row>
        <row r="2018">
          <cell r="J2018"/>
        </row>
        <row r="2019">
          <cell r="J2019"/>
        </row>
        <row r="2020">
          <cell r="J2020"/>
        </row>
        <row r="2021">
          <cell r="J2021"/>
        </row>
        <row r="2022">
          <cell r="J2022"/>
        </row>
        <row r="2023">
          <cell r="J2023"/>
        </row>
        <row r="2024">
          <cell r="J2024"/>
        </row>
        <row r="2025">
          <cell r="J2025"/>
        </row>
        <row r="2026">
          <cell r="J2026"/>
        </row>
        <row r="2027">
          <cell r="J2027"/>
        </row>
        <row r="2028">
          <cell r="J2028"/>
        </row>
        <row r="2029">
          <cell r="J2029"/>
        </row>
        <row r="2030">
          <cell r="J2030"/>
        </row>
        <row r="2031">
          <cell r="J2031"/>
        </row>
        <row r="2032">
          <cell r="J2032"/>
        </row>
        <row r="2033">
          <cell r="J2033"/>
        </row>
        <row r="2034">
          <cell r="J2034"/>
        </row>
        <row r="2035">
          <cell r="J2035"/>
        </row>
        <row r="2036">
          <cell r="J2036"/>
        </row>
        <row r="2037">
          <cell r="J2037"/>
        </row>
        <row r="2038">
          <cell r="J2038"/>
        </row>
        <row r="2039">
          <cell r="J2039"/>
        </row>
        <row r="2040">
          <cell r="J2040"/>
        </row>
        <row r="2041">
          <cell r="J2041"/>
        </row>
        <row r="2042">
          <cell r="J2042"/>
        </row>
        <row r="2043">
          <cell r="J2043"/>
        </row>
        <row r="2044">
          <cell r="J2044"/>
        </row>
        <row r="2045">
          <cell r="J2045"/>
        </row>
        <row r="2046">
          <cell r="J2046"/>
        </row>
        <row r="2047">
          <cell r="J2047"/>
        </row>
        <row r="2048">
          <cell r="J2048"/>
        </row>
        <row r="2049">
          <cell r="J2049"/>
        </row>
        <row r="2050">
          <cell r="J2050"/>
        </row>
        <row r="2051">
          <cell r="J2051"/>
        </row>
        <row r="2052">
          <cell r="J2052"/>
        </row>
        <row r="2053">
          <cell r="J2053"/>
        </row>
        <row r="2054">
          <cell r="J2054"/>
        </row>
        <row r="2055">
          <cell r="J2055"/>
        </row>
        <row r="2056">
          <cell r="J2056"/>
        </row>
        <row r="2057">
          <cell r="J2057"/>
        </row>
        <row r="2058">
          <cell r="J2058"/>
        </row>
        <row r="2059">
          <cell r="J2059"/>
        </row>
        <row r="2060">
          <cell r="J2060"/>
        </row>
        <row r="2061">
          <cell r="J2061"/>
        </row>
        <row r="2062">
          <cell r="J2062"/>
        </row>
        <row r="2063">
          <cell r="J2063"/>
        </row>
        <row r="2064">
          <cell r="J2064"/>
        </row>
        <row r="2065">
          <cell r="J2065"/>
        </row>
        <row r="2066">
          <cell r="J2066"/>
        </row>
        <row r="2067">
          <cell r="J2067"/>
        </row>
        <row r="2068">
          <cell r="J2068"/>
        </row>
        <row r="2069">
          <cell r="J2069"/>
        </row>
        <row r="2070">
          <cell r="J2070"/>
        </row>
        <row r="2071">
          <cell r="J2071"/>
        </row>
        <row r="2072">
          <cell r="J2072"/>
        </row>
        <row r="2073">
          <cell r="J2073"/>
        </row>
        <row r="2074">
          <cell r="J2074"/>
        </row>
        <row r="2075">
          <cell r="J2075"/>
        </row>
        <row r="2076">
          <cell r="J2076"/>
        </row>
        <row r="2077">
          <cell r="J2077"/>
        </row>
        <row r="2078">
          <cell r="J2078"/>
        </row>
        <row r="2079">
          <cell r="J2079"/>
        </row>
        <row r="2080">
          <cell r="J2080"/>
        </row>
        <row r="2081">
          <cell r="J2081"/>
        </row>
        <row r="2082">
          <cell r="J2082"/>
        </row>
        <row r="2083">
          <cell r="J2083"/>
        </row>
        <row r="2084">
          <cell r="J2084"/>
        </row>
        <row r="2085">
          <cell r="J2085"/>
        </row>
        <row r="2086">
          <cell r="J2086"/>
        </row>
        <row r="2087">
          <cell r="J2087"/>
        </row>
        <row r="2088">
          <cell r="J2088"/>
        </row>
        <row r="2089">
          <cell r="J2089"/>
        </row>
        <row r="2090">
          <cell r="J2090"/>
        </row>
        <row r="2091">
          <cell r="J2091"/>
        </row>
        <row r="2092">
          <cell r="J2092"/>
        </row>
        <row r="2093">
          <cell r="J2093"/>
        </row>
        <row r="2094">
          <cell r="J2094"/>
        </row>
        <row r="2095">
          <cell r="J2095"/>
        </row>
        <row r="2096">
          <cell r="J2096"/>
        </row>
        <row r="2097">
          <cell r="J2097"/>
        </row>
        <row r="2098">
          <cell r="J2098"/>
        </row>
        <row r="2099">
          <cell r="J2099"/>
        </row>
        <row r="2100">
          <cell r="J2100"/>
        </row>
        <row r="2101">
          <cell r="J2101"/>
        </row>
      </sheetData>
      <sheetData sheetId="4"/>
      <sheetData sheetId="5">
        <row r="3">
          <cell r="H3" t="str">
            <v>Q2 2025</v>
          </cell>
          <cell r="J3" t="str">
            <v>Q2 2024</v>
          </cell>
          <cell r="M3" t="str">
            <v>Q2 2025</v>
          </cell>
          <cell r="N3" t="str">
            <v>Q3 2024</v>
          </cell>
          <cell r="O3" t="str">
            <v>Q2 2024</v>
          </cell>
        </row>
        <row r="4">
          <cell r="C4">
            <v>1</v>
          </cell>
        </row>
        <row r="5">
          <cell r="C5">
            <v>50</v>
          </cell>
        </row>
        <row r="6">
          <cell r="C6">
            <v>100000</v>
          </cell>
        </row>
        <row r="7">
          <cell r="C7">
            <v>101000</v>
          </cell>
        </row>
        <row r="8">
          <cell r="C8">
            <v>101100</v>
          </cell>
        </row>
        <row r="9">
          <cell r="C9">
            <v>101110</v>
          </cell>
        </row>
        <row r="10">
          <cell r="C10">
            <v>101120</v>
          </cell>
        </row>
        <row r="11">
          <cell r="C11">
            <v>101130</v>
          </cell>
        </row>
        <row r="12">
          <cell r="C12">
            <v>101140</v>
          </cell>
        </row>
        <row r="13">
          <cell r="C13">
            <v>101199</v>
          </cell>
        </row>
        <row r="14">
          <cell r="C14">
            <v>101200</v>
          </cell>
        </row>
        <row r="15">
          <cell r="C15">
            <v>101210</v>
          </cell>
        </row>
        <row r="16">
          <cell r="C16">
            <v>101220</v>
          </cell>
        </row>
        <row r="17">
          <cell r="C17">
            <v>101230</v>
          </cell>
        </row>
        <row r="18">
          <cell r="C18">
            <v>101240</v>
          </cell>
        </row>
        <row r="19">
          <cell r="C19">
            <v>101299</v>
          </cell>
        </row>
        <row r="20">
          <cell r="C20">
            <v>101300</v>
          </cell>
        </row>
        <row r="21">
          <cell r="C21">
            <v>101310</v>
          </cell>
        </row>
        <row r="22">
          <cell r="C22">
            <v>101320</v>
          </cell>
        </row>
        <row r="23">
          <cell r="C23">
            <v>101330</v>
          </cell>
        </row>
        <row r="24">
          <cell r="C24">
            <v>101340</v>
          </cell>
        </row>
        <row r="25">
          <cell r="C25">
            <v>101399</v>
          </cell>
        </row>
        <row r="26">
          <cell r="C26">
            <v>101410</v>
          </cell>
        </row>
        <row r="27">
          <cell r="C27">
            <v>101440</v>
          </cell>
        </row>
        <row r="28">
          <cell r="C28">
            <v>101510</v>
          </cell>
        </row>
        <row r="29">
          <cell r="C29">
            <v>101515</v>
          </cell>
        </row>
        <row r="30">
          <cell r="C30">
            <v>101540</v>
          </cell>
        </row>
        <row r="31">
          <cell r="C31">
            <v>101610</v>
          </cell>
        </row>
        <row r="32">
          <cell r="C32">
            <v>101640</v>
          </cell>
        </row>
        <row r="33">
          <cell r="C33">
            <v>101641</v>
          </cell>
        </row>
        <row r="34">
          <cell r="C34">
            <v>101710</v>
          </cell>
        </row>
        <row r="35">
          <cell r="C35">
            <v>101740</v>
          </cell>
        </row>
        <row r="36">
          <cell r="C36">
            <v>101750</v>
          </cell>
        </row>
        <row r="37">
          <cell r="C37">
            <v>101751</v>
          </cell>
        </row>
        <row r="38">
          <cell r="C38">
            <v>101760</v>
          </cell>
        </row>
        <row r="39">
          <cell r="C39">
            <v>101840</v>
          </cell>
        </row>
        <row r="40">
          <cell r="C40">
            <v>101999</v>
          </cell>
        </row>
        <row r="41">
          <cell r="C41">
            <v>102000</v>
          </cell>
        </row>
        <row r="42">
          <cell r="C42">
            <v>102110</v>
          </cell>
        </row>
        <row r="43">
          <cell r="C43">
            <v>102111</v>
          </cell>
        </row>
        <row r="44">
          <cell r="C44">
            <v>102112</v>
          </cell>
        </row>
        <row r="45">
          <cell r="C45">
            <v>102120</v>
          </cell>
        </row>
        <row r="46">
          <cell r="C46">
            <v>102121</v>
          </cell>
        </row>
        <row r="47">
          <cell r="C47">
            <v>102210</v>
          </cell>
        </row>
        <row r="48">
          <cell r="C48">
            <v>102220</v>
          </cell>
        </row>
        <row r="49">
          <cell r="C49">
            <v>102221</v>
          </cell>
        </row>
        <row r="50">
          <cell r="C50">
            <v>102222</v>
          </cell>
        </row>
        <row r="51">
          <cell r="C51">
            <v>102310</v>
          </cell>
        </row>
        <row r="52">
          <cell r="C52">
            <v>102311</v>
          </cell>
        </row>
        <row r="53">
          <cell r="C53">
            <v>102500</v>
          </cell>
        </row>
        <row r="54">
          <cell r="C54">
            <v>102510</v>
          </cell>
        </row>
        <row r="55">
          <cell r="C55">
            <v>102520</v>
          </cell>
        </row>
        <row r="56">
          <cell r="C56">
            <v>102530</v>
          </cell>
        </row>
        <row r="57">
          <cell r="C57">
            <v>102540</v>
          </cell>
        </row>
        <row r="58">
          <cell r="C58">
            <v>102550</v>
          </cell>
        </row>
        <row r="59">
          <cell r="C59">
            <v>102599</v>
          </cell>
        </row>
        <row r="60">
          <cell r="C60">
            <v>102800</v>
          </cell>
        </row>
        <row r="61">
          <cell r="C61">
            <v>102810</v>
          </cell>
        </row>
        <row r="62">
          <cell r="C62">
            <v>102820</v>
          </cell>
        </row>
        <row r="63">
          <cell r="C63">
            <v>102830</v>
          </cell>
        </row>
        <row r="64">
          <cell r="C64">
            <v>102840</v>
          </cell>
        </row>
        <row r="65">
          <cell r="C65">
            <v>102850</v>
          </cell>
        </row>
        <row r="66">
          <cell r="C66">
            <v>102899</v>
          </cell>
        </row>
        <row r="67">
          <cell r="C67">
            <v>102999</v>
          </cell>
        </row>
        <row r="68">
          <cell r="C68">
            <v>103000</v>
          </cell>
        </row>
        <row r="69">
          <cell r="C69">
            <v>103100</v>
          </cell>
        </row>
        <row r="70">
          <cell r="C70">
            <v>103110</v>
          </cell>
        </row>
        <row r="71">
          <cell r="C71">
            <v>103111</v>
          </cell>
        </row>
        <row r="72">
          <cell r="C72">
            <v>103112</v>
          </cell>
        </row>
        <row r="73">
          <cell r="C73">
            <v>103113</v>
          </cell>
        </row>
        <row r="74">
          <cell r="C74">
            <v>103114</v>
          </cell>
        </row>
        <row r="75">
          <cell r="C75">
            <v>103115</v>
          </cell>
        </row>
        <row r="76">
          <cell r="C76">
            <v>103116</v>
          </cell>
        </row>
        <row r="77">
          <cell r="C77">
            <v>103117</v>
          </cell>
        </row>
        <row r="78">
          <cell r="C78">
            <v>103120</v>
          </cell>
        </row>
        <row r="79">
          <cell r="C79">
            <v>103121</v>
          </cell>
        </row>
        <row r="80">
          <cell r="C80">
            <v>103130</v>
          </cell>
        </row>
        <row r="81">
          <cell r="C81">
            <v>103131</v>
          </cell>
        </row>
        <row r="82">
          <cell r="C82">
            <v>103199</v>
          </cell>
        </row>
        <row r="83">
          <cell r="C83">
            <v>103200</v>
          </cell>
        </row>
        <row r="84">
          <cell r="C84">
            <v>103201</v>
          </cell>
        </row>
        <row r="85">
          <cell r="C85">
            <v>103210</v>
          </cell>
        </row>
        <row r="86">
          <cell r="C86">
            <v>103299</v>
          </cell>
        </row>
        <row r="87">
          <cell r="C87">
            <v>103300</v>
          </cell>
        </row>
        <row r="88">
          <cell r="C88">
            <v>103310</v>
          </cell>
        </row>
        <row r="89">
          <cell r="C89">
            <v>103340</v>
          </cell>
        </row>
        <row r="90">
          <cell r="C90">
            <v>103345</v>
          </cell>
        </row>
        <row r="91">
          <cell r="C91">
            <v>103346</v>
          </cell>
        </row>
        <row r="92">
          <cell r="C92">
            <v>103347</v>
          </cell>
        </row>
        <row r="93">
          <cell r="C93">
            <v>103350</v>
          </cell>
        </row>
        <row r="94">
          <cell r="C94">
            <v>103360</v>
          </cell>
        </row>
        <row r="95">
          <cell r="C95">
            <v>103361</v>
          </cell>
        </row>
        <row r="96">
          <cell r="C96">
            <v>103399</v>
          </cell>
        </row>
        <row r="97">
          <cell r="C97">
            <v>103400</v>
          </cell>
        </row>
        <row r="98">
          <cell r="C98">
            <v>103410</v>
          </cell>
        </row>
        <row r="99">
          <cell r="C99">
            <v>103411</v>
          </cell>
        </row>
        <row r="100">
          <cell r="C100">
            <v>103412</v>
          </cell>
        </row>
        <row r="101">
          <cell r="C101">
            <v>103419</v>
          </cell>
        </row>
        <row r="102">
          <cell r="C102">
            <v>103499</v>
          </cell>
        </row>
        <row r="103">
          <cell r="C103">
            <v>103999</v>
          </cell>
        </row>
        <row r="104">
          <cell r="C104">
            <v>109999</v>
          </cell>
        </row>
        <row r="105">
          <cell r="C105">
            <v>110000</v>
          </cell>
        </row>
        <row r="106">
          <cell r="C106">
            <v>111000</v>
          </cell>
        </row>
        <row r="107">
          <cell r="C107">
            <v>111110</v>
          </cell>
        </row>
        <row r="108">
          <cell r="C108">
            <v>111115</v>
          </cell>
        </row>
        <row r="109">
          <cell r="C109">
            <v>111120</v>
          </cell>
        </row>
        <row r="110">
          <cell r="C110">
            <v>111125</v>
          </cell>
        </row>
        <row r="111">
          <cell r="C111">
            <v>111130</v>
          </cell>
        </row>
        <row r="112">
          <cell r="C112">
            <v>111135</v>
          </cell>
        </row>
        <row r="113">
          <cell r="C113">
            <v>111140</v>
          </cell>
        </row>
        <row r="114">
          <cell r="C114">
            <v>111141</v>
          </cell>
        </row>
        <row r="115">
          <cell r="C115">
            <v>111145</v>
          </cell>
        </row>
        <row r="116">
          <cell r="C116">
            <v>111150</v>
          </cell>
        </row>
        <row r="117">
          <cell r="C117">
            <v>111155</v>
          </cell>
        </row>
        <row r="118">
          <cell r="C118">
            <v>111157</v>
          </cell>
        </row>
        <row r="119">
          <cell r="C119">
            <v>111160</v>
          </cell>
        </row>
        <row r="120">
          <cell r="C120">
            <v>111162</v>
          </cell>
        </row>
        <row r="121">
          <cell r="C121">
            <v>111165</v>
          </cell>
        </row>
        <row r="122">
          <cell r="C122">
            <v>111170</v>
          </cell>
        </row>
        <row r="123">
          <cell r="C123">
            <v>111175</v>
          </cell>
        </row>
        <row r="124">
          <cell r="C124">
            <v>111176</v>
          </cell>
        </row>
        <row r="125">
          <cell r="C125">
            <v>111177</v>
          </cell>
        </row>
        <row r="126">
          <cell r="C126">
            <v>111180</v>
          </cell>
        </row>
        <row r="127">
          <cell r="C127">
            <v>111190</v>
          </cell>
        </row>
        <row r="128">
          <cell r="C128">
            <v>111199</v>
          </cell>
        </row>
        <row r="129">
          <cell r="C129">
            <v>111299</v>
          </cell>
        </row>
        <row r="130">
          <cell r="C130">
            <v>112000</v>
          </cell>
        </row>
        <row r="131">
          <cell r="C131">
            <v>112100</v>
          </cell>
        </row>
        <row r="132">
          <cell r="C132">
            <v>112110</v>
          </cell>
        </row>
        <row r="133">
          <cell r="C133">
            <v>112120</v>
          </cell>
        </row>
        <row r="134">
          <cell r="C134">
            <v>112130</v>
          </cell>
        </row>
        <row r="135">
          <cell r="C135">
            <v>112140</v>
          </cell>
        </row>
        <row r="136">
          <cell r="C136">
            <v>112142</v>
          </cell>
        </row>
        <row r="137">
          <cell r="C137">
            <v>112199</v>
          </cell>
        </row>
        <row r="138">
          <cell r="C138">
            <v>112200</v>
          </cell>
        </row>
        <row r="139">
          <cell r="C139">
            <v>112210</v>
          </cell>
        </row>
        <row r="140">
          <cell r="C140">
            <v>112211</v>
          </cell>
        </row>
        <row r="141">
          <cell r="C141">
            <v>112212</v>
          </cell>
        </row>
        <row r="142">
          <cell r="C142">
            <v>112220</v>
          </cell>
        </row>
        <row r="143">
          <cell r="C143">
            <v>112221</v>
          </cell>
        </row>
        <row r="144">
          <cell r="C144">
            <v>112230</v>
          </cell>
        </row>
        <row r="145">
          <cell r="C145">
            <v>112231</v>
          </cell>
        </row>
        <row r="146">
          <cell r="C146">
            <v>112299</v>
          </cell>
        </row>
        <row r="147">
          <cell r="C147">
            <v>112300</v>
          </cell>
        </row>
        <row r="148">
          <cell r="C148">
            <v>112310</v>
          </cell>
        </row>
        <row r="149">
          <cell r="C149">
            <v>112311</v>
          </cell>
        </row>
        <row r="150">
          <cell r="C150">
            <v>112399</v>
          </cell>
        </row>
        <row r="151">
          <cell r="C151">
            <v>112400</v>
          </cell>
        </row>
        <row r="152">
          <cell r="C152">
            <v>112405</v>
          </cell>
        </row>
        <row r="153">
          <cell r="C153">
            <v>112406</v>
          </cell>
        </row>
        <row r="154">
          <cell r="C154">
            <v>112410</v>
          </cell>
        </row>
        <row r="155">
          <cell r="C155">
            <v>112411</v>
          </cell>
        </row>
        <row r="156">
          <cell r="C156">
            <v>112499</v>
          </cell>
        </row>
        <row r="157">
          <cell r="C157">
            <v>112500</v>
          </cell>
        </row>
        <row r="158">
          <cell r="C158">
            <v>112510</v>
          </cell>
        </row>
        <row r="159">
          <cell r="C159">
            <v>112511</v>
          </cell>
        </row>
        <row r="160">
          <cell r="C160">
            <v>112512</v>
          </cell>
        </row>
        <row r="161">
          <cell r="C161">
            <v>112520</v>
          </cell>
        </row>
        <row r="162">
          <cell r="C162">
            <v>112530</v>
          </cell>
        </row>
        <row r="163">
          <cell r="C163">
            <v>112540</v>
          </cell>
        </row>
        <row r="164">
          <cell r="C164">
            <v>112551</v>
          </cell>
        </row>
        <row r="165">
          <cell r="C165">
            <v>112599</v>
          </cell>
        </row>
        <row r="166">
          <cell r="C166">
            <v>112600</v>
          </cell>
        </row>
        <row r="167">
          <cell r="C167">
            <v>112610</v>
          </cell>
        </row>
        <row r="168">
          <cell r="C168">
            <v>112620</v>
          </cell>
        </row>
        <row r="169">
          <cell r="C169">
            <v>112630</v>
          </cell>
        </row>
        <row r="170">
          <cell r="C170">
            <v>112631</v>
          </cell>
        </row>
        <row r="171">
          <cell r="C171">
            <v>112635</v>
          </cell>
        </row>
        <row r="172">
          <cell r="C172">
            <v>112636</v>
          </cell>
        </row>
        <row r="173">
          <cell r="C173">
            <v>112640</v>
          </cell>
        </row>
        <row r="174">
          <cell r="C174">
            <v>112650</v>
          </cell>
        </row>
        <row r="175">
          <cell r="C175">
            <v>112651</v>
          </cell>
        </row>
        <row r="176">
          <cell r="C176">
            <v>112655</v>
          </cell>
        </row>
        <row r="177">
          <cell r="C177">
            <v>112660</v>
          </cell>
        </row>
        <row r="178">
          <cell r="C178">
            <v>112665</v>
          </cell>
        </row>
        <row r="179">
          <cell r="C179">
            <v>112670</v>
          </cell>
        </row>
        <row r="180">
          <cell r="C180">
            <v>112675</v>
          </cell>
        </row>
        <row r="181">
          <cell r="C181">
            <v>112680</v>
          </cell>
        </row>
        <row r="182">
          <cell r="C182">
            <v>112699</v>
          </cell>
        </row>
        <row r="183">
          <cell r="C183">
            <v>112700</v>
          </cell>
        </row>
        <row r="184">
          <cell r="C184">
            <v>112720</v>
          </cell>
        </row>
        <row r="185">
          <cell r="C185">
            <v>112730</v>
          </cell>
        </row>
        <row r="186">
          <cell r="C186">
            <v>112799</v>
          </cell>
        </row>
        <row r="187">
          <cell r="C187">
            <v>112800</v>
          </cell>
        </row>
        <row r="188">
          <cell r="C188">
            <v>112810</v>
          </cell>
        </row>
        <row r="189">
          <cell r="C189">
            <v>112815</v>
          </cell>
        </row>
        <row r="190">
          <cell r="C190">
            <v>112820</v>
          </cell>
        </row>
        <row r="191">
          <cell r="C191">
            <v>112830</v>
          </cell>
        </row>
        <row r="192">
          <cell r="C192">
            <v>112840</v>
          </cell>
        </row>
        <row r="193">
          <cell r="C193">
            <v>112849</v>
          </cell>
        </row>
        <row r="194">
          <cell r="C194">
            <v>112850</v>
          </cell>
        </row>
        <row r="195">
          <cell r="C195">
            <v>112860</v>
          </cell>
        </row>
        <row r="196">
          <cell r="C196">
            <v>112862</v>
          </cell>
        </row>
        <row r="197">
          <cell r="C197">
            <v>112864</v>
          </cell>
        </row>
        <row r="198">
          <cell r="C198">
            <v>112870</v>
          </cell>
        </row>
        <row r="199">
          <cell r="C199">
            <v>112880</v>
          </cell>
        </row>
        <row r="200">
          <cell r="C200">
            <v>112899</v>
          </cell>
        </row>
        <row r="201">
          <cell r="C201">
            <v>112999</v>
          </cell>
        </row>
        <row r="202">
          <cell r="C202">
            <v>113000</v>
          </cell>
        </row>
        <row r="203">
          <cell r="C203">
            <v>113110</v>
          </cell>
        </row>
        <row r="204">
          <cell r="C204">
            <v>113112</v>
          </cell>
        </row>
        <row r="205">
          <cell r="C205">
            <v>113114</v>
          </cell>
        </row>
        <row r="206">
          <cell r="C206">
            <v>113120</v>
          </cell>
        </row>
        <row r="207">
          <cell r="C207">
            <v>113999</v>
          </cell>
        </row>
        <row r="208">
          <cell r="C208">
            <v>114000</v>
          </cell>
        </row>
        <row r="209">
          <cell r="C209">
            <v>114100</v>
          </cell>
        </row>
        <row r="210">
          <cell r="C210">
            <v>114110</v>
          </cell>
        </row>
        <row r="211">
          <cell r="C211">
            <v>114120</v>
          </cell>
        </row>
        <row r="212">
          <cell r="C212">
            <v>114130</v>
          </cell>
        </row>
        <row r="213">
          <cell r="C213">
            <v>114199</v>
          </cell>
        </row>
        <row r="214">
          <cell r="C214">
            <v>114200</v>
          </cell>
        </row>
        <row r="215">
          <cell r="C215">
            <v>114210</v>
          </cell>
        </row>
        <row r="216">
          <cell r="C216">
            <v>114299</v>
          </cell>
        </row>
        <row r="217">
          <cell r="C217">
            <v>114300</v>
          </cell>
        </row>
        <row r="218">
          <cell r="C218">
            <v>114310</v>
          </cell>
        </row>
        <row r="219">
          <cell r="C219">
            <v>114399</v>
          </cell>
        </row>
        <row r="220">
          <cell r="C220">
            <v>114500</v>
          </cell>
        </row>
        <row r="221">
          <cell r="C221">
            <v>114510</v>
          </cell>
        </row>
        <row r="222">
          <cell r="C222">
            <v>114520</v>
          </cell>
        </row>
        <row r="223">
          <cell r="C223">
            <v>114550</v>
          </cell>
        </row>
        <row r="224">
          <cell r="C224">
            <v>114560</v>
          </cell>
        </row>
        <row r="225">
          <cell r="C225">
            <v>114599</v>
          </cell>
        </row>
        <row r="226">
          <cell r="C226">
            <v>114999</v>
          </cell>
        </row>
        <row r="227">
          <cell r="C227">
            <v>116999</v>
          </cell>
        </row>
        <row r="228">
          <cell r="C228">
            <v>117000</v>
          </cell>
        </row>
        <row r="229">
          <cell r="C229">
            <v>117001</v>
          </cell>
        </row>
        <row r="230">
          <cell r="C230">
            <v>117010</v>
          </cell>
        </row>
        <row r="231">
          <cell r="C231">
            <v>117020</v>
          </cell>
        </row>
        <row r="232">
          <cell r="C232">
            <v>117030</v>
          </cell>
        </row>
        <row r="233">
          <cell r="C233">
            <v>117040</v>
          </cell>
        </row>
        <row r="234">
          <cell r="C234">
            <v>117100</v>
          </cell>
        </row>
        <row r="235">
          <cell r="C235">
            <v>117101</v>
          </cell>
        </row>
        <row r="236">
          <cell r="C236">
            <v>117110</v>
          </cell>
        </row>
        <row r="237">
          <cell r="C237">
            <v>117120</v>
          </cell>
        </row>
        <row r="238">
          <cell r="C238">
            <v>117199</v>
          </cell>
        </row>
        <row r="239">
          <cell r="C239">
            <v>119998</v>
          </cell>
        </row>
        <row r="240">
          <cell r="C240">
            <v>119999</v>
          </cell>
        </row>
        <row r="241">
          <cell r="C241">
            <v>120000</v>
          </cell>
        </row>
        <row r="242">
          <cell r="C242">
            <v>121000</v>
          </cell>
        </row>
        <row r="243">
          <cell r="C243">
            <v>121100</v>
          </cell>
        </row>
        <row r="244">
          <cell r="C244">
            <v>121110</v>
          </cell>
        </row>
        <row r="245">
          <cell r="C245">
            <v>121115</v>
          </cell>
        </row>
        <row r="246">
          <cell r="C246">
            <v>121120</v>
          </cell>
        </row>
        <row r="247">
          <cell r="C247">
            <v>121121</v>
          </cell>
        </row>
        <row r="248">
          <cell r="C248">
            <v>121130</v>
          </cell>
        </row>
        <row r="249">
          <cell r="C249">
            <v>121131</v>
          </cell>
        </row>
        <row r="250">
          <cell r="C250">
            <v>121132</v>
          </cell>
        </row>
        <row r="251">
          <cell r="C251">
            <v>121199</v>
          </cell>
        </row>
        <row r="252">
          <cell r="C252">
            <v>121200</v>
          </cell>
        </row>
        <row r="253">
          <cell r="C253">
            <v>121210</v>
          </cell>
        </row>
        <row r="254">
          <cell r="C254">
            <v>121299</v>
          </cell>
        </row>
        <row r="255">
          <cell r="C255">
            <v>121300</v>
          </cell>
        </row>
        <row r="256">
          <cell r="C256">
            <v>121310</v>
          </cell>
        </row>
        <row r="257">
          <cell r="C257">
            <v>121340</v>
          </cell>
        </row>
        <row r="258">
          <cell r="C258">
            <v>121399</v>
          </cell>
        </row>
        <row r="259">
          <cell r="C259">
            <v>121999</v>
          </cell>
        </row>
        <row r="260">
          <cell r="C260">
            <v>122000</v>
          </cell>
        </row>
        <row r="261">
          <cell r="C261">
            <v>122110</v>
          </cell>
        </row>
        <row r="262">
          <cell r="C262">
            <v>122999</v>
          </cell>
        </row>
        <row r="263">
          <cell r="C263">
            <v>123000</v>
          </cell>
        </row>
        <row r="264">
          <cell r="C264">
            <v>123110</v>
          </cell>
        </row>
        <row r="265">
          <cell r="C265">
            <v>123111</v>
          </cell>
        </row>
        <row r="266">
          <cell r="C266">
            <v>123112</v>
          </cell>
        </row>
        <row r="267">
          <cell r="C267">
            <v>123120</v>
          </cell>
        </row>
        <row r="268">
          <cell r="C268">
            <v>123130</v>
          </cell>
        </row>
        <row r="269">
          <cell r="C269">
            <v>123999</v>
          </cell>
        </row>
        <row r="270">
          <cell r="C270">
            <v>124000</v>
          </cell>
        </row>
        <row r="271">
          <cell r="C271">
            <v>124100</v>
          </cell>
        </row>
        <row r="272">
          <cell r="C272">
            <v>124110</v>
          </cell>
        </row>
        <row r="273">
          <cell r="C273">
            <v>124120</v>
          </cell>
        </row>
        <row r="274">
          <cell r="C274">
            <v>124130</v>
          </cell>
        </row>
        <row r="275">
          <cell r="C275">
            <v>124140</v>
          </cell>
        </row>
        <row r="276">
          <cell r="C276">
            <v>124150</v>
          </cell>
        </row>
        <row r="277">
          <cell r="C277">
            <v>124199</v>
          </cell>
        </row>
        <row r="278">
          <cell r="C278">
            <v>124200</v>
          </cell>
        </row>
        <row r="279">
          <cell r="C279">
            <v>124210</v>
          </cell>
        </row>
        <row r="280">
          <cell r="C280">
            <v>124220</v>
          </cell>
        </row>
        <row r="281">
          <cell r="C281">
            <v>124230</v>
          </cell>
        </row>
        <row r="282">
          <cell r="C282">
            <v>124299</v>
          </cell>
        </row>
        <row r="283">
          <cell r="C283">
            <v>124300</v>
          </cell>
        </row>
        <row r="284">
          <cell r="C284">
            <v>124310</v>
          </cell>
        </row>
        <row r="285">
          <cell r="C285">
            <v>124320</v>
          </cell>
        </row>
        <row r="286">
          <cell r="C286">
            <v>124330</v>
          </cell>
        </row>
        <row r="287">
          <cell r="C287">
            <v>124340</v>
          </cell>
        </row>
        <row r="288">
          <cell r="C288">
            <v>124350</v>
          </cell>
        </row>
        <row r="289">
          <cell r="C289">
            <v>124399</v>
          </cell>
        </row>
        <row r="290">
          <cell r="C290">
            <v>124400</v>
          </cell>
        </row>
        <row r="291">
          <cell r="C291">
            <v>124410</v>
          </cell>
        </row>
        <row r="292">
          <cell r="C292">
            <v>124420</v>
          </cell>
        </row>
        <row r="293">
          <cell r="C293">
            <v>124430</v>
          </cell>
        </row>
        <row r="294">
          <cell r="C294">
            <v>124499</v>
          </cell>
        </row>
        <row r="295">
          <cell r="C295">
            <v>124999</v>
          </cell>
        </row>
        <row r="296">
          <cell r="C296">
            <v>129999</v>
          </cell>
        </row>
        <row r="297">
          <cell r="C297">
            <v>130000</v>
          </cell>
        </row>
        <row r="298">
          <cell r="C298">
            <v>131000</v>
          </cell>
        </row>
        <row r="299">
          <cell r="C299">
            <v>131110</v>
          </cell>
        </row>
        <row r="300">
          <cell r="C300">
            <v>131120</v>
          </cell>
        </row>
        <row r="301">
          <cell r="C301">
            <v>131130</v>
          </cell>
        </row>
        <row r="302">
          <cell r="C302">
            <v>131140</v>
          </cell>
        </row>
        <row r="303">
          <cell r="C303">
            <v>131150</v>
          </cell>
        </row>
        <row r="304">
          <cell r="C304">
            <v>131999</v>
          </cell>
        </row>
        <row r="305">
          <cell r="C305">
            <v>132000</v>
          </cell>
        </row>
        <row r="306">
          <cell r="C306">
            <v>132110</v>
          </cell>
        </row>
        <row r="307">
          <cell r="C307">
            <v>132120</v>
          </cell>
        </row>
        <row r="308">
          <cell r="C308">
            <v>132130</v>
          </cell>
        </row>
        <row r="309">
          <cell r="C309">
            <v>132140</v>
          </cell>
        </row>
        <row r="310">
          <cell r="C310">
            <v>132150</v>
          </cell>
        </row>
        <row r="311">
          <cell r="C311">
            <v>132160</v>
          </cell>
        </row>
        <row r="312">
          <cell r="C312">
            <v>132170</v>
          </cell>
        </row>
        <row r="313">
          <cell r="C313">
            <v>132199</v>
          </cell>
        </row>
        <row r="314">
          <cell r="C314">
            <v>132200</v>
          </cell>
        </row>
        <row r="315">
          <cell r="C315">
            <v>132210</v>
          </cell>
        </row>
        <row r="316">
          <cell r="C316">
            <v>132299</v>
          </cell>
        </row>
        <row r="317">
          <cell r="C317">
            <v>132300</v>
          </cell>
        </row>
        <row r="318">
          <cell r="C318">
            <v>132310</v>
          </cell>
        </row>
        <row r="319">
          <cell r="C319">
            <v>132399</v>
          </cell>
        </row>
        <row r="320">
          <cell r="C320">
            <v>132400</v>
          </cell>
        </row>
        <row r="321">
          <cell r="C321">
            <v>132410</v>
          </cell>
        </row>
        <row r="322">
          <cell r="C322">
            <v>132999</v>
          </cell>
        </row>
        <row r="323">
          <cell r="C323">
            <v>133000</v>
          </cell>
        </row>
        <row r="324">
          <cell r="C324">
            <v>133110</v>
          </cell>
        </row>
        <row r="325">
          <cell r="C325">
            <v>133120</v>
          </cell>
        </row>
        <row r="326">
          <cell r="C326">
            <v>133130</v>
          </cell>
        </row>
        <row r="327">
          <cell r="C327">
            <v>133140</v>
          </cell>
        </row>
        <row r="328">
          <cell r="C328">
            <v>133150</v>
          </cell>
        </row>
        <row r="329">
          <cell r="C329">
            <v>133160</v>
          </cell>
        </row>
        <row r="330">
          <cell r="C330">
            <v>133170</v>
          </cell>
        </row>
        <row r="331">
          <cell r="C331">
            <v>133999</v>
          </cell>
        </row>
        <row r="332">
          <cell r="C332">
            <v>134000</v>
          </cell>
        </row>
        <row r="333">
          <cell r="C333">
            <v>134110</v>
          </cell>
        </row>
        <row r="334">
          <cell r="C334">
            <v>134111</v>
          </cell>
        </row>
        <row r="335">
          <cell r="C335">
            <v>134112</v>
          </cell>
        </row>
        <row r="336">
          <cell r="C336">
            <v>134113</v>
          </cell>
        </row>
        <row r="337">
          <cell r="C337">
            <v>134114</v>
          </cell>
        </row>
        <row r="338">
          <cell r="C338">
            <v>134115</v>
          </cell>
        </row>
        <row r="339">
          <cell r="C339">
            <v>134120</v>
          </cell>
        </row>
        <row r="340">
          <cell r="C340">
            <v>134121</v>
          </cell>
        </row>
        <row r="341">
          <cell r="C341">
            <v>134130</v>
          </cell>
        </row>
        <row r="342">
          <cell r="C342">
            <v>134131</v>
          </cell>
        </row>
        <row r="343">
          <cell r="C343">
            <v>134135</v>
          </cell>
        </row>
        <row r="344">
          <cell r="C344">
            <v>134136</v>
          </cell>
        </row>
        <row r="345">
          <cell r="C345">
            <v>134140</v>
          </cell>
        </row>
        <row r="346">
          <cell r="C346">
            <v>134141</v>
          </cell>
        </row>
        <row r="347">
          <cell r="C347">
            <v>134150</v>
          </cell>
        </row>
        <row r="348">
          <cell r="C348">
            <v>134151</v>
          </cell>
        </row>
        <row r="349">
          <cell r="C349">
            <v>134160</v>
          </cell>
        </row>
        <row r="350">
          <cell r="C350">
            <v>134161</v>
          </cell>
        </row>
        <row r="351">
          <cell r="C351">
            <v>134170</v>
          </cell>
        </row>
        <row r="352">
          <cell r="C352">
            <v>134171</v>
          </cell>
        </row>
        <row r="353">
          <cell r="C353">
            <v>134180</v>
          </cell>
        </row>
        <row r="354">
          <cell r="C354">
            <v>134190</v>
          </cell>
        </row>
        <row r="355">
          <cell r="C355">
            <v>134200</v>
          </cell>
        </row>
        <row r="356">
          <cell r="C356">
            <v>134210</v>
          </cell>
        </row>
        <row r="357">
          <cell r="C357">
            <v>134220</v>
          </cell>
        </row>
        <row r="358">
          <cell r="C358">
            <v>134230</v>
          </cell>
        </row>
        <row r="359">
          <cell r="C359">
            <v>134999</v>
          </cell>
        </row>
        <row r="360">
          <cell r="C360">
            <v>135000</v>
          </cell>
        </row>
        <row r="361">
          <cell r="C361">
            <v>135110</v>
          </cell>
        </row>
        <row r="362">
          <cell r="C362">
            <v>135120</v>
          </cell>
        </row>
        <row r="363">
          <cell r="C363">
            <v>135130</v>
          </cell>
        </row>
        <row r="364">
          <cell r="C364">
            <v>135140</v>
          </cell>
        </row>
        <row r="365">
          <cell r="C365">
            <v>135150</v>
          </cell>
        </row>
        <row r="366">
          <cell r="C366">
            <v>135160</v>
          </cell>
        </row>
        <row r="367">
          <cell r="C367">
            <v>135170</v>
          </cell>
        </row>
        <row r="368">
          <cell r="C368">
            <v>135180</v>
          </cell>
        </row>
        <row r="369">
          <cell r="C369">
            <v>135499</v>
          </cell>
        </row>
        <row r="370">
          <cell r="C370">
            <v>135500</v>
          </cell>
        </row>
        <row r="371">
          <cell r="C371">
            <v>135510</v>
          </cell>
        </row>
        <row r="372">
          <cell r="C372">
            <v>135520</v>
          </cell>
        </row>
        <row r="373">
          <cell r="C373">
            <v>135530</v>
          </cell>
        </row>
        <row r="374">
          <cell r="C374">
            <v>135540</v>
          </cell>
        </row>
        <row r="375">
          <cell r="C375">
            <v>135999</v>
          </cell>
        </row>
        <row r="376">
          <cell r="C376">
            <v>136000</v>
          </cell>
        </row>
        <row r="377">
          <cell r="C377">
            <v>136110</v>
          </cell>
        </row>
        <row r="378">
          <cell r="C378">
            <v>136120</v>
          </cell>
        </row>
        <row r="379">
          <cell r="C379">
            <v>136130</v>
          </cell>
        </row>
        <row r="380">
          <cell r="C380">
            <v>136199</v>
          </cell>
        </row>
        <row r="381">
          <cell r="C381">
            <v>136200</v>
          </cell>
        </row>
        <row r="382">
          <cell r="C382">
            <v>136210</v>
          </cell>
        </row>
        <row r="383">
          <cell r="C383">
            <v>136999</v>
          </cell>
        </row>
        <row r="384">
          <cell r="C384">
            <v>137000</v>
          </cell>
        </row>
        <row r="385">
          <cell r="C385">
            <v>137110</v>
          </cell>
        </row>
        <row r="386">
          <cell r="C386">
            <v>137120</v>
          </cell>
        </row>
        <row r="387">
          <cell r="C387">
            <v>137130</v>
          </cell>
        </row>
        <row r="388">
          <cell r="C388">
            <v>137140</v>
          </cell>
        </row>
        <row r="389">
          <cell r="C389">
            <v>137999</v>
          </cell>
        </row>
        <row r="390">
          <cell r="C390">
            <v>138000</v>
          </cell>
        </row>
        <row r="391">
          <cell r="C391">
            <v>138110</v>
          </cell>
        </row>
        <row r="392">
          <cell r="C392">
            <v>138120</v>
          </cell>
        </row>
        <row r="393">
          <cell r="C393">
            <v>138999</v>
          </cell>
        </row>
        <row r="394">
          <cell r="C394">
            <v>139000</v>
          </cell>
        </row>
        <row r="395">
          <cell r="C395">
            <v>139110</v>
          </cell>
        </row>
        <row r="396">
          <cell r="C396">
            <v>139120</v>
          </cell>
        </row>
        <row r="397">
          <cell r="C397">
            <v>139130</v>
          </cell>
        </row>
        <row r="398">
          <cell r="C398">
            <v>139140</v>
          </cell>
        </row>
        <row r="399">
          <cell r="C399">
            <v>139150</v>
          </cell>
        </row>
        <row r="400">
          <cell r="C400">
            <v>139152</v>
          </cell>
        </row>
        <row r="401">
          <cell r="C401">
            <v>139155</v>
          </cell>
        </row>
        <row r="402">
          <cell r="C402">
            <v>139160</v>
          </cell>
        </row>
        <row r="403">
          <cell r="C403">
            <v>139170</v>
          </cell>
        </row>
        <row r="404">
          <cell r="C404">
            <v>139180</v>
          </cell>
        </row>
        <row r="405">
          <cell r="C405">
            <v>139190</v>
          </cell>
        </row>
        <row r="406">
          <cell r="C406">
            <v>139210</v>
          </cell>
        </row>
        <row r="407">
          <cell r="C407">
            <v>139998</v>
          </cell>
        </row>
        <row r="408">
          <cell r="C408">
            <v>139999</v>
          </cell>
        </row>
        <row r="409">
          <cell r="C409">
            <v>140000</v>
          </cell>
        </row>
        <row r="410">
          <cell r="C410">
            <v>141050</v>
          </cell>
        </row>
        <row r="411">
          <cell r="C411">
            <v>141100</v>
          </cell>
        </row>
        <row r="412">
          <cell r="C412">
            <v>141110</v>
          </cell>
        </row>
        <row r="413">
          <cell r="C413">
            <v>141120</v>
          </cell>
        </row>
        <row r="414">
          <cell r="C414">
            <v>141129</v>
          </cell>
        </row>
        <row r="415">
          <cell r="C415">
            <v>141130</v>
          </cell>
        </row>
        <row r="416">
          <cell r="C416">
            <v>141135</v>
          </cell>
        </row>
        <row r="417">
          <cell r="C417">
            <v>141140</v>
          </cell>
        </row>
        <row r="418">
          <cell r="C418">
            <v>141149</v>
          </cell>
        </row>
        <row r="419">
          <cell r="C419">
            <v>141199</v>
          </cell>
        </row>
        <row r="420">
          <cell r="C420">
            <v>141200</v>
          </cell>
        </row>
        <row r="421">
          <cell r="C421">
            <v>141210</v>
          </cell>
        </row>
        <row r="422">
          <cell r="C422">
            <v>141220</v>
          </cell>
        </row>
        <row r="423">
          <cell r="C423">
            <v>141299</v>
          </cell>
        </row>
        <row r="424">
          <cell r="C424">
            <v>141300</v>
          </cell>
        </row>
        <row r="425">
          <cell r="C425">
            <v>141310</v>
          </cell>
        </row>
        <row r="426">
          <cell r="C426">
            <v>141315</v>
          </cell>
        </row>
        <row r="427">
          <cell r="C427">
            <v>141320</v>
          </cell>
        </row>
        <row r="428">
          <cell r="C428">
            <v>141399</v>
          </cell>
        </row>
        <row r="429">
          <cell r="C429">
            <v>142100</v>
          </cell>
        </row>
        <row r="430">
          <cell r="C430">
            <v>142110</v>
          </cell>
        </row>
        <row r="431">
          <cell r="C431">
            <v>142120</v>
          </cell>
        </row>
        <row r="432">
          <cell r="C432">
            <v>142199</v>
          </cell>
        </row>
        <row r="433">
          <cell r="C433">
            <v>142200</v>
          </cell>
        </row>
        <row r="434">
          <cell r="C434">
            <v>142210</v>
          </cell>
        </row>
        <row r="435">
          <cell r="C435">
            <v>142220</v>
          </cell>
        </row>
        <row r="436">
          <cell r="C436">
            <v>142299</v>
          </cell>
        </row>
        <row r="437">
          <cell r="C437">
            <v>143100</v>
          </cell>
        </row>
        <row r="438">
          <cell r="C438">
            <v>143110</v>
          </cell>
        </row>
        <row r="439">
          <cell r="C439">
            <v>143120</v>
          </cell>
        </row>
        <row r="440">
          <cell r="C440">
            <v>143199</v>
          </cell>
        </row>
        <row r="441">
          <cell r="C441">
            <v>143900</v>
          </cell>
        </row>
        <row r="442">
          <cell r="C442">
            <v>143910</v>
          </cell>
        </row>
        <row r="443">
          <cell r="C443">
            <v>143920</v>
          </cell>
        </row>
        <row r="444">
          <cell r="C444">
            <v>143930</v>
          </cell>
        </row>
        <row r="445">
          <cell r="C445">
            <v>143999</v>
          </cell>
        </row>
        <row r="446">
          <cell r="C446">
            <v>144100</v>
          </cell>
        </row>
        <row r="447">
          <cell r="C447">
            <v>144110</v>
          </cell>
        </row>
        <row r="448">
          <cell r="C448">
            <v>144120</v>
          </cell>
        </row>
        <row r="449">
          <cell r="C449">
            <v>144199</v>
          </cell>
        </row>
        <row r="450">
          <cell r="C450">
            <v>144999</v>
          </cell>
        </row>
        <row r="451">
          <cell r="C451">
            <v>145000</v>
          </cell>
        </row>
        <row r="452">
          <cell r="C452">
            <v>145100</v>
          </cell>
        </row>
        <row r="453">
          <cell r="C453">
            <v>145110</v>
          </cell>
        </row>
        <row r="454">
          <cell r="C454">
            <v>145199</v>
          </cell>
        </row>
        <row r="455">
          <cell r="C455">
            <v>145200</v>
          </cell>
        </row>
        <row r="456">
          <cell r="C456">
            <v>145210</v>
          </cell>
        </row>
        <row r="457">
          <cell r="C457">
            <v>145299</v>
          </cell>
        </row>
        <row r="458">
          <cell r="C458">
            <v>145999</v>
          </cell>
        </row>
        <row r="459">
          <cell r="C459">
            <v>149999</v>
          </cell>
        </row>
        <row r="460">
          <cell r="C460">
            <v>151000</v>
          </cell>
        </row>
        <row r="461">
          <cell r="C461">
            <v>151110</v>
          </cell>
        </row>
        <row r="462">
          <cell r="C462">
            <v>151120</v>
          </cell>
        </row>
        <row r="463">
          <cell r="C463">
            <v>151130</v>
          </cell>
        </row>
        <row r="464">
          <cell r="C464">
            <v>151140</v>
          </cell>
        </row>
        <row r="465">
          <cell r="C465">
            <v>151999</v>
          </cell>
        </row>
        <row r="466">
          <cell r="C466">
            <v>152000</v>
          </cell>
        </row>
        <row r="467">
          <cell r="C467">
            <v>152110</v>
          </cell>
        </row>
        <row r="468">
          <cell r="C468">
            <v>152120</v>
          </cell>
        </row>
        <row r="469">
          <cell r="C469">
            <v>152999</v>
          </cell>
        </row>
        <row r="470">
          <cell r="C470">
            <v>153000</v>
          </cell>
        </row>
        <row r="471">
          <cell r="C471">
            <v>153100</v>
          </cell>
        </row>
        <row r="472">
          <cell r="C472">
            <v>153110</v>
          </cell>
        </row>
        <row r="473">
          <cell r="C473">
            <v>153120</v>
          </cell>
        </row>
        <row r="474">
          <cell r="C474">
            <v>153121</v>
          </cell>
        </row>
        <row r="475">
          <cell r="C475">
            <v>153130</v>
          </cell>
        </row>
        <row r="476">
          <cell r="C476">
            <v>153140</v>
          </cell>
        </row>
        <row r="477">
          <cell r="C477">
            <v>153150</v>
          </cell>
        </row>
        <row r="478">
          <cell r="C478">
            <v>153199</v>
          </cell>
        </row>
        <row r="479">
          <cell r="C479">
            <v>153200</v>
          </cell>
        </row>
        <row r="480">
          <cell r="C480">
            <v>153210</v>
          </cell>
        </row>
        <row r="481">
          <cell r="C481">
            <v>153299</v>
          </cell>
        </row>
        <row r="482">
          <cell r="C482">
            <v>153300</v>
          </cell>
        </row>
        <row r="483">
          <cell r="C483">
            <v>153310</v>
          </cell>
        </row>
        <row r="484">
          <cell r="C484">
            <v>153399</v>
          </cell>
        </row>
        <row r="485">
          <cell r="C485">
            <v>153400</v>
          </cell>
        </row>
        <row r="486">
          <cell r="C486">
            <v>153410</v>
          </cell>
        </row>
        <row r="487">
          <cell r="C487">
            <v>153411</v>
          </cell>
        </row>
        <row r="488">
          <cell r="C488">
            <v>153420</v>
          </cell>
        </row>
        <row r="489">
          <cell r="C489">
            <v>153421</v>
          </cell>
        </row>
        <row r="490">
          <cell r="C490">
            <v>153430</v>
          </cell>
        </row>
        <row r="491">
          <cell r="C491">
            <v>153431</v>
          </cell>
        </row>
        <row r="492">
          <cell r="C492">
            <v>153432</v>
          </cell>
        </row>
        <row r="493">
          <cell r="C493">
            <v>153499</v>
          </cell>
        </row>
        <row r="494">
          <cell r="C494">
            <v>153999</v>
          </cell>
        </row>
        <row r="495">
          <cell r="C495">
            <v>154000</v>
          </cell>
        </row>
        <row r="496">
          <cell r="C496">
            <v>154100</v>
          </cell>
        </row>
        <row r="497">
          <cell r="C497">
            <v>154110</v>
          </cell>
        </row>
        <row r="498">
          <cell r="C498">
            <v>154111</v>
          </cell>
        </row>
        <row r="499">
          <cell r="C499">
            <v>154112</v>
          </cell>
        </row>
        <row r="500">
          <cell r="C500">
            <v>154113</v>
          </cell>
        </row>
        <row r="501">
          <cell r="C501">
            <v>154120</v>
          </cell>
        </row>
        <row r="502">
          <cell r="C502">
            <v>154130</v>
          </cell>
        </row>
        <row r="503">
          <cell r="C503">
            <v>154131</v>
          </cell>
        </row>
        <row r="504">
          <cell r="C504">
            <v>154132</v>
          </cell>
        </row>
        <row r="505">
          <cell r="C505">
            <v>154140</v>
          </cell>
        </row>
        <row r="506">
          <cell r="C506">
            <v>154141</v>
          </cell>
        </row>
        <row r="507">
          <cell r="C507">
            <v>154142</v>
          </cell>
        </row>
        <row r="508">
          <cell r="C508">
            <v>154150</v>
          </cell>
        </row>
        <row r="509">
          <cell r="C509">
            <v>154160</v>
          </cell>
        </row>
        <row r="510">
          <cell r="C510">
            <v>154170</v>
          </cell>
        </row>
        <row r="511">
          <cell r="C511">
            <v>154199</v>
          </cell>
        </row>
        <row r="512">
          <cell r="C512">
            <v>154200</v>
          </cell>
        </row>
        <row r="513">
          <cell r="C513">
            <v>154210</v>
          </cell>
        </row>
        <row r="514">
          <cell r="C514">
            <v>154299</v>
          </cell>
        </row>
        <row r="515">
          <cell r="C515">
            <v>154300</v>
          </cell>
        </row>
        <row r="516">
          <cell r="C516">
            <v>154310</v>
          </cell>
        </row>
        <row r="517">
          <cell r="C517">
            <v>154311</v>
          </cell>
        </row>
        <row r="518">
          <cell r="C518">
            <v>154320</v>
          </cell>
        </row>
        <row r="519">
          <cell r="C519">
            <v>154321</v>
          </cell>
        </row>
        <row r="520">
          <cell r="C520">
            <v>154322</v>
          </cell>
        </row>
        <row r="521">
          <cell r="C521">
            <v>154330</v>
          </cell>
        </row>
        <row r="522">
          <cell r="C522">
            <v>154331</v>
          </cell>
        </row>
        <row r="523">
          <cell r="C523">
            <v>154332</v>
          </cell>
        </row>
        <row r="524">
          <cell r="C524">
            <v>154399</v>
          </cell>
        </row>
        <row r="525">
          <cell r="C525">
            <v>154999</v>
          </cell>
        </row>
        <row r="526">
          <cell r="C526">
            <v>159999</v>
          </cell>
        </row>
        <row r="527">
          <cell r="C527">
            <v>160000</v>
          </cell>
        </row>
        <row r="528">
          <cell r="C528">
            <v>161100</v>
          </cell>
        </row>
        <row r="529">
          <cell r="C529">
            <v>161110</v>
          </cell>
        </row>
        <row r="530">
          <cell r="C530">
            <v>161111</v>
          </cell>
        </row>
        <row r="531">
          <cell r="C531">
            <v>161120</v>
          </cell>
        </row>
        <row r="532">
          <cell r="C532">
            <v>161130</v>
          </cell>
        </row>
        <row r="533">
          <cell r="C533">
            <v>161199</v>
          </cell>
        </row>
        <row r="534">
          <cell r="C534">
            <v>161200</v>
          </cell>
        </row>
        <row r="535">
          <cell r="C535">
            <v>161210</v>
          </cell>
        </row>
        <row r="536">
          <cell r="C536">
            <v>161211</v>
          </cell>
        </row>
        <row r="537">
          <cell r="C537">
            <v>161220</v>
          </cell>
        </row>
        <row r="538">
          <cell r="C538">
            <v>161221</v>
          </cell>
        </row>
        <row r="539">
          <cell r="C539">
            <v>161230</v>
          </cell>
        </row>
        <row r="540">
          <cell r="C540">
            <v>161299</v>
          </cell>
        </row>
        <row r="541">
          <cell r="C541">
            <v>161300</v>
          </cell>
        </row>
        <row r="542">
          <cell r="C542">
            <v>161310</v>
          </cell>
        </row>
        <row r="543">
          <cell r="C543">
            <v>161311</v>
          </cell>
        </row>
        <row r="544">
          <cell r="C544">
            <v>161320</v>
          </cell>
        </row>
        <row r="545">
          <cell r="C545">
            <v>161330</v>
          </cell>
        </row>
        <row r="546">
          <cell r="C546">
            <v>161399</v>
          </cell>
        </row>
        <row r="547">
          <cell r="C547">
            <v>161999</v>
          </cell>
        </row>
        <row r="548">
          <cell r="C548">
            <v>199999</v>
          </cell>
        </row>
        <row r="549">
          <cell r="C549">
            <v>200000</v>
          </cell>
        </row>
        <row r="550">
          <cell r="C550">
            <v>201000</v>
          </cell>
        </row>
        <row r="551">
          <cell r="C551">
            <v>201050</v>
          </cell>
        </row>
        <row r="552">
          <cell r="C552">
            <v>210000</v>
          </cell>
        </row>
        <row r="553">
          <cell r="C553">
            <v>211000</v>
          </cell>
        </row>
        <row r="554">
          <cell r="C554">
            <v>211001</v>
          </cell>
        </row>
        <row r="555">
          <cell r="C555">
            <v>211110</v>
          </cell>
        </row>
        <row r="556">
          <cell r="C556">
            <v>211112</v>
          </cell>
        </row>
        <row r="557">
          <cell r="C557">
            <v>211120</v>
          </cell>
        </row>
        <row r="558">
          <cell r="C558">
            <v>211130</v>
          </cell>
        </row>
        <row r="559">
          <cell r="C559">
            <v>211135</v>
          </cell>
        </row>
        <row r="560">
          <cell r="C560">
            <v>211210</v>
          </cell>
        </row>
        <row r="561">
          <cell r="C561">
            <v>211220</v>
          </cell>
        </row>
        <row r="562">
          <cell r="C562">
            <v>211230</v>
          </cell>
        </row>
        <row r="563">
          <cell r="C563">
            <v>211310</v>
          </cell>
        </row>
        <row r="564">
          <cell r="C564">
            <v>211320</v>
          </cell>
        </row>
        <row r="565">
          <cell r="C565">
            <v>211399</v>
          </cell>
        </row>
        <row r="566">
          <cell r="C566">
            <v>211400</v>
          </cell>
        </row>
        <row r="567">
          <cell r="C567">
            <v>211500</v>
          </cell>
        </row>
        <row r="568">
          <cell r="C568">
            <v>211510</v>
          </cell>
        </row>
        <row r="569">
          <cell r="C569">
            <v>211512</v>
          </cell>
        </row>
        <row r="570">
          <cell r="C570">
            <v>211520</v>
          </cell>
        </row>
        <row r="571">
          <cell r="C571">
            <v>211530</v>
          </cell>
        </row>
        <row r="572">
          <cell r="C572">
            <v>211535</v>
          </cell>
        </row>
        <row r="573">
          <cell r="C573">
            <v>211610</v>
          </cell>
        </row>
        <row r="574">
          <cell r="C574">
            <v>211620</v>
          </cell>
        </row>
        <row r="575">
          <cell r="C575">
            <v>211630</v>
          </cell>
        </row>
        <row r="576">
          <cell r="C576">
            <v>211710</v>
          </cell>
        </row>
        <row r="577">
          <cell r="C577">
            <v>211720</v>
          </cell>
        </row>
        <row r="578">
          <cell r="C578">
            <v>211799</v>
          </cell>
        </row>
        <row r="579">
          <cell r="C579">
            <v>211999</v>
          </cell>
        </row>
        <row r="580">
          <cell r="C580">
            <v>212000</v>
          </cell>
        </row>
        <row r="581">
          <cell r="C581">
            <v>212110</v>
          </cell>
        </row>
        <row r="582">
          <cell r="C582">
            <v>212112</v>
          </cell>
        </row>
        <row r="583">
          <cell r="C583">
            <v>212120</v>
          </cell>
        </row>
        <row r="584">
          <cell r="C584">
            <v>212130</v>
          </cell>
        </row>
        <row r="585">
          <cell r="C585">
            <v>212135</v>
          </cell>
        </row>
        <row r="586">
          <cell r="C586">
            <v>212140</v>
          </cell>
        </row>
        <row r="587">
          <cell r="C587">
            <v>212145</v>
          </cell>
        </row>
        <row r="588">
          <cell r="C588">
            <v>212150</v>
          </cell>
        </row>
        <row r="589">
          <cell r="C589">
            <v>212210</v>
          </cell>
        </row>
        <row r="590">
          <cell r="C590">
            <v>212220</v>
          </cell>
        </row>
        <row r="591">
          <cell r="C591">
            <v>212230</v>
          </cell>
        </row>
        <row r="592">
          <cell r="C592">
            <v>212240</v>
          </cell>
        </row>
        <row r="593">
          <cell r="C593">
            <v>212250</v>
          </cell>
        </row>
        <row r="594">
          <cell r="C594">
            <v>212310</v>
          </cell>
        </row>
        <row r="595">
          <cell r="C595">
            <v>212320</v>
          </cell>
        </row>
        <row r="596">
          <cell r="C596">
            <v>212330</v>
          </cell>
        </row>
        <row r="597">
          <cell r="C597">
            <v>212340</v>
          </cell>
        </row>
        <row r="598">
          <cell r="C598">
            <v>212350</v>
          </cell>
        </row>
        <row r="599">
          <cell r="C599">
            <v>212999</v>
          </cell>
        </row>
        <row r="600">
          <cell r="C600">
            <v>213000</v>
          </cell>
        </row>
        <row r="601">
          <cell r="C601">
            <v>213110</v>
          </cell>
        </row>
        <row r="602">
          <cell r="C602">
            <v>213112</v>
          </cell>
        </row>
        <row r="603">
          <cell r="C603">
            <v>213120</v>
          </cell>
        </row>
        <row r="604">
          <cell r="C604">
            <v>213130</v>
          </cell>
        </row>
        <row r="605">
          <cell r="C605">
            <v>213135</v>
          </cell>
        </row>
        <row r="606">
          <cell r="C606">
            <v>213140</v>
          </cell>
        </row>
        <row r="607">
          <cell r="C607">
            <v>213150</v>
          </cell>
        </row>
        <row r="608">
          <cell r="C608">
            <v>213210</v>
          </cell>
        </row>
        <row r="609">
          <cell r="C609">
            <v>213220</v>
          </cell>
        </row>
        <row r="610">
          <cell r="C610">
            <v>213230</v>
          </cell>
        </row>
        <row r="611">
          <cell r="C611">
            <v>213240</v>
          </cell>
        </row>
        <row r="612">
          <cell r="C612">
            <v>213250</v>
          </cell>
        </row>
        <row r="613">
          <cell r="C613">
            <v>213310</v>
          </cell>
        </row>
        <row r="614">
          <cell r="C614">
            <v>213320</v>
          </cell>
        </row>
        <row r="615">
          <cell r="C615">
            <v>213340</v>
          </cell>
        </row>
        <row r="616">
          <cell r="C616">
            <v>213350</v>
          </cell>
        </row>
        <row r="617">
          <cell r="C617">
            <v>213999</v>
          </cell>
        </row>
        <row r="618">
          <cell r="C618">
            <v>214000</v>
          </cell>
        </row>
        <row r="619">
          <cell r="C619">
            <v>214100</v>
          </cell>
        </row>
        <row r="620">
          <cell r="C620">
            <v>214200</v>
          </cell>
        </row>
        <row r="621">
          <cell r="C621">
            <v>214999</v>
          </cell>
        </row>
        <row r="622">
          <cell r="C622">
            <v>215000</v>
          </cell>
        </row>
        <row r="623">
          <cell r="C623">
            <v>215100</v>
          </cell>
        </row>
        <row r="624">
          <cell r="C624">
            <v>215200</v>
          </cell>
        </row>
        <row r="625">
          <cell r="C625">
            <v>215999</v>
          </cell>
        </row>
        <row r="626">
          <cell r="C626">
            <v>219999</v>
          </cell>
        </row>
        <row r="627">
          <cell r="C627">
            <v>220000</v>
          </cell>
        </row>
        <row r="628">
          <cell r="C628">
            <v>221000</v>
          </cell>
        </row>
        <row r="629">
          <cell r="C629">
            <v>221110</v>
          </cell>
        </row>
        <row r="630">
          <cell r="C630">
            <v>221112</v>
          </cell>
        </row>
        <row r="631">
          <cell r="C631">
            <v>221115</v>
          </cell>
        </row>
        <row r="632">
          <cell r="C632">
            <v>221120</v>
          </cell>
        </row>
        <row r="633">
          <cell r="C633">
            <v>221130</v>
          </cell>
        </row>
        <row r="634">
          <cell r="C634">
            <v>221135</v>
          </cell>
        </row>
        <row r="635">
          <cell r="C635">
            <v>221137</v>
          </cell>
        </row>
        <row r="636">
          <cell r="C636">
            <v>221210</v>
          </cell>
        </row>
        <row r="637">
          <cell r="C637">
            <v>221220</v>
          </cell>
        </row>
        <row r="638">
          <cell r="C638">
            <v>221250</v>
          </cell>
        </row>
        <row r="639">
          <cell r="C639">
            <v>221310</v>
          </cell>
        </row>
        <row r="640">
          <cell r="C640">
            <v>221315</v>
          </cell>
        </row>
        <row r="641">
          <cell r="C641">
            <v>221320</v>
          </cell>
        </row>
        <row r="642">
          <cell r="C642">
            <v>221330</v>
          </cell>
        </row>
        <row r="643">
          <cell r="C643">
            <v>221350</v>
          </cell>
        </row>
        <row r="644">
          <cell r="C644">
            <v>221410</v>
          </cell>
        </row>
        <row r="645">
          <cell r="C645">
            <v>221420</v>
          </cell>
        </row>
        <row r="646">
          <cell r="C646">
            <v>221450</v>
          </cell>
        </row>
        <row r="647">
          <cell r="C647">
            <v>221999</v>
          </cell>
        </row>
        <row r="648">
          <cell r="C648">
            <v>222000</v>
          </cell>
        </row>
        <row r="649">
          <cell r="C649">
            <v>222110</v>
          </cell>
        </row>
        <row r="650">
          <cell r="C650">
            <v>222112</v>
          </cell>
        </row>
        <row r="651">
          <cell r="C651">
            <v>222115</v>
          </cell>
        </row>
        <row r="652">
          <cell r="C652">
            <v>222120</v>
          </cell>
        </row>
        <row r="653">
          <cell r="C653">
            <v>222130</v>
          </cell>
        </row>
        <row r="654">
          <cell r="C654">
            <v>222135</v>
          </cell>
        </row>
        <row r="655">
          <cell r="C655">
            <v>222137</v>
          </cell>
        </row>
        <row r="656">
          <cell r="C656">
            <v>222210</v>
          </cell>
        </row>
        <row r="657">
          <cell r="C657">
            <v>222220</v>
          </cell>
        </row>
        <row r="658">
          <cell r="C658">
            <v>222250</v>
          </cell>
        </row>
        <row r="659">
          <cell r="C659">
            <v>222310</v>
          </cell>
        </row>
        <row r="660">
          <cell r="C660">
            <v>222315</v>
          </cell>
        </row>
        <row r="661">
          <cell r="C661">
            <v>222320</v>
          </cell>
        </row>
        <row r="662">
          <cell r="C662">
            <v>222330</v>
          </cell>
        </row>
        <row r="663">
          <cell r="C663">
            <v>222350</v>
          </cell>
        </row>
        <row r="664">
          <cell r="C664">
            <v>222410</v>
          </cell>
        </row>
        <row r="665">
          <cell r="C665">
            <v>222420</v>
          </cell>
        </row>
        <row r="666">
          <cell r="C666">
            <v>222450</v>
          </cell>
        </row>
        <row r="667">
          <cell r="C667">
            <v>222999</v>
          </cell>
        </row>
        <row r="668">
          <cell r="C668">
            <v>223000</v>
          </cell>
        </row>
        <row r="669">
          <cell r="C669">
            <v>223110</v>
          </cell>
        </row>
        <row r="670">
          <cell r="C670">
            <v>223112</v>
          </cell>
        </row>
        <row r="671">
          <cell r="C671">
            <v>223115</v>
          </cell>
        </row>
        <row r="672">
          <cell r="C672">
            <v>223120</v>
          </cell>
        </row>
        <row r="673">
          <cell r="C673">
            <v>223130</v>
          </cell>
        </row>
        <row r="674">
          <cell r="C674">
            <v>223135</v>
          </cell>
        </row>
        <row r="675">
          <cell r="C675">
            <v>223137</v>
          </cell>
        </row>
        <row r="676">
          <cell r="C676">
            <v>223210</v>
          </cell>
        </row>
        <row r="677">
          <cell r="C677">
            <v>223220</v>
          </cell>
        </row>
        <row r="678">
          <cell r="C678">
            <v>223250</v>
          </cell>
        </row>
        <row r="679">
          <cell r="C679">
            <v>223310</v>
          </cell>
        </row>
        <row r="680">
          <cell r="C680">
            <v>223315</v>
          </cell>
        </row>
        <row r="681">
          <cell r="C681">
            <v>223320</v>
          </cell>
        </row>
        <row r="682">
          <cell r="C682">
            <v>223330</v>
          </cell>
        </row>
        <row r="683">
          <cell r="C683">
            <v>223350</v>
          </cell>
        </row>
        <row r="684">
          <cell r="C684">
            <v>223410</v>
          </cell>
        </row>
        <row r="685">
          <cell r="C685">
            <v>223420</v>
          </cell>
        </row>
        <row r="686">
          <cell r="C686">
            <v>223450</v>
          </cell>
        </row>
        <row r="687">
          <cell r="C687">
            <v>223999</v>
          </cell>
        </row>
        <row r="688">
          <cell r="C688">
            <v>224000</v>
          </cell>
        </row>
        <row r="689">
          <cell r="C689">
            <v>224110</v>
          </cell>
        </row>
        <row r="690">
          <cell r="C690">
            <v>224112</v>
          </cell>
        </row>
        <row r="691">
          <cell r="C691">
            <v>224115</v>
          </cell>
        </row>
        <row r="692">
          <cell r="C692">
            <v>224120</v>
          </cell>
        </row>
        <row r="693">
          <cell r="C693">
            <v>224130</v>
          </cell>
        </row>
        <row r="694">
          <cell r="C694">
            <v>224135</v>
          </cell>
        </row>
        <row r="695">
          <cell r="C695">
            <v>224210</v>
          </cell>
        </row>
        <row r="696">
          <cell r="C696">
            <v>224220</v>
          </cell>
        </row>
        <row r="697">
          <cell r="C697">
            <v>224310</v>
          </cell>
        </row>
        <row r="698">
          <cell r="C698">
            <v>224315</v>
          </cell>
        </row>
        <row r="699">
          <cell r="C699">
            <v>224320</v>
          </cell>
        </row>
        <row r="700">
          <cell r="C700">
            <v>224330</v>
          </cell>
        </row>
        <row r="701">
          <cell r="C701">
            <v>224410</v>
          </cell>
        </row>
        <row r="702">
          <cell r="C702">
            <v>224420</v>
          </cell>
        </row>
        <row r="703">
          <cell r="C703">
            <v>224999</v>
          </cell>
        </row>
        <row r="704">
          <cell r="C704">
            <v>225000</v>
          </cell>
        </row>
        <row r="705">
          <cell r="C705">
            <v>225110</v>
          </cell>
        </row>
        <row r="706">
          <cell r="C706">
            <v>225112</v>
          </cell>
        </row>
        <row r="707">
          <cell r="C707">
            <v>225115</v>
          </cell>
        </row>
        <row r="708">
          <cell r="C708">
            <v>225120</v>
          </cell>
        </row>
        <row r="709">
          <cell r="C709">
            <v>225130</v>
          </cell>
        </row>
        <row r="710">
          <cell r="C710">
            <v>225135</v>
          </cell>
        </row>
        <row r="711">
          <cell r="C711">
            <v>225137</v>
          </cell>
        </row>
        <row r="712">
          <cell r="C712">
            <v>225210</v>
          </cell>
        </row>
        <row r="713">
          <cell r="C713">
            <v>225220</v>
          </cell>
        </row>
        <row r="714">
          <cell r="C714">
            <v>225250</v>
          </cell>
        </row>
        <row r="715">
          <cell r="C715">
            <v>225310</v>
          </cell>
        </row>
        <row r="716">
          <cell r="C716">
            <v>225315</v>
          </cell>
        </row>
        <row r="717">
          <cell r="C717">
            <v>225320</v>
          </cell>
        </row>
        <row r="718">
          <cell r="C718">
            <v>225330</v>
          </cell>
        </row>
        <row r="719">
          <cell r="C719">
            <v>225350</v>
          </cell>
        </row>
        <row r="720">
          <cell r="C720">
            <v>225410</v>
          </cell>
        </row>
        <row r="721">
          <cell r="C721">
            <v>225420</v>
          </cell>
        </row>
        <row r="722">
          <cell r="C722">
            <v>225450</v>
          </cell>
        </row>
        <row r="723">
          <cell r="C723">
            <v>225999</v>
          </cell>
        </row>
        <row r="724">
          <cell r="C724">
            <v>229999</v>
          </cell>
        </row>
        <row r="725">
          <cell r="C725">
            <v>230000</v>
          </cell>
        </row>
        <row r="726">
          <cell r="C726">
            <v>230100</v>
          </cell>
        </row>
        <row r="727">
          <cell r="C727">
            <v>230110</v>
          </cell>
        </row>
        <row r="728">
          <cell r="C728">
            <v>230199</v>
          </cell>
        </row>
        <row r="729">
          <cell r="C729">
            <v>230200</v>
          </cell>
        </row>
        <row r="730">
          <cell r="C730">
            <v>230210</v>
          </cell>
        </row>
        <row r="731">
          <cell r="C731">
            <v>230211</v>
          </cell>
        </row>
        <row r="732">
          <cell r="C732">
            <v>230212</v>
          </cell>
        </row>
        <row r="733">
          <cell r="C733">
            <v>230213</v>
          </cell>
        </row>
        <row r="734">
          <cell r="C734">
            <v>230214</v>
          </cell>
        </row>
        <row r="735">
          <cell r="C735">
            <v>231000</v>
          </cell>
        </row>
        <row r="736">
          <cell r="C736">
            <v>231110</v>
          </cell>
        </row>
        <row r="737">
          <cell r="C737">
            <v>231120</v>
          </cell>
        </row>
        <row r="738">
          <cell r="C738">
            <v>231130</v>
          </cell>
        </row>
        <row r="739">
          <cell r="C739">
            <v>231150</v>
          </cell>
        </row>
        <row r="740">
          <cell r="C740">
            <v>231210</v>
          </cell>
        </row>
        <row r="741">
          <cell r="C741">
            <v>231220</v>
          </cell>
        </row>
        <row r="742">
          <cell r="C742">
            <v>231221</v>
          </cell>
        </row>
        <row r="743">
          <cell r="C743">
            <v>231230</v>
          </cell>
        </row>
        <row r="744">
          <cell r="C744">
            <v>231240</v>
          </cell>
        </row>
        <row r="745">
          <cell r="C745">
            <v>231250</v>
          </cell>
        </row>
        <row r="746">
          <cell r="C746">
            <v>231255</v>
          </cell>
        </row>
        <row r="747">
          <cell r="C747">
            <v>231260</v>
          </cell>
        </row>
        <row r="748">
          <cell r="C748">
            <v>231270</v>
          </cell>
        </row>
        <row r="749">
          <cell r="C749">
            <v>231999</v>
          </cell>
        </row>
        <row r="750">
          <cell r="C750">
            <v>232000</v>
          </cell>
        </row>
        <row r="751">
          <cell r="C751">
            <v>232110</v>
          </cell>
        </row>
        <row r="752">
          <cell r="C752">
            <v>232120</v>
          </cell>
        </row>
        <row r="753">
          <cell r="C753">
            <v>232130</v>
          </cell>
        </row>
        <row r="754">
          <cell r="C754">
            <v>232150</v>
          </cell>
        </row>
        <row r="755">
          <cell r="C755">
            <v>232210</v>
          </cell>
        </row>
        <row r="756">
          <cell r="C756">
            <v>232220</v>
          </cell>
        </row>
        <row r="757">
          <cell r="C757">
            <v>232221</v>
          </cell>
        </row>
        <row r="758">
          <cell r="C758">
            <v>232230</v>
          </cell>
        </row>
        <row r="759">
          <cell r="C759">
            <v>232240</v>
          </cell>
        </row>
        <row r="760">
          <cell r="C760">
            <v>232250</v>
          </cell>
        </row>
        <row r="761">
          <cell r="C761">
            <v>232255</v>
          </cell>
        </row>
        <row r="762">
          <cell r="C762">
            <v>232260</v>
          </cell>
        </row>
        <row r="763">
          <cell r="C763">
            <v>232270</v>
          </cell>
        </row>
        <row r="764">
          <cell r="C764">
            <v>232999</v>
          </cell>
        </row>
        <row r="765">
          <cell r="C765">
            <v>233000</v>
          </cell>
        </row>
        <row r="766">
          <cell r="C766">
            <v>233110</v>
          </cell>
        </row>
        <row r="767">
          <cell r="C767">
            <v>233115</v>
          </cell>
        </row>
        <row r="768">
          <cell r="C768">
            <v>233120</v>
          </cell>
        </row>
        <row r="769">
          <cell r="C769">
            <v>233130</v>
          </cell>
        </row>
        <row r="770">
          <cell r="C770">
            <v>233210</v>
          </cell>
        </row>
        <row r="771">
          <cell r="C771">
            <v>233220</v>
          </cell>
        </row>
        <row r="772">
          <cell r="C772">
            <v>233230</v>
          </cell>
        </row>
        <row r="773">
          <cell r="C773">
            <v>233250</v>
          </cell>
        </row>
        <row r="774">
          <cell r="C774">
            <v>233999</v>
          </cell>
        </row>
        <row r="775">
          <cell r="C775">
            <v>234000</v>
          </cell>
        </row>
        <row r="776">
          <cell r="C776">
            <v>234110</v>
          </cell>
        </row>
        <row r="777">
          <cell r="C777">
            <v>234120</v>
          </cell>
        </row>
        <row r="778">
          <cell r="C778">
            <v>234210</v>
          </cell>
        </row>
        <row r="779">
          <cell r="C779">
            <v>234310</v>
          </cell>
        </row>
        <row r="780">
          <cell r="C780">
            <v>234311</v>
          </cell>
        </row>
        <row r="781">
          <cell r="C781">
            <v>234410</v>
          </cell>
        </row>
        <row r="782">
          <cell r="C782">
            <v>234510</v>
          </cell>
        </row>
        <row r="783">
          <cell r="C783">
            <v>234999</v>
          </cell>
        </row>
        <row r="784">
          <cell r="C784">
            <v>239999</v>
          </cell>
        </row>
        <row r="785">
          <cell r="C785">
            <v>249999</v>
          </cell>
        </row>
        <row r="786">
          <cell r="C786">
            <v>300000</v>
          </cell>
        </row>
        <row r="787">
          <cell r="C787">
            <v>301000</v>
          </cell>
        </row>
        <row r="788">
          <cell r="C788">
            <v>301100</v>
          </cell>
        </row>
        <row r="789">
          <cell r="C789">
            <v>301112</v>
          </cell>
        </row>
        <row r="790">
          <cell r="C790">
            <v>301115</v>
          </cell>
        </row>
        <row r="791">
          <cell r="C791">
            <v>301120</v>
          </cell>
        </row>
        <row r="792">
          <cell r="C792">
            <v>301130</v>
          </cell>
        </row>
        <row r="793">
          <cell r="C793">
            <v>301135</v>
          </cell>
        </row>
        <row r="794">
          <cell r="C794">
            <v>301200</v>
          </cell>
        </row>
        <row r="795">
          <cell r="C795">
            <v>301215</v>
          </cell>
        </row>
        <row r="796">
          <cell r="C796">
            <v>301220</v>
          </cell>
        </row>
        <row r="797">
          <cell r="C797">
            <v>301300</v>
          </cell>
        </row>
        <row r="798">
          <cell r="C798">
            <v>301315</v>
          </cell>
        </row>
        <row r="799">
          <cell r="C799">
            <v>301320</v>
          </cell>
        </row>
        <row r="800">
          <cell r="C800">
            <v>301999</v>
          </cell>
        </row>
        <row r="801">
          <cell r="C801">
            <v>309000</v>
          </cell>
        </row>
        <row r="802">
          <cell r="C802">
            <v>310000</v>
          </cell>
        </row>
        <row r="803">
          <cell r="C803">
            <v>311000</v>
          </cell>
        </row>
        <row r="804">
          <cell r="C804">
            <v>311010</v>
          </cell>
        </row>
        <row r="805">
          <cell r="C805">
            <v>311020</v>
          </cell>
        </row>
        <row r="806">
          <cell r="C806">
            <v>311050</v>
          </cell>
        </row>
        <row r="807">
          <cell r="C807">
            <v>311100</v>
          </cell>
        </row>
        <row r="808">
          <cell r="C808">
            <v>312000</v>
          </cell>
        </row>
        <row r="809">
          <cell r="C809">
            <v>313000</v>
          </cell>
        </row>
        <row r="810">
          <cell r="C810">
            <v>313100</v>
          </cell>
        </row>
        <row r="811">
          <cell r="C811">
            <v>313110</v>
          </cell>
        </row>
        <row r="812">
          <cell r="C812">
            <v>313120</v>
          </cell>
        </row>
        <row r="813">
          <cell r="C813">
            <v>314000</v>
          </cell>
        </row>
        <row r="814">
          <cell r="C814">
            <v>314001</v>
          </cell>
        </row>
        <row r="815">
          <cell r="C815">
            <v>315000</v>
          </cell>
        </row>
        <row r="816">
          <cell r="C816">
            <v>316000</v>
          </cell>
        </row>
        <row r="817">
          <cell r="C817">
            <v>319999</v>
          </cell>
        </row>
        <row r="818">
          <cell r="C818">
            <v>320000</v>
          </cell>
        </row>
        <row r="819">
          <cell r="C819">
            <v>321000</v>
          </cell>
        </row>
        <row r="820">
          <cell r="C820">
            <v>321001</v>
          </cell>
        </row>
        <row r="821">
          <cell r="C821">
            <v>321004</v>
          </cell>
        </row>
        <row r="822">
          <cell r="C822">
            <v>321005</v>
          </cell>
        </row>
        <row r="823">
          <cell r="C823">
            <v>321006</v>
          </cell>
        </row>
        <row r="824">
          <cell r="C824">
            <v>321007</v>
          </cell>
        </row>
        <row r="825">
          <cell r="C825">
            <v>321008</v>
          </cell>
        </row>
        <row r="826">
          <cell r="C826">
            <v>321010</v>
          </cell>
        </row>
        <row r="827">
          <cell r="C827">
            <v>321020</v>
          </cell>
        </row>
        <row r="828">
          <cell r="C828">
            <v>321040</v>
          </cell>
        </row>
        <row r="829">
          <cell r="C829">
            <v>329999</v>
          </cell>
        </row>
        <row r="830">
          <cell r="C830">
            <v>330000</v>
          </cell>
        </row>
        <row r="831">
          <cell r="C831">
            <v>331000</v>
          </cell>
        </row>
        <row r="832">
          <cell r="C832">
            <v>331100</v>
          </cell>
        </row>
        <row r="833">
          <cell r="C833">
            <v>331200</v>
          </cell>
        </row>
        <row r="834">
          <cell r="C834">
            <v>332000</v>
          </cell>
        </row>
        <row r="835">
          <cell r="C835">
            <v>332100</v>
          </cell>
        </row>
        <row r="836">
          <cell r="C836">
            <v>332200</v>
          </cell>
        </row>
        <row r="837">
          <cell r="C837">
            <v>339999</v>
          </cell>
        </row>
        <row r="838">
          <cell r="C838">
            <v>340000</v>
          </cell>
        </row>
        <row r="839">
          <cell r="C839">
            <v>341000</v>
          </cell>
        </row>
        <row r="840">
          <cell r="C840">
            <v>341050</v>
          </cell>
        </row>
        <row r="841">
          <cell r="C841">
            <v>341100</v>
          </cell>
        </row>
        <row r="842">
          <cell r="C842">
            <v>341135</v>
          </cell>
        </row>
        <row r="843">
          <cell r="C843">
            <v>341150</v>
          </cell>
        </row>
        <row r="844">
          <cell r="C844">
            <v>341160</v>
          </cell>
        </row>
        <row r="845">
          <cell r="C845">
            <v>341200</v>
          </cell>
        </row>
        <row r="846">
          <cell r="C846">
            <v>342000</v>
          </cell>
        </row>
        <row r="847">
          <cell r="C847">
            <v>342050</v>
          </cell>
        </row>
        <row r="848">
          <cell r="C848">
            <v>342100</v>
          </cell>
        </row>
        <row r="849">
          <cell r="C849">
            <v>342135</v>
          </cell>
        </row>
        <row r="850">
          <cell r="C850">
            <v>342150</v>
          </cell>
        </row>
        <row r="851">
          <cell r="C851">
            <v>342160</v>
          </cell>
        </row>
        <row r="852">
          <cell r="C852">
            <v>342200</v>
          </cell>
        </row>
        <row r="853">
          <cell r="C853">
            <v>342300</v>
          </cell>
        </row>
        <row r="854">
          <cell r="C854">
            <v>349999</v>
          </cell>
        </row>
        <row r="855">
          <cell r="C855">
            <v>350000</v>
          </cell>
        </row>
        <row r="856">
          <cell r="C856">
            <v>351000</v>
          </cell>
        </row>
        <row r="857">
          <cell r="C857">
            <v>351010</v>
          </cell>
        </row>
        <row r="858">
          <cell r="C858">
            <v>351020</v>
          </cell>
        </row>
        <row r="859">
          <cell r="C859">
            <v>351030</v>
          </cell>
        </row>
        <row r="860">
          <cell r="C860">
            <v>352000</v>
          </cell>
        </row>
        <row r="861">
          <cell r="C861">
            <v>353000</v>
          </cell>
        </row>
        <row r="862">
          <cell r="C862">
            <v>353340</v>
          </cell>
        </row>
        <row r="863">
          <cell r="C863">
            <v>353350</v>
          </cell>
        </row>
        <row r="864">
          <cell r="C864">
            <v>354000</v>
          </cell>
        </row>
        <row r="865">
          <cell r="C865">
            <v>354100</v>
          </cell>
        </row>
        <row r="866">
          <cell r="C866">
            <v>354500</v>
          </cell>
        </row>
        <row r="867">
          <cell r="C867">
            <v>354510</v>
          </cell>
        </row>
        <row r="868">
          <cell r="C868">
            <v>354600</v>
          </cell>
        </row>
        <row r="869">
          <cell r="C869">
            <v>359999</v>
          </cell>
        </row>
        <row r="870">
          <cell r="C870">
            <v>360000</v>
          </cell>
        </row>
        <row r="871">
          <cell r="C871">
            <v>361000</v>
          </cell>
        </row>
        <row r="872">
          <cell r="C872">
            <v>361100</v>
          </cell>
        </row>
        <row r="873">
          <cell r="C873">
            <v>361200</v>
          </cell>
        </row>
        <row r="874">
          <cell r="C874">
            <v>361300</v>
          </cell>
        </row>
        <row r="875">
          <cell r="C875">
            <v>361400</v>
          </cell>
        </row>
        <row r="876">
          <cell r="C876">
            <v>362000</v>
          </cell>
        </row>
        <row r="877">
          <cell r="C877">
            <v>363566</v>
          </cell>
        </row>
        <row r="878">
          <cell r="C878">
            <v>369999</v>
          </cell>
        </row>
        <row r="879">
          <cell r="C879">
            <v>389999</v>
          </cell>
        </row>
        <row r="880">
          <cell r="C880">
            <v>390000</v>
          </cell>
        </row>
        <row r="881">
          <cell r="C881">
            <v>391000</v>
          </cell>
        </row>
        <row r="882">
          <cell r="C882">
            <v>391999</v>
          </cell>
        </row>
        <row r="883">
          <cell r="C883">
            <v>392000</v>
          </cell>
        </row>
        <row r="884">
          <cell r="C884">
            <v>392001</v>
          </cell>
        </row>
        <row r="885">
          <cell r="C885">
            <v>392002</v>
          </cell>
        </row>
        <row r="886">
          <cell r="C886">
            <v>392003</v>
          </cell>
        </row>
        <row r="887">
          <cell r="C887">
            <v>392004</v>
          </cell>
        </row>
        <row r="888">
          <cell r="C888">
            <v>392005</v>
          </cell>
        </row>
        <row r="889">
          <cell r="C889">
            <v>392014</v>
          </cell>
        </row>
        <row r="890">
          <cell r="C890">
            <v>392015</v>
          </cell>
        </row>
        <row r="891">
          <cell r="C891">
            <v>392016</v>
          </cell>
        </row>
        <row r="892">
          <cell r="C892">
            <v>392017</v>
          </cell>
        </row>
        <row r="893">
          <cell r="C893">
            <v>392021</v>
          </cell>
        </row>
        <row r="894">
          <cell r="C894">
            <v>392022</v>
          </cell>
        </row>
        <row r="895">
          <cell r="C895">
            <v>392023</v>
          </cell>
        </row>
        <row r="896">
          <cell r="C896">
            <v>392024</v>
          </cell>
        </row>
        <row r="897">
          <cell r="C897">
            <v>392025</v>
          </cell>
        </row>
        <row r="898">
          <cell r="C898">
            <v>392026</v>
          </cell>
        </row>
        <row r="899">
          <cell r="C899">
            <v>392027</v>
          </cell>
        </row>
        <row r="900">
          <cell r="C900">
            <v>392028</v>
          </cell>
        </row>
        <row r="901">
          <cell r="C901">
            <v>392030</v>
          </cell>
        </row>
        <row r="902">
          <cell r="C902">
            <v>392035</v>
          </cell>
        </row>
        <row r="903">
          <cell r="C903">
            <v>392040</v>
          </cell>
        </row>
        <row r="904">
          <cell r="C904">
            <v>392045</v>
          </cell>
        </row>
        <row r="905">
          <cell r="C905">
            <v>392046</v>
          </cell>
        </row>
        <row r="906">
          <cell r="C906">
            <v>392047</v>
          </cell>
        </row>
        <row r="907">
          <cell r="C907">
            <v>392048</v>
          </cell>
        </row>
        <row r="908">
          <cell r="C908">
            <v>392049</v>
          </cell>
        </row>
        <row r="909">
          <cell r="C909">
            <v>392050</v>
          </cell>
        </row>
        <row r="910">
          <cell r="C910">
            <v>392051</v>
          </cell>
        </row>
        <row r="911">
          <cell r="C911">
            <v>392052</v>
          </cell>
        </row>
        <row r="912">
          <cell r="C912">
            <v>392053</v>
          </cell>
        </row>
        <row r="913">
          <cell r="C913">
            <v>392054</v>
          </cell>
        </row>
        <row r="914">
          <cell r="C914">
            <v>392055</v>
          </cell>
        </row>
        <row r="915">
          <cell r="C915">
            <v>392056</v>
          </cell>
        </row>
        <row r="916">
          <cell r="C916">
            <v>392057</v>
          </cell>
        </row>
        <row r="917">
          <cell r="C917">
            <v>392058</v>
          </cell>
        </row>
        <row r="918">
          <cell r="C918">
            <v>392059</v>
          </cell>
        </row>
        <row r="919">
          <cell r="C919">
            <v>392060</v>
          </cell>
        </row>
        <row r="920">
          <cell r="C920">
            <v>392061</v>
          </cell>
        </row>
        <row r="921">
          <cell r="C921">
            <v>392062</v>
          </cell>
        </row>
        <row r="922">
          <cell r="C922">
            <v>392063</v>
          </cell>
        </row>
        <row r="923">
          <cell r="C923">
            <v>392800</v>
          </cell>
        </row>
        <row r="924">
          <cell r="C924">
            <v>392999</v>
          </cell>
        </row>
        <row r="925">
          <cell r="C925">
            <v>393000</v>
          </cell>
        </row>
        <row r="926">
          <cell r="C926">
            <v>393009</v>
          </cell>
        </row>
        <row r="927">
          <cell r="C927">
            <v>393010</v>
          </cell>
        </row>
        <row r="928">
          <cell r="C928">
            <v>393011</v>
          </cell>
        </row>
        <row r="929">
          <cell r="C929">
            <v>393012</v>
          </cell>
        </row>
        <row r="930">
          <cell r="C930">
            <v>393013</v>
          </cell>
        </row>
        <row r="931">
          <cell r="C931">
            <v>393014</v>
          </cell>
        </row>
        <row r="932">
          <cell r="C932">
            <v>393015</v>
          </cell>
        </row>
        <row r="933">
          <cell r="C933">
            <v>393016</v>
          </cell>
        </row>
        <row r="934">
          <cell r="C934">
            <v>393017</v>
          </cell>
        </row>
        <row r="935">
          <cell r="C935">
            <v>393018</v>
          </cell>
        </row>
        <row r="936">
          <cell r="C936">
            <v>393019</v>
          </cell>
        </row>
        <row r="937">
          <cell r="C937">
            <v>393020</v>
          </cell>
        </row>
        <row r="938">
          <cell r="C938">
            <v>393021</v>
          </cell>
        </row>
        <row r="939">
          <cell r="C939">
            <v>393093</v>
          </cell>
        </row>
        <row r="940">
          <cell r="C940">
            <v>393094</v>
          </cell>
        </row>
        <row r="941">
          <cell r="C941">
            <v>393095</v>
          </cell>
        </row>
        <row r="942">
          <cell r="C942">
            <v>393100</v>
          </cell>
        </row>
        <row r="943">
          <cell r="C943">
            <v>393101</v>
          </cell>
        </row>
        <row r="944">
          <cell r="C944">
            <v>393163</v>
          </cell>
        </row>
        <row r="945">
          <cell r="C945">
            <v>393164</v>
          </cell>
        </row>
        <row r="946">
          <cell r="C946">
            <v>393165</v>
          </cell>
        </row>
        <row r="947">
          <cell r="C947">
            <v>393166</v>
          </cell>
        </row>
        <row r="948">
          <cell r="C948">
            <v>393167</v>
          </cell>
        </row>
        <row r="949">
          <cell r="C949">
            <v>393410</v>
          </cell>
        </row>
        <row r="950">
          <cell r="C950">
            <v>393411</v>
          </cell>
        </row>
        <row r="951">
          <cell r="C951">
            <v>393412</v>
          </cell>
        </row>
        <row r="952">
          <cell r="C952">
            <v>393413</v>
          </cell>
        </row>
        <row r="953">
          <cell r="C953">
            <v>393465</v>
          </cell>
        </row>
        <row r="954">
          <cell r="C954">
            <v>393473</v>
          </cell>
        </row>
        <row r="955">
          <cell r="C955">
            <v>393476</v>
          </cell>
        </row>
        <row r="956">
          <cell r="C956">
            <v>393485</v>
          </cell>
        </row>
        <row r="957">
          <cell r="C957">
            <v>393492</v>
          </cell>
        </row>
        <row r="958">
          <cell r="C958">
            <v>393495</v>
          </cell>
        </row>
        <row r="959">
          <cell r="C959">
            <v>393496</v>
          </cell>
        </row>
        <row r="960">
          <cell r="C960">
            <v>393500</v>
          </cell>
        </row>
        <row r="961">
          <cell r="C961">
            <v>393505</v>
          </cell>
        </row>
        <row r="962">
          <cell r="C962">
            <v>393506</v>
          </cell>
        </row>
        <row r="963">
          <cell r="C963">
            <v>393510</v>
          </cell>
        </row>
        <row r="964">
          <cell r="C964">
            <v>393511</v>
          </cell>
        </row>
        <row r="965">
          <cell r="C965">
            <v>393512</v>
          </cell>
        </row>
        <row r="966">
          <cell r="C966">
            <v>393514</v>
          </cell>
        </row>
        <row r="967">
          <cell r="C967">
            <v>393516</v>
          </cell>
        </row>
        <row r="968">
          <cell r="C968">
            <v>393518</v>
          </cell>
        </row>
        <row r="969">
          <cell r="C969">
            <v>393520</v>
          </cell>
        </row>
        <row r="970">
          <cell r="C970">
            <v>393521</v>
          </cell>
        </row>
        <row r="971">
          <cell r="C971">
            <v>393522</v>
          </cell>
        </row>
        <row r="972">
          <cell r="C972">
            <v>393523</v>
          </cell>
        </row>
        <row r="973">
          <cell r="C973">
            <v>393524</v>
          </cell>
        </row>
        <row r="974">
          <cell r="C974">
            <v>393525</v>
          </cell>
        </row>
        <row r="975">
          <cell r="C975">
            <v>393526</v>
          </cell>
        </row>
        <row r="976">
          <cell r="C976">
            <v>393527</v>
          </cell>
        </row>
        <row r="977">
          <cell r="C977">
            <v>393528</v>
          </cell>
        </row>
        <row r="978">
          <cell r="C978">
            <v>393529</v>
          </cell>
        </row>
        <row r="979">
          <cell r="C979">
            <v>393530</v>
          </cell>
        </row>
        <row r="980">
          <cell r="C980">
            <v>393531</v>
          </cell>
        </row>
        <row r="981">
          <cell r="C981">
            <v>393532</v>
          </cell>
        </row>
        <row r="982">
          <cell r="C982">
            <v>393533</v>
          </cell>
        </row>
        <row r="983">
          <cell r="C983">
            <v>393534</v>
          </cell>
        </row>
        <row r="984">
          <cell r="C984">
            <v>393535</v>
          </cell>
        </row>
        <row r="985">
          <cell r="C985">
            <v>393536</v>
          </cell>
        </row>
        <row r="986">
          <cell r="C986">
            <v>393537</v>
          </cell>
        </row>
        <row r="987">
          <cell r="C987">
            <v>393538</v>
          </cell>
        </row>
        <row r="988">
          <cell r="C988">
            <v>393539</v>
          </cell>
        </row>
        <row r="989">
          <cell r="C989">
            <v>393540</v>
          </cell>
        </row>
        <row r="990">
          <cell r="C990">
            <v>393541</v>
          </cell>
        </row>
        <row r="991">
          <cell r="C991">
            <v>393542</v>
          </cell>
        </row>
        <row r="992">
          <cell r="C992">
            <v>393543</v>
          </cell>
        </row>
        <row r="993">
          <cell r="C993">
            <v>393544</v>
          </cell>
        </row>
        <row r="994">
          <cell r="C994">
            <v>393545</v>
          </cell>
        </row>
        <row r="995">
          <cell r="C995">
            <v>393546</v>
          </cell>
        </row>
        <row r="996">
          <cell r="C996">
            <v>393547</v>
          </cell>
        </row>
        <row r="997">
          <cell r="C997">
            <v>393548</v>
          </cell>
        </row>
        <row r="998">
          <cell r="C998">
            <v>393549</v>
          </cell>
        </row>
        <row r="999">
          <cell r="C999">
            <v>393550</v>
          </cell>
        </row>
        <row r="1000">
          <cell r="C1000">
            <v>393551</v>
          </cell>
        </row>
        <row r="1001">
          <cell r="C1001">
            <v>393552</v>
          </cell>
        </row>
        <row r="1002">
          <cell r="C1002">
            <v>393553</v>
          </cell>
        </row>
        <row r="1003">
          <cell r="C1003">
            <v>393554</v>
          </cell>
        </row>
        <row r="1004">
          <cell r="C1004">
            <v>393555</v>
          </cell>
        </row>
        <row r="1005">
          <cell r="C1005">
            <v>393556</v>
          </cell>
        </row>
        <row r="1006">
          <cell r="C1006">
            <v>393557</v>
          </cell>
        </row>
        <row r="1007">
          <cell r="C1007">
            <v>393558</v>
          </cell>
        </row>
        <row r="1008">
          <cell r="C1008">
            <v>393559</v>
          </cell>
        </row>
        <row r="1009">
          <cell r="C1009">
            <v>393560</v>
          </cell>
        </row>
        <row r="1010">
          <cell r="C1010">
            <v>393561</v>
          </cell>
        </row>
        <row r="1011">
          <cell r="C1011">
            <v>393562</v>
          </cell>
        </row>
        <row r="1012">
          <cell r="C1012">
            <v>393563</v>
          </cell>
        </row>
        <row r="1013">
          <cell r="C1013">
            <v>393564</v>
          </cell>
        </row>
        <row r="1014">
          <cell r="C1014">
            <v>393565</v>
          </cell>
        </row>
        <row r="1015">
          <cell r="C1015">
            <v>393566</v>
          </cell>
        </row>
        <row r="1016">
          <cell r="C1016">
            <v>393567</v>
          </cell>
        </row>
        <row r="1017">
          <cell r="C1017">
            <v>393800</v>
          </cell>
        </row>
        <row r="1018">
          <cell r="C1018">
            <v>393999</v>
          </cell>
        </row>
        <row r="1019">
          <cell r="C1019">
            <v>399997</v>
          </cell>
        </row>
        <row r="1020">
          <cell r="C1020">
            <v>399998</v>
          </cell>
        </row>
        <row r="1021">
          <cell r="C1021">
            <v>399999</v>
          </cell>
        </row>
        <row r="1022">
          <cell r="C1022">
            <v>400000</v>
          </cell>
        </row>
        <row r="1023">
          <cell r="C1023">
            <v>410000</v>
          </cell>
        </row>
        <row r="1024">
          <cell r="C1024">
            <v>411000</v>
          </cell>
        </row>
        <row r="1025">
          <cell r="C1025">
            <v>411100</v>
          </cell>
        </row>
        <row r="1026">
          <cell r="C1026">
            <v>411112</v>
          </cell>
        </row>
        <row r="1027">
          <cell r="C1027">
            <v>411150</v>
          </cell>
        </row>
        <row r="1028">
          <cell r="C1028">
            <v>411160</v>
          </cell>
        </row>
        <row r="1029">
          <cell r="C1029">
            <v>411199</v>
          </cell>
        </row>
        <row r="1030">
          <cell r="C1030">
            <v>411200</v>
          </cell>
        </row>
        <row r="1031">
          <cell r="C1031">
            <v>411212</v>
          </cell>
        </row>
        <row r="1032">
          <cell r="C1032">
            <v>411250</v>
          </cell>
        </row>
        <row r="1033">
          <cell r="C1033">
            <v>411299</v>
          </cell>
        </row>
        <row r="1034">
          <cell r="C1034">
            <v>419999</v>
          </cell>
        </row>
        <row r="1035">
          <cell r="C1035">
            <v>420000</v>
          </cell>
        </row>
        <row r="1036">
          <cell r="C1036">
            <v>421000</v>
          </cell>
        </row>
        <row r="1037">
          <cell r="C1037">
            <v>421312</v>
          </cell>
        </row>
        <row r="1038">
          <cell r="C1038">
            <v>429999</v>
          </cell>
        </row>
        <row r="1039">
          <cell r="C1039">
            <v>450000</v>
          </cell>
        </row>
        <row r="1040">
          <cell r="C1040">
            <v>451000</v>
          </cell>
        </row>
        <row r="1041">
          <cell r="C1041">
            <v>452000</v>
          </cell>
        </row>
        <row r="1042">
          <cell r="C1042">
            <v>452412</v>
          </cell>
        </row>
        <row r="1043">
          <cell r="C1043">
            <v>453000</v>
          </cell>
        </row>
        <row r="1044">
          <cell r="C1044">
            <v>454000</v>
          </cell>
        </row>
        <row r="1045">
          <cell r="C1045">
            <v>454012</v>
          </cell>
        </row>
        <row r="1046">
          <cell r="C1046">
            <v>454050</v>
          </cell>
        </row>
        <row r="1047">
          <cell r="C1047">
            <v>454100</v>
          </cell>
        </row>
        <row r="1048">
          <cell r="C1048">
            <v>455000</v>
          </cell>
        </row>
        <row r="1049">
          <cell r="C1049">
            <v>455100</v>
          </cell>
        </row>
        <row r="1050">
          <cell r="C1050">
            <v>456000</v>
          </cell>
        </row>
        <row r="1051">
          <cell r="C1051">
            <v>470000</v>
          </cell>
        </row>
        <row r="1052">
          <cell r="C1052">
            <v>471000</v>
          </cell>
        </row>
        <row r="1053">
          <cell r="C1053">
            <v>471010</v>
          </cell>
        </row>
        <row r="1054">
          <cell r="C1054">
            <v>471020</v>
          </cell>
        </row>
        <row r="1055">
          <cell r="C1055">
            <v>471100</v>
          </cell>
        </row>
        <row r="1056">
          <cell r="C1056">
            <v>471110</v>
          </cell>
        </row>
        <row r="1057">
          <cell r="C1057">
            <v>471120</v>
          </cell>
        </row>
        <row r="1058">
          <cell r="C1058">
            <v>471200</v>
          </cell>
        </row>
        <row r="1059">
          <cell r="C1059">
            <v>471210</v>
          </cell>
        </row>
        <row r="1060">
          <cell r="C1060">
            <v>471300</v>
          </cell>
        </row>
        <row r="1061">
          <cell r="C1061">
            <v>471310</v>
          </cell>
        </row>
        <row r="1062">
          <cell r="C1062">
            <v>472000</v>
          </cell>
        </row>
        <row r="1063">
          <cell r="C1063">
            <v>472010</v>
          </cell>
        </row>
        <row r="1064">
          <cell r="C1064">
            <v>473000</v>
          </cell>
        </row>
        <row r="1065">
          <cell r="C1065">
            <v>473010</v>
          </cell>
        </row>
        <row r="1066">
          <cell r="C1066">
            <v>473100</v>
          </cell>
        </row>
        <row r="1067">
          <cell r="C1067">
            <v>473110</v>
          </cell>
        </row>
        <row r="1068">
          <cell r="C1068">
            <v>474000</v>
          </cell>
        </row>
        <row r="1069">
          <cell r="C1069">
            <v>474050</v>
          </cell>
        </row>
        <row r="1070">
          <cell r="C1070">
            <v>474100</v>
          </cell>
        </row>
        <row r="1071">
          <cell r="C1071">
            <v>474150</v>
          </cell>
        </row>
        <row r="1072">
          <cell r="C1072">
            <v>474200</v>
          </cell>
        </row>
        <row r="1073">
          <cell r="C1073">
            <v>474250</v>
          </cell>
        </row>
        <row r="1074">
          <cell r="C1074">
            <v>474300</v>
          </cell>
        </row>
        <row r="1075">
          <cell r="C1075">
            <v>474350</v>
          </cell>
        </row>
        <row r="1076">
          <cell r="C1076">
            <v>474600</v>
          </cell>
        </row>
        <row r="1077">
          <cell r="C1077">
            <v>474999</v>
          </cell>
        </row>
        <row r="1078">
          <cell r="C1078">
            <v>479998</v>
          </cell>
        </row>
        <row r="1079">
          <cell r="C1079">
            <v>479999</v>
          </cell>
        </row>
        <row r="1080">
          <cell r="C1080">
            <v>481000</v>
          </cell>
        </row>
        <row r="1081">
          <cell r="C1081">
            <v>481001</v>
          </cell>
        </row>
        <row r="1082">
          <cell r="C1082">
            <v>481010</v>
          </cell>
        </row>
        <row r="1083">
          <cell r="C1083">
            <v>481020</v>
          </cell>
        </row>
        <row r="1084">
          <cell r="C1084">
            <v>481030</v>
          </cell>
        </row>
        <row r="1085">
          <cell r="C1085">
            <v>481999</v>
          </cell>
        </row>
        <row r="1086">
          <cell r="C1086">
            <v>489990</v>
          </cell>
        </row>
        <row r="1087">
          <cell r="C1087">
            <v>490000</v>
          </cell>
        </row>
        <row r="1088">
          <cell r="C1088">
            <v>491000</v>
          </cell>
        </row>
        <row r="1089">
          <cell r="C1089">
            <v>491100</v>
          </cell>
        </row>
        <row r="1090">
          <cell r="C1090">
            <v>491120</v>
          </cell>
        </row>
        <row r="1091">
          <cell r="C1091">
            <v>491140</v>
          </cell>
        </row>
        <row r="1092">
          <cell r="C1092">
            <v>491200</v>
          </cell>
        </row>
        <row r="1093">
          <cell r="C1093">
            <v>491300</v>
          </cell>
        </row>
        <row r="1094">
          <cell r="C1094">
            <v>491400</v>
          </cell>
        </row>
        <row r="1095">
          <cell r="C1095">
            <v>491999</v>
          </cell>
        </row>
        <row r="1096">
          <cell r="C1096">
            <v>499999</v>
          </cell>
        </row>
        <row r="1097">
          <cell r="C1097">
            <v>500000</v>
          </cell>
        </row>
        <row r="1098">
          <cell r="C1098">
            <v>500050</v>
          </cell>
        </row>
        <row r="1099">
          <cell r="C1099">
            <v>500110</v>
          </cell>
        </row>
        <row r="1100">
          <cell r="C1100">
            <v>500120</v>
          </cell>
        </row>
        <row r="1101">
          <cell r="C1101">
            <v>500130</v>
          </cell>
        </row>
        <row r="1102">
          <cell r="C1102">
            <v>500140</v>
          </cell>
        </row>
        <row r="1103">
          <cell r="C1103">
            <v>500150</v>
          </cell>
        </row>
        <row r="1104">
          <cell r="C1104">
            <v>500160</v>
          </cell>
        </row>
        <row r="1105">
          <cell r="C1105">
            <v>500199</v>
          </cell>
        </row>
        <row r="1106">
          <cell r="C1106">
            <v>510000</v>
          </cell>
        </row>
        <row r="1107">
          <cell r="C1107">
            <v>511000</v>
          </cell>
        </row>
        <row r="1108">
          <cell r="C1108">
            <v>511005</v>
          </cell>
        </row>
        <row r="1109">
          <cell r="C1109">
            <v>511010</v>
          </cell>
        </row>
        <row r="1110">
          <cell r="C1110">
            <v>511012</v>
          </cell>
        </row>
        <row r="1111">
          <cell r="C1111">
            <v>511014</v>
          </cell>
        </row>
        <row r="1112">
          <cell r="C1112">
            <v>511016</v>
          </cell>
        </row>
        <row r="1113">
          <cell r="C1113">
            <v>511020</v>
          </cell>
        </row>
        <row r="1114">
          <cell r="C1114">
            <v>512000</v>
          </cell>
        </row>
        <row r="1115">
          <cell r="C1115">
            <v>512005</v>
          </cell>
        </row>
        <row r="1116">
          <cell r="C1116">
            <v>512010</v>
          </cell>
        </row>
        <row r="1117">
          <cell r="C1117">
            <v>512012</v>
          </cell>
        </row>
        <row r="1118">
          <cell r="C1118">
            <v>512014</v>
          </cell>
        </row>
        <row r="1119">
          <cell r="C1119">
            <v>512016</v>
          </cell>
        </row>
        <row r="1120">
          <cell r="C1120">
            <v>512020</v>
          </cell>
        </row>
        <row r="1121">
          <cell r="C1121">
            <v>519999</v>
          </cell>
        </row>
        <row r="1122">
          <cell r="C1122">
            <v>520000</v>
          </cell>
        </row>
        <row r="1123">
          <cell r="C1123">
            <v>520110</v>
          </cell>
        </row>
        <row r="1124">
          <cell r="C1124">
            <v>520120</v>
          </cell>
        </row>
        <row r="1125">
          <cell r="C1125">
            <v>520130</v>
          </cell>
        </row>
        <row r="1126">
          <cell r="C1126">
            <v>520140</v>
          </cell>
        </row>
        <row r="1127">
          <cell r="C1127">
            <v>520150</v>
          </cell>
        </row>
        <row r="1128">
          <cell r="C1128">
            <v>520199</v>
          </cell>
        </row>
        <row r="1129">
          <cell r="C1129">
            <v>530000</v>
          </cell>
        </row>
        <row r="1130">
          <cell r="C1130">
            <v>530110</v>
          </cell>
        </row>
        <row r="1131">
          <cell r="C1131">
            <v>530120</v>
          </cell>
        </row>
        <row r="1132">
          <cell r="C1132">
            <v>530130</v>
          </cell>
        </row>
        <row r="1133">
          <cell r="C1133">
            <v>530140</v>
          </cell>
        </row>
        <row r="1134">
          <cell r="C1134">
            <v>530150</v>
          </cell>
        </row>
        <row r="1135">
          <cell r="C1135">
            <v>530199</v>
          </cell>
        </row>
        <row r="1136">
          <cell r="C1136">
            <v>593557</v>
          </cell>
        </row>
        <row r="1137">
          <cell r="C1137">
            <v>599999</v>
          </cell>
        </row>
        <row r="1138">
          <cell r="C1138">
            <v>600000</v>
          </cell>
        </row>
        <row r="1139">
          <cell r="C1139">
            <v>600001</v>
          </cell>
        </row>
        <row r="1140">
          <cell r="C1140">
            <v>610000</v>
          </cell>
        </row>
        <row r="1141">
          <cell r="C1141">
            <v>611000</v>
          </cell>
        </row>
        <row r="1142">
          <cell r="C1142">
            <v>612000</v>
          </cell>
        </row>
        <row r="1143">
          <cell r="C1143">
            <v>613000</v>
          </cell>
        </row>
        <row r="1144">
          <cell r="C1144">
            <v>613100</v>
          </cell>
        </row>
        <row r="1145">
          <cell r="C1145">
            <v>614000</v>
          </cell>
        </row>
        <row r="1146">
          <cell r="C1146">
            <v>614010</v>
          </cell>
        </row>
        <row r="1147">
          <cell r="C1147">
            <v>614100</v>
          </cell>
        </row>
        <row r="1148">
          <cell r="C1148">
            <v>614110</v>
          </cell>
        </row>
        <row r="1149">
          <cell r="C1149">
            <v>615000</v>
          </cell>
        </row>
        <row r="1150">
          <cell r="C1150">
            <v>619999</v>
          </cell>
        </row>
        <row r="1151">
          <cell r="C1151">
            <v>620000</v>
          </cell>
        </row>
        <row r="1152">
          <cell r="C1152">
            <v>621000</v>
          </cell>
        </row>
        <row r="1153">
          <cell r="C1153">
            <v>621010</v>
          </cell>
        </row>
        <row r="1154">
          <cell r="C1154">
            <v>621020</v>
          </cell>
        </row>
        <row r="1155">
          <cell r="C1155">
            <v>622000</v>
          </cell>
        </row>
        <row r="1156">
          <cell r="C1156">
            <v>623000</v>
          </cell>
        </row>
        <row r="1157">
          <cell r="C1157">
            <v>623100</v>
          </cell>
        </row>
        <row r="1158">
          <cell r="C1158">
            <v>624000</v>
          </cell>
        </row>
        <row r="1159">
          <cell r="C1159">
            <v>624010</v>
          </cell>
        </row>
        <row r="1160">
          <cell r="C1160">
            <v>624100</v>
          </cell>
        </row>
        <row r="1161">
          <cell r="C1161">
            <v>624110</v>
          </cell>
        </row>
        <row r="1162">
          <cell r="C1162">
            <v>629999</v>
          </cell>
        </row>
        <row r="1163">
          <cell r="C1163">
            <v>630000</v>
          </cell>
        </row>
        <row r="1164">
          <cell r="C1164">
            <v>631000</v>
          </cell>
        </row>
        <row r="1165">
          <cell r="C1165">
            <v>631010</v>
          </cell>
        </row>
        <row r="1166">
          <cell r="C1166">
            <v>631610</v>
          </cell>
        </row>
        <row r="1167">
          <cell r="C1167">
            <v>631620</v>
          </cell>
        </row>
        <row r="1168">
          <cell r="C1168">
            <v>633000</v>
          </cell>
        </row>
        <row r="1169">
          <cell r="C1169">
            <v>634000</v>
          </cell>
        </row>
        <row r="1170">
          <cell r="C1170">
            <v>634010</v>
          </cell>
        </row>
        <row r="1171">
          <cell r="C1171">
            <v>634020</v>
          </cell>
        </row>
        <row r="1172">
          <cell r="C1172">
            <v>635010</v>
          </cell>
        </row>
        <row r="1173">
          <cell r="C1173">
            <v>636000</v>
          </cell>
        </row>
        <row r="1174">
          <cell r="C1174">
            <v>639999</v>
          </cell>
        </row>
        <row r="1175">
          <cell r="C1175">
            <v>699999</v>
          </cell>
        </row>
        <row r="1176">
          <cell r="C1176">
            <v>700001</v>
          </cell>
        </row>
        <row r="1177">
          <cell r="C1177">
            <v>710000</v>
          </cell>
        </row>
        <row r="1178">
          <cell r="C1178">
            <v>711000</v>
          </cell>
        </row>
        <row r="1179">
          <cell r="C1179">
            <v>711010</v>
          </cell>
        </row>
        <row r="1180">
          <cell r="C1180">
            <v>712000</v>
          </cell>
        </row>
        <row r="1181">
          <cell r="C1181">
            <v>712010</v>
          </cell>
        </row>
        <row r="1182">
          <cell r="C1182">
            <v>712020</v>
          </cell>
        </row>
        <row r="1183">
          <cell r="C1183">
            <v>713000</v>
          </cell>
        </row>
        <row r="1184">
          <cell r="C1184">
            <v>714020</v>
          </cell>
        </row>
        <row r="1185">
          <cell r="C1185">
            <v>714800</v>
          </cell>
        </row>
        <row r="1186">
          <cell r="C1186">
            <v>719999</v>
          </cell>
        </row>
        <row r="1187">
          <cell r="C1187">
            <v>720000</v>
          </cell>
        </row>
        <row r="1188">
          <cell r="C1188">
            <v>721000</v>
          </cell>
        </row>
        <row r="1189">
          <cell r="C1189">
            <v>721010</v>
          </cell>
        </row>
        <row r="1190">
          <cell r="C1190">
            <v>721040</v>
          </cell>
        </row>
        <row r="1191">
          <cell r="C1191">
            <v>721050</v>
          </cell>
        </row>
        <row r="1192">
          <cell r="C1192">
            <v>721100</v>
          </cell>
        </row>
        <row r="1193">
          <cell r="C1193">
            <v>722000</v>
          </cell>
        </row>
        <row r="1194">
          <cell r="C1194">
            <v>722010</v>
          </cell>
        </row>
        <row r="1195">
          <cell r="C1195">
            <v>722020</v>
          </cell>
        </row>
        <row r="1196">
          <cell r="C1196">
            <v>722030</v>
          </cell>
        </row>
        <row r="1197">
          <cell r="C1197">
            <v>722040</v>
          </cell>
        </row>
        <row r="1198">
          <cell r="C1198">
            <v>722050</v>
          </cell>
        </row>
        <row r="1199">
          <cell r="C1199">
            <v>722055</v>
          </cell>
        </row>
        <row r="1200">
          <cell r="C1200">
            <v>722056</v>
          </cell>
        </row>
        <row r="1201">
          <cell r="C1201">
            <v>722057</v>
          </cell>
        </row>
        <row r="1202">
          <cell r="C1202">
            <v>722060</v>
          </cell>
        </row>
        <row r="1203">
          <cell r="C1203">
            <v>722070</v>
          </cell>
        </row>
        <row r="1204">
          <cell r="C1204">
            <v>722080</v>
          </cell>
        </row>
        <row r="1205">
          <cell r="C1205">
            <v>722090</v>
          </cell>
        </row>
        <row r="1206">
          <cell r="C1206">
            <v>722100</v>
          </cell>
        </row>
        <row r="1207">
          <cell r="C1207">
            <v>722110</v>
          </cell>
        </row>
        <row r="1208">
          <cell r="C1208">
            <v>722120</v>
          </cell>
        </row>
        <row r="1209">
          <cell r="C1209">
            <v>722130</v>
          </cell>
        </row>
        <row r="1210">
          <cell r="C1210">
            <v>729999</v>
          </cell>
        </row>
        <row r="1211">
          <cell r="C1211">
            <v>730000</v>
          </cell>
        </row>
        <row r="1212">
          <cell r="C1212">
            <v>731000</v>
          </cell>
        </row>
        <row r="1213">
          <cell r="C1213">
            <v>731001</v>
          </cell>
        </row>
        <row r="1214">
          <cell r="C1214">
            <v>731004</v>
          </cell>
        </row>
        <row r="1215">
          <cell r="C1215">
            <v>731020</v>
          </cell>
        </row>
        <row r="1216">
          <cell r="C1216">
            <v>739999</v>
          </cell>
        </row>
        <row r="1217">
          <cell r="C1217">
            <v>740000</v>
          </cell>
        </row>
        <row r="1218">
          <cell r="C1218">
            <v>741000</v>
          </cell>
        </row>
        <row r="1219">
          <cell r="C1219">
            <v>741100</v>
          </cell>
        </row>
        <row r="1220">
          <cell r="C1220">
            <v>741110</v>
          </cell>
        </row>
        <row r="1221">
          <cell r="C1221">
            <v>741120</v>
          </cell>
        </row>
        <row r="1222">
          <cell r="C1222">
            <v>741200</v>
          </cell>
        </row>
        <row r="1223">
          <cell r="C1223">
            <v>741300</v>
          </cell>
        </row>
        <row r="1224">
          <cell r="C1224">
            <v>741999</v>
          </cell>
        </row>
        <row r="1225">
          <cell r="C1225">
            <v>742000</v>
          </cell>
        </row>
        <row r="1226">
          <cell r="C1226">
            <v>742100</v>
          </cell>
        </row>
        <row r="1227">
          <cell r="C1227">
            <v>742110</v>
          </cell>
        </row>
        <row r="1228">
          <cell r="C1228">
            <v>742120</v>
          </cell>
        </row>
        <row r="1229">
          <cell r="C1229">
            <v>742200</v>
          </cell>
        </row>
        <row r="1230">
          <cell r="C1230">
            <v>742999</v>
          </cell>
        </row>
        <row r="1231">
          <cell r="C1231">
            <v>743000</v>
          </cell>
        </row>
        <row r="1232">
          <cell r="C1232">
            <v>743100</v>
          </cell>
        </row>
        <row r="1233">
          <cell r="C1233">
            <v>743110</v>
          </cell>
        </row>
        <row r="1234">
          <cell r="C1234">
            <v>743120</v>
          </cell>
        </row>
        <row r="1235">
          <cell r="C1235">
            <v>743200</v>
          </cell>
        </row>
        <row r="1236">
          <cell r="C1236">
            <v>743999</v>
          </cell>
        </row>
        <row r="1237">
          <cell r="C1237">
            <v>744000</v>
          </cell>
        </row>
        <row r="1238">
          <cell r="C1238">
            <v>744100</v>
          </cell>
        </row>
        <row r="1239">
          <cell r="C1239">
            <v>744110</v>
          </cell>
        </row>
        <row r="1240">
          <cell r="C1240">
            <v>744120</v>
          </cell>
        </row>
        <row r="1241">
          <cell r="C1241">
            <v>744200</v>
          </cell>
        </row>
        <row r="1242">
          <cell r="C1242">
            <v>744999</v>
          </cell>
        </row>
        <row r="1243">
          <cell r="C1243">
            <v>749999</v>
          </cell>
        </row>
        <row r="1244">
          <cell r="C1244">
            <v>750000</v>
          </cell>
        </row>
        <row r="1245">
          <cell r="C1245">
            <v>751000</v>
          </cell>
        </row>
        <row r="1246">
          <cell r="C1246">
            <v>751100</v>
          </cell>
        </row>
        <row r="1247">
          <cell r="C1247">
            <v>751110</v>
          </cell>
        </row>
        <row r="1248">
          <cell r="C1248">
            <v>751120</v>
          </cell>
        </row>
        <row r="1249">
          <cell r="C1249">
            <v>751200</v>
          </cell>
        </row>
        <row r="1250">
          <cell r="C1250">
            <v>751300</v>
          </cell>
        </row>
        <row r="1251">
          <cell r="C1251">
            <v>751310</v>
          </cell>
        </row>
        <row r="1252">
          <cell r="C1252">
            <v>751400</v>
          </cell>
        </row>
        <row r="1253">
          <cell r="C1253">
            <v>751500</v>
          </cell>
        </row>
        <row r="1254">
          <cell r="C1254">
            <v>751600</v>
          </cell>
        </row>
        <row r="1255">
          <cell r="C1255">
            <v>751999</v>
          </cell>
        </row>
        <row r="1256">
          <cell r="C1256">
            <v>752000</v>
          </cell>
        </row>
        <row r="1257">
          <cell r="C1257">
            <v>752001</v>
          </cell>
        </row>
        <row r="1258">
          <cell r="C1258">
            <v>752050</v>
          </cell>
        </row>
        <row r="1259">
          <cell r="C1259">
            <v>752100</v>
          </cell>
        </row>
        <row r="1260">
          <cell r="C1260">
            <v>752110</v>
          </cell>
        </row>
        <row r="1261">
          <cell r="C1261">
            <v>752120</v>
          </cell>
        </row>
        <row r="1262">
          <cell r="C1262">
            <v>752200</v>
          </cell>
        </row>
        <row r="1263">
          <cell r="C1263">
            <v>752210</v>
          </cell>
        </row>
        <row r="1264">
          <cell r="C1264">
            <v>752220</v>
          </cell>
        </row>
        <row r="1265">
          <cell r="C1265">
            <v>752230</v>
          </cell>
        </row>
        <row r="1266">
          <cell r="C1266">
            <v>752300</v>
          </cell>
        </row>
        <row r="1267">
          <cell r="C1267">
            <v>752305</v>
          </cell>
        </row>
        <row r="1268">
          <cell r="C1268">
            <v>752310</v>
          </cell>
        </row>
        <row r="1269">
          <cell r="C1269">
            <v>752320</v>
          </cell>
        </row>
        <row r="1270">
          <cell r="C1270">
            <v>752330</v>
          </cell>
        </row>
        <row r="1271">
          <cell r="C1271">
            <v>752340</v>
          </cell>
        </row>
        <row r="1272">
          <cell r="C1272">
            <v>752399</v>
          </cell>
        </row>
        <row r="1273">
          <cell r="C1273">
            <v>752400</v>
          </cell>
        </row>
        <row r="1274">
          <cell r="C1274">
            <v>752500</v>
          </cell>
        </row>
        <row r="1275">
          <cell r="C1275">
            <v>752599</v>
          </cell>
        </row>
        <row r="1276">
          <cell r="C1276">
            <v>752600</v>
          </cell>
        </row>
        <row r="1277">
          <cell r="C1277">
            <v>752610</v>
          </cell>
        </row>
        <row r="1278">
          <cell r="C1278">
            <v>752620</v>
          </cell>
        </row>
        <row r="1279">
          <cell r="C1279">
            <v>752630</v>
          </cell>
        </row>
        <row r="1280">
          <cell r="C1280">
            <v>752699</v>
          </cell>
        </row>
        <row r="1281">
          <cell r="C1281">
            <v>752700</v>
          </cell>
        </row>
        <row r="1282">
          <cell r="C1282">
            <v>752710</v>
          </cell>
        </row>
        <row r="1283">
          <cell r="C1283">
            <v>752720</v>
          </cell>
        </row>
        <row r="1284">
          <cell r="C1284">
            <v>752730</v>
          </cell>
        </row>
        <row r="1285">
          <cell r="C1285">
            <v>752799</v>
          </cell>
        </row>
        <row r="1286">
          <cell r="C1286">
            <v>752999</v>
          </cell>
        </row>
        <row r="1287">
          <cell r="C1287">
            <v>753000</v>
          </cell>
        </row>
        <row r="1288">
          <cell r="C1288">
            <v>753100</v>
          </cell>
        </row>
        <row r="1289">
          <cell r="C1289">
            <v>753200</v>
          </cell>
        </row>
        <row r="1290">
          <cell r="C1290">
            <v>753210</v>
          </cell>
        </row>
        <row r="1291">
          <cell r="C1291">
            <v>753220</v>
          </cell>
        </row>
        <row r="1292">
          <cell r="C1292">
            <v>753300</v>
          </cell>
        </row>
        <row r="1293">
          <cell r="C1293">
            <v>753310</v>
          </cell>
        </row>
        <row r="1294">
          <cell r="C1294">
            <v>753340</v>
          </cell>
        </row>
        <row r="1295">
          <cell r="C1295">
            <v>753350</v>
          </cell>
        </row>
        <row r="1296">
          <cell r="C1296">
            <v>753400</v>
          </cell>
        </row>
        <row r="1297">
          <cell r="C1297">
            <v>753410</v>
          </cell>
        </row>
        <row r="1298">
          <cell r="C1298">
            <v>753510</v>
          </cell>
        </row>
        <row r="1299">
          <cell r="C1299">
            <v>753600</v>
          </cell>
        </row>
        <row r="1300">
          <cell r="C1300">
            <v>753999</v>
          </cell>
        </row>
        <row r="1301">
          <cell r="C1301">
            <v>759999</v>
          </cell>
        </row>
        <row r="1302">
          <cell r="C1302">
            <v>760000</v>
          </cell>
        </row>
        <row r="1303">
          <cell r="C1303">
            <v>761000</v>
          </cell>
        </row>
        <row r="1304">
          <cell r="C1304">
            <v>761010</v>
          </cell>
        </row>
        <row r="1305">
          <cell r="C1305">
            <v>761020</v>
          </cell>
        </row>
        <row r="1306">
          <cell r="C1306">
            <v>761025</v>
          </cell>
        </row>
        <row r="1307">
          <cell r="C1307">
            <v>762010</v>
          </cell>
        </row>
        <row r="1308">
          <cell r="C1308">
            <v>762999</v>
          </cell>
        </row>
        <row r="1309">
          <cell r="C1309">
            <v>763000</v>
          </cell>
        </row>
        <row r="1310">
          <cell r="C1310">
            <v>763010</v>
          </cell>
        </row>
        <row r="1311">
          <cell r="C1311">
            <v>764010</v>
          </cell>
        </row>
        <row r="1312">
          <cell r="C1312">
            <v>769997</v>
          </cell>
        </row>
        <row r="1313">
          <cell r="C1313">
            <v>769998</v>
          </cell>
        </row>
        <row r="1314">
          <cell r="C1314">
            <v>799999</v>
          </cell>
        </row>
        <row r="1315">
          <cell r="C1315">
            <v>9999999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Q1315"/>
  <sheetViews>
    <sheetView topLeftCell="A995" workbookViewId="0">
      <selection activeCell="B1032" sqref="B1032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3.42578125" style="1" bestFit="1" customWidth="1"/>
    <col min="5" max="5" width="13.42578125" style="1" customWidth="1"/>
    <col min="6" max="9" width="14.42578125" style="5" bestFit="1" customWidth="1"/>
    <col min="10" max="10" width="9.140625" style="2"/>
    <col min="11" max="14" width="14.42578125" style="5" bestFit="1" customWidth="1"/>
    <col min="15" max="15" width="11.7109375" style="1" bestFit="1" customWidth="1"/>
    <col min="16" max="16" width="9.140625" style="1"/>
    <col min="17" max="17" width="10.140625" style="1" bestFit="1" customWidth="1"/>
    <col min="18" max="16384" width="9.140625" style="1"/>
  </cols>
  <sheetData>
    <row r="1" spans="1:14">
      <c r="A1" s="6" t="s">
        <v>0</v>
      </c>
      <c r="B1" s="7" t="s">
        <v>1</v>
      </c>
      <c r="C1" s="8" t="s">
        <v>2</v>
      </c>
      <c r="D1" s="8" t="s">
        <v>3</v>
      </c>
      <c r="E1" s="8"/>
      <c r="F1" s="9" t="str">
        <f>CONCATENATE("Q",CurrentQuarter," ",CurrentYear)</f>
        <v>Q3 2025</v>
      </c>
      <c r="G1" s="9" t="str">
        <f>IF(CurrentQuarter=1,CONCATENATE("Q",LastQuarter," ",LastYear),CONCATENATE("Q",LastQuarter," ",CurrentYear))</f>
        <v>Q2 2025</v>
      </c>
      <c r="H1" s="9" t="str">
        <f>CONCATENATE("Q",CurrentQuarter," ",LastYear)</f>
        <v>Q3 2024</v>
      </c>
      <c r="I1" s="9" t="str">
        <f>CONCATENATE("Q",LastQuarter," ",LastYear)</f>
        <v>Q2 2024</v>
      </c>
      <c r="J1" s="9"/>
      <c r="K1" s="9" t="str">
        <f>CONCATENATE("Q",CurrentQuarter," ",CurrentYear)</f>
        <v>Q3 2025</v>
      </c>
      <c r="L1" s="9" t="str">
        <f>IF(CurrentQuarter=1,CONCATENATE("Q",LastQuarter," ",LastYear),CONCATENATE("Q",LastQuarter," ",CurrentYear))</f>
        <v>Q2 2025</v>
      </c>
      <c r="M1" s="9" t="str">
        <f>CONCATENATE("Q",CurrentQuarter," ",LastYear)</f>
        <v>Q3 2024</v>
      </c>
      <c r="N1" s="9" t="str">
        <f>CONCATENATE("Q",LastQuarter," ",LastYear)</f>
        <v>Q2 2024</v>
      </c>
    </row>
    <row r="2" spans="1:14">
      <c r="B2" s="3">
        <v>1</v>
      </c>
      <c r="C2" s="10" t="s">
        <v>4</v>
      </c>
      <c r="D2" s="10" t="s">
        <v>5</v>
      </c>
      <c r="E2" s="10"/>
      <c r="F2" s="5" t="e">
        <f>IF(DataExtraction="Manual",SUMIF('[1]TrialBalance (YTD)'!$C:$C,B2,'[1]TrialBalance (YTD)'!$E:$E),SUMIF('[1]TrialBalance (YTD)'!$G:$G,B2,'[1]TrialBalance (YTD)'!$I:$I))</f>
        <v>#VALUE!</v>
      </c>
      <c r="G2" s="5">
        <f>IFERROR(INDEX('[1]TrialBalance (YTD)'!$G:$S,MATCH([1]TBMapping!$C4,'[1]TrialBalance (YTD)'!G:G,0),MATCH([1]TBMapping!H$3,'[1]TrialBalance (YTD)'!$G$7:$Z$7,0)),0)</f>
        <v>0</v>
      </c>
      <c r="H2" s="5" t="e">
        <f>SUMIF('[1]TrialBalance (YTD)'!G:G,B2,'[1]TrialBalance (YTD)'!H:H)</f>
        <v>#VALUE!</v>
      </c>
      <c r="I2" s="5">
        <f>IFERROR(INDEX('[1]TrialBalance (YTD)'!$G:$S,MATCH([1]TBMapping!$C4,'[1]TrialBalance (YTD)'!G:G,0),MATCH([1]TBMapping!J$3,'[1]TrialBalance (YTD)'!$G$7:$Z$7,0)),0)</f>
        <v>0</v>
      </c>
      <c r="K2" s="5" t="e">
        <f>SUMIF('[1]TrialBalance (Quarter)'!$A:$A,B2,'[1]TrialBalance (Quarter)'!$B:$B)</f>
        <v>#VALUE!</v>
      </c>
      <c r="L2" s="5">
        <f>IFERROR(INDEX('[1]TrialBalance (Quarter)'!$A:$L,MATCH([1]TBMapping!$C4,'[1]TrialBalance (Quarter)'!A:A,0),MATCH([1]TBMapping!M$3,'[1]TrialBalance (Quarter)'!$7:$7,0)),0)</f>
        <v>0</v>
      </c>
      <c r="M2" s="5">
        <f>IFERROR(INDEX('[1]TrialBalance (Quarter)'!$A:$L,MATCH([1]TBMapping!$C4,'[1]TrialBalance (Quarter)'!A:A,0),MATCH([1]TBMapping!N$3,'[1]TrialBalance (Quarter)'!$7:$7,0)),0)</f>
        <v>0</v>
      </c>
      <c r="N2" s="5">
        <f>IFERROR(INDEX('[1]TrialBalance (Quarter)'!$A:$L,MATCH([1]TBMapping!$C4,'[1]TrialBalance (Quarter)'!A:A,0),MATCH([1]TBMapping!O$3,'[1]TrialBalance (Quarter)'!$7:$7,0)),0)</f>
        <v>0</v>
      </c>
    </row>
    <row r="3" spans="1:14">
      <c r="B3" s="3">
        <v>50</v>
      </c>
      <c r="C3" s="11" t="s">
        <v>6</v>
      </c>
      <c r="D3" s="11" t="s">
        <v>5</v>
      </c>
      <c r="E3" s="11"/>
      <c r="F3" s="5" t="e">
        <f>IF(DataExtraction="Manual",SUMIF('[1]TrialBalance (YTD)'!$C:$C,B3,'[1]TrialBalance (YTD)'!$E:$E),SUMIF('[1]TrialBalance (YTD)'!$G:$G,B3,'[1]TrialBalance (YTD)'!$I:$I))</f>
        <v>#VALUE!</v>
      </c>
      <c r="G3" s="5">
        <f>IFERROR(INDEX('[1]TrialBalance (YTD)'!$G:$S,MATCH([1]TBMapping!$C5,'[1]TrialBalance (YTD)'!G:G,0),MATCH([1]TBMapping!H$3,'[1]TrialBalance (YTD)'!$G$7:$Z$7,0)),0)</f>
        <v>0</v>
      </c>
      <c r="H3" s="5" t="e">
        <f>SUMIF('[1]TrialBalance (YTD)'!G:G,B3,'[1]TrialBalance (YTD)'!H:H)</f>
        <v>#VALUE!</v>
      </c>
      <c r="I3" s="5">
        <f>IFERROR(INDEX('[1]TrialBalance (YTD)'!$G:$S,MATCH([1]TBMapping!$C5,'[1]TrialBalance (YTD)'!G:G,0),MATCH([1]TBMapping!J$3,'[1]TrialBalance (YTD)'!$G$7:$Z$7,0)),0)</f>
        <v>0</v>
      </c>
      <c r="K3" s="5" t="e">
        <f>SUMIF('[1]TrialBalance (Quarter)'!$A:$A,B3,'[1]TrialBalance (Quarter)'!$B:$B)</f>
        <v>#VALUE!</v>
      </c>
      <c r="L3" s="5">
        <f>IFERROR(INDEX('[1]TrialBalance (Quarter)'!$A:$L,MATCH([1]TBMapping!$C5,'[1]TrialBalance (Quarter)'!A:A,0),MATCH([1]TBMapping!M$3,'[1]TrialBalance (Quarter)'!$7:$7,0)),0)</f>
        <v>0</v>
      </c>
      <c r="M3" s="5">
        <f>IFERROR(INDEX('[1]TrialBalance (Quarter)'!$A:$L,MATCH([1]TBMapping!$C5,'[1]TrialBalance (Quarter)'!A:A,0),MATCH([1]TBMapping!N$3,'[1]TrialBalance (Quarter)'!$7:$7,0)),0)</f>
        <v>0</v>
      </c>
      <c r="N3" s="5">
        <f>IFERROR(INDEX('[1]TrialBalance (Quarter)'!$A:$L,MATCH([1]TBMapping!$C5,'[1]TrialBalance (Quarter)'!A:A,0),MATCH([1]TBMapping!O$3,'[1]TrialBalance (Quarter)'!$7:$7,0)),0)</f>
        <v>0</v>
      </c>
    </row>
    <row r="4" spans="1:14">
      <c r="B4" s="3">
        <v>100000</v>
      </c>
      <c r="C4" s="10" t="s">
        <v>7</v>
      </c>
      <c r="D4" s="10" t="s">
        <v>5</v>
      </c>
      <c r="E4" s="10"/>
      <c r="F4" s="5" t="e">
        <f>IF(DataExtraction="Manual",SUMIF('[1]TrialBalance (YTD)'!$C:$C,B4,'[1]TrialBalance (YTD)'!$E:$E),SUMIF('[1]TrialBalance (YTD)'!$G:$G,B4,'[1]TrialBalance (YTD)'!$I:$I))</f>
        <v>#VALUE!</v>
      </c>
      <c r="G4" s="5">
        <f>IFERROR(INDEX('[1]TrialBalance (YTD)'!$G:$S,MATCH([1]TBMapping!$C6,'[1]TrialBalance (YTD)'!G:G,0),MATCH([1]TBMapping!H$3,'[1]TrialBalance (YTD)'!$G$7:$Z$7,0)),0)</f>
        <v>0</v>
      </c>
      <c r="H4" s="5" t="e">
        <f>SUMIF('[1]TrialBalance (YTD)'!G:G,B4,'[1]TrialBalance (YTD)'!H:H)</f>
        <v>#VALUE!</v>
      </c>
      <c r="I4" s="5">
        <f>IFERROR(INDEX('[1]TrialBalance (YTD)'!$G:$S,MATCH([1]TBMapping!$C6,'[1]TrialBalance (YTD)'!G:G,0),MATCH([1]TBMapping!J$3,'[1]TrialBalance (YTD)'!$G$7:$Z$7,0)),0)</f>
        <v>0</v>
      </c>
      <c r="K4" s="5" t="e">
        <f>SUMIF('[1]TrialBalance (Quarter)'!$A:$A,B4,'[1]TrialBalance (Quarter)'!$B:$B)</f>
        <v>#VALUE!</v>
      </c>
      <c r="L4" s="5">
        <f>IFERROR(INDEX('[1]TrialBalance (Quarter)'!$A:$L,MATCH([1]TBMapping!$C6,'[1]TrialBalance (Quarter)'!A:A,0),MATCH([1]TBMapping!M$3,'[1]TrialBalance (Quarter)'!$7:$7,0)),0)</f>
        <v>0</v>
      </c>
      <c r="M4" s="5">
        <f>IFERROR(INDEX('[1]TrialBalance (Quarter)'!$A:$L,MATCH([1]TBMapping!$C6,'[1]TrialBalance (Quarter)'!A:A,0),MATCH([1]TBMapping!N$3,'[1]TrialBalance (Quarter)'!$7:$7,0)),0)</f>
        <v>0</v>
      </c>
      <c r="N4" s="5">
        <f>IFERROR(INDEX('[1]TrialBalance (Quarter)'!$A:$L,MATCH([1]TBMapping!$C6,'[1]TrialBalance (Quarter)'!A:A,0),MATCH([1]TBMapping!O$3,'[1]TrialBalance (Quarter)'!$7:$7,0)),0)</f>
        <v>0</v>
      </c>
    </row>
    <row r="5" spans="1:14">
      <c r="B5" s="3">
        <v>101000</v>
      </c>
      <c r="C5" s="11" t="s">
        <v>8</v>
      </c>
      <c r="D5" s="11" t="s">
        <v>5</v>
      </c>
      <c r="E5" s="11"/>
      <c r="F5" s="5" t="e">
        <f>IF(DataExtraction="Manual",SUMIF('[1]TrialBalance (YTD)'!$C:$C,B5,'[1]TrialBalance (YTD)'!$E:$E),SUMIF('[1]TrialBalance (YTD)'!$G:$G,B5,'[1]TrialBalance (YTD)'!$I:$I))</f>
        <v>#VALUE!</v>
      </c>
      <c r="G5" s="5">
        <f>IFERROR(INDEX('[1]TrialBalance (YTD)'!$G:$S,MATCH([1]TBMapping!$C7,'[1]TrialBalance (YTD)'!G:G,0),MATCH([1]TBMapping!H$3,'[1]TrialBalance (YTD)'!$G$7:$Z$7,0)),0)</f>
        <v>0</v>
      </c>
      <c r="H5" s="5" t="e">
        <f>SUMIF('[1]TrialBalance (YTD)'!G:G,B5,'[1]TrialBalance (YTD)'!H:H)</f>
        <v>#VALUE!</v>
      </c>
      <c r="I5" s="5">
        <f>IFERROR(INDEX('[1]TrialBalance (YTD)'!$G:$S,MATCH([1]TBMapping!$C7,'[1]TrialBalance (YTD)'!G:G,0),MATCH([1]TBMapping!J$3,'[1]TrialBalance (YTD)'!$G$7:$Z$7,0)),0)</f>
        <v>0</v>
      </c>
      <c r="K5" s="5" t="e">
        <f>SUMIF('[1]TrialBalance (Quarter)'!$A:$A,B5,'[1]TrialBalance (Quarter)'!$B:$B)</f>
        <v>#VALUE!</v>
      </c>
      <c r="L5" s="5">
        <f>IFERROR(INDEX('[1]TrialBalance (Quarter)'!$A:$L,MATCH([1]TBMapping!$C7,'[1]TrialBalance (Quarter)'!A:A,0),MATCH([1]TBMapping!M$3,'[1]TrialBalance (Quarter)'!$7:$7,0)),0)</f>
        <v>0</v>
      </c>
      <c r="M5" s="5">
        <f>IFERROR(INDEX('[1]TrialBalance (Quarter)'!$A:$L,MATCH([1]TBMapping!$C7,'[1]TrialBalance (Quarter)'!A:A,0),MATCH([1]TBMapping!N$3,'[1]TrialBalance (Quarter)'!$7:$7,0)),0)</f>
        <v>0</v>
      </c>
      <c r="N5" s="5">
        <f>IFERROR(INDEX('[1]TrialBalance (Quarter)'!$A:$L,MATCH([1]TBMapping!$C7,'[1]TrialBalance (Quarter)'!A:A,0),MATCH([1]TBMapping!O$3,'[1]TrialBalance (Quarter)'!$7:$7,0)),0)</f>
        <v>0</v>
      </c>
    </row>
    <row r="6" spans="1:14">
      <c r="B6" s="3">
        <v>101100</v>
      </c>
      <c r="C6" s="10" t="s">
        <v>9</v>
      </c>
      <c r="D6" s="10" t="s">
        <v>5</v>
      </c>
      <c r="E6" s="10"/>
      <c r="F6" s="5" t="e">
        <f>IF(DataExtraction="Manual",SUMIF('[1]TrialBalance (YTD)'!$C:$C,B6,'[1]TrialBalance (YTD)'!$E:$E),SUMIF('[1]TrialBalance (YTD)'!$G:$G,B6,'[1]TrialBalance (YTD)'!$I:$I))</f>
        <v>#VALUE!</v>
      </c>
      <c r="G6" s="5">
        <f>IFERROR(INDEX('[1]TrialBalance (YTD)'!$G:$S,MATCH([1]TBMapping!$C8,'[1]TrialBalance (YTD)'!G:G,0),MATCH([1]TBMapping!H$3,'[1]TrialBalance (YTD)'!$G$7:$Z$7,0)),0)</f>
        <v>0</v>
      </c>
      <c r="H6" s="5" t="e">
        <f>SUMIF('[1]TrialBalance (YTD)'!G:G,B6,'[1]TrialBalance (YTD)'!H:H)</f>
        <v>#VALUE!</v>
      </c>
      <c r="I6" s="5">
        <f>IFERROR(INDEX('[1]TrialBalance (YTD)'!$G:$S,MATCH([1]TBMapping!$C8,'[1]TrialBalance (YTD)'!G:G,0),MATCH([1]TBMapping!J$3,'[1]TrialBalance (YTD)'!$G$7:$Z$7,0)),0)</f>
        <v>0</v>
      </c>
      <c r="K6" s="5" t="e">
        <f>SUMIF('[1]TrialBalance (Quarter)'!$A:$A,B6,'[1]TrialBalance (Quarter)'!$B:$B)</f>
        <v>#VALUE!</v>
      </c>
      <c r="L6" s="5">
        <f>IFERROR(INDEX('[1]TrialBalance (Quarter)'!$A:$L,MATCH([1]TBMapping!$C8,'[1]TrialBalance (Quarter)'!A:A,0),MATCH([1]TBMapping!M$3,'[1]TrialBalance (Quarter)'!$7:$7,0)),0)</f>
        <v>0</v>
      </c>
      <c r="M6" s="5">
        <f>IFERROR(INDEX('[1]TrialBalance (Quarter)'!$A:$L,MATCH([1]TBMapping!$C8,'[1]TrialBalance (Quarter)'!A:A,0),MATCH([1]TBMapping!N$3,'[1]TrialBalance (Quarter)'!$7:$7,0)),0)</f>
        <v>0</v>
      </c>
      <c r="N6" s="5">
        <f>IFERROR(INDEX('[1]TrialBalance (Quarter)'!$A:$L,MATCH([1]TBMapping!$C8,'[1]TrialBalance (Quarter)'!A:A,0),MATCH([1]TBMapping!O$3,'[1]TrialBalance (Quarter)'!$7:$7,0)),0)</f>
        <v>0</v>
      </c>
    </row>
    <row r="7" spans="1:14">
      <c r="B7" s="3">
        <v>101110</v>
      </c>
      <c r="C7" s="11" t="s">
        <v>10</v>
      </c>
      <c r="D7" s="11" t="s">
        <v>11</v>
      </c>
      <c r="E7" s="11"/>
      <c r="F7" s="5" t="e">
        <f>IF(DataExtraction="Manual",SUMIF('[1]TrialBalance (YTD)'!$C:$C,B7,'[1]TrialBalance (YTD)'!$E:$E),SUMIF('[1]TrialBalance (YTD)'!$G:$G,B7,'[1]TrialBalance (YTD)'!$I:$I))</f>
        <v>#VALUE!</v>
      </c>
      <c r="G7" s="5">
        <f>IFERROR(INDEX('[1]TrialBalance (YTD)'!$G:$S,MATCH([1]TBMapping!$C9,'[1]TrialBalance (YTD)'!G:G,0),MATCH([1]TBMapping!H$3,'[1]TrialBalance (YTD)'!$G$7:$Z$7,0)),0)</f>
        <v>0</v>
      </c>
      <c r="H7" s="5" t="e">
        <f>SUMIF('[1]TrialBalance (YTD)'!G:G,B7,'[1]TrialBalance (YTD)'!H:H)</f>
        <v>#VALUE!</v>
      </c>
      <c r="I7" s="5">
        <f>IFERROR(INDEX('[1]TrialBalance (YTD)'!$G:$S,MATCH([1]TBMapping!$C9,'[1]TrialBalance (YTD)'!G:G,0),MATCH([1]TBMapping!J$3,'[1]TrialBalance (YTD)'!$G$7:$Z$7,0)),0)</f>
        <v>0</v>
      </c>
      <c r="K7" s="5" t="e">
        <f>SUMIF('[1]TrialBalance (Quarter)'!$A:$A,B7,'[1]TrialBalance (Quarter)'!$B:$B)</f>
        <v>#VALUE!</v>
      </c>
      <c r="L7" s="5">
        <f>IFERROR(INDEX('[1]TrialBalance (Quarter)'!$A:$L,MATCH([1]TBMapping!$C9,'[1]TrialBalance (Quarter)'!A:A,0),MATCH([1]TBMapping!M$3,'[1]TrialBalance (Quarter)'!$7:$7,0)),0)</f>
        <v>0</v>
      </c>
      <c r="M7" s="5">
        <f>IFERROR(INDEX('[1]TrialBalance (Quarter)'!$A:$L,MATCH([1]TBMapping!$C9,'[1]TrialBalance (Quarter)'!A:A,0),MATCH([1]TBMapping!N$3,'[1]TrialBalance (Quarter)'!$7:$7,0)),0)</f>
        <v>0</v>
      </c>
      <c r="N7" s="5">
        <f>IFERROR(INDEX('[1]TrialBalance (Quarter)'!$A:$L,MATCH([1]TBMapping!$C9,'[1]TrialBalance (Quarter)'!A:A,0),MATCH([1]TBMapping!O$3,'[1]TrialBalance (Quarter)'!$7:$7,0)),0)</f>
        <v>0</v>
      </c>
    </row>
    <row r="8" spans="1:14">
      <c r="B8" s="3">
        <v>101120</v>
      </c>
      <c r="C8" s="10" t="s">
        <v>12</v>
      </c>
      <c r="D8" s="10" t="s">
        <v>11</v>
      </c>
      <c r="E8" s="10"/>
      <c r="F8" s="5" t="e">
        <f>IF(DataExtraction="Manual",SUMIF('[1]TrialBalance (YTD)'!$C:$C,B8,'[1]TrialBalance (YTD)'!$E:$E),SUMIF('[1]TrialBalance (YTD)'!$G:$G,B8,'[1]TrialBalance (YTD)'!$I:$I))</f>
        <v>#VALUE!</v>
      </c>
      <c r="G8" s="5">
        <f>IFERROR(INDEX('[1]TrialBalance (YTD)'!$G:$S,MATCH([1]TBMapping!$C10,'[1]TrialBalance (YTD)'!G:G,0),MATCH([1]TBMapping!H$3,'[1]TrialBalance (YTD)'!$G$7:$Z$7,0)),0)</f>
        <v>0</v>
      </c>
      <c r="H8" s="5" t="e">
        <f>SUMIF('[1]TrialBalance (YTD)'!G:G,B8,'[1]TrialBalance (YTD)'!H:H)</f>
        <v>#VALUE!</v>
      </c>
      <c r="I8" s="5">
        <f>IFERROR(INDEX('[1]TrialBalance (YTD)'!$G:$S,MATCH([1]TBMapping!$C10,'[1]TrialBalance (YTD)'!G:G,0),MATCH([1]TBMapping!J$3,'[1]TrialBalance (YTD)'!$G$7:$Z$7,0)),0)</f>
        <v>0</v>
      </c>
      <c r="K8" s="5" t="e">
        <f>SUMIF('[1]TrialBalance (Quarter)'!$A:$A,B8,'[1]TrialBalance (Quarter)'!$B:$B)</f>
        <v>#VALUE!</v>
      </c>
      <c r="L8" s="5">
        <f>IFERROR(INDEX('[1]TrialBalance (Quarter)'!$A:$L,MATCH([1]TBMapping!$C10,'[1]TrialBalance (Quarter)'!A:A,0),MATCH([1]TBMapping!M$3,'[1]TrialBalance (Quarter)'!$7:$7,0)),0)</f>
        <v>0</v>
      </c>
      <c r="M8" s="5">
        <f>IFERROR(INDEX('[1]TrialBalance (Quarter)'!$A:$L,MATCH([1]TBMapping!$C10,'[1]TrialBalance (Quarter)'!A:A,0),MATCH([1]TBMapping!N$3,'[1]TrialBalance (Quarter)'!$7:$7,0)),0)</f>
        <v>0</v>
      </c>
      <c r="N8" s="5">
        <f>IFERROR(INDEX('[1]TrialBalance (Quarter)'!$A:$L,MATCH([1]TBMapping!$C10,'[1]TrialBalance (Quarter)'!A:A,0),MATCH([1]TBMapping!O$3,'[1]TrialBalance (Quarter)'!$7:$7,0)),0)</f>
        <v>0</v>
      </c>
    </row>
    <row r="9" spans="1:14">
      <c r="B9" s="3">
        <v>101130</v>
      </c>
      <c r="C9" s="11" t="s">
        <v>13</v>
      </c>
      <c r="D9" s="11" t="s">
        <v>11</v>
      </c>
      <c r="E9" s="11"/>
      <c r="F9" s="5" t="e">
        <f>IF(DataExtraction="Manual",SUMIF('[1]TrialBalance (YTD)'!$C:$C,B9,'[1]TrialBalance (YTD)'!$E:$E),SUMIF('[1]TrialBalance (YTD)'!$G:$G,B9,'[1]TrialBalance (YTD)'!$I:$I))</f>
        <v>#VALUE!</v>
      </c>
      <c r="G9" s="5">
        <f>IFERROR(INDEX('[1]TrialBalance (YTD)'!$G:$S,MATCH([1]TBMapping!$C11,'[1]TrialBalance (YTD)'!G:G,0),MATCH([1]TBMapping!H$3,'[1]TrialBalance (YTD)'!$G$7:$Z$7,0)),0)</f>
        <v>0</v>
      </c>
      <c r="H9" s="5" t="e">
        <f>SUMIF('[1]TrialBalance (YTD)'!G:G,B9,'[1]TrialBalance (YTD)'!H:H)</f>
        <v>#VALUE!</v>
      </c>
      <c r="I9" s="5">
        <f>IFERROR(INDEX('[1]TrialBalance (YTD)'!$G:$S,MATCH([1]TBMapping!$C11,'[1]TrialBalance (YTD)'!G:G,0),MATCH([1]TBMapping!J$3,'[1]TrialBalance (YTD)'!$G$7:$Z$7,0)),0)</f>
        <v>0</v>
      </c>
      <c r="K9" s="5" t="e">
        <f>SUMIF('[1]TrialBalance (Quarter)'!$A:$A,B9,'[1]TrialBalance (Quarter)'!$B:$B)</f>
        <v>#VALUE!</v>
      </c>
      <c r="L9" s="5">
        <f>IFERROR(INDEX('[1]TrialBalance (Quarter)'!$A:$L,MATCH([1]TBMapping!$C11,'[1]TrialBalance (Quarter)'!A:A,0),MATCH([1]TBMapping!M$3,'[1]TrialBalance (Quarter)'!$7:$7,0)),0)</f>
        <v>0</v>
      </c>
      <c r="M9" s="5">
        <f>IFERROR(INDEX('[1]TrialBalance (Quarter)'!$A:$L,MATCH([1]TBMapping!$C11,'[1]TrialBalance (Quarter)'!A:A,0),MATCH([1]TBMapping!N$3,'[1]TrialBalance (Quarter)'!$7:$7,0)),0)</f>
        <v>0</v>
      </c>
      <c r="N9" s="5">
        <f>IFERROR(INDEX('[1]TrialBalance (Quarter)'!$A:$L,MATCH([1]TBMapping!$C11,'[1]TrialBalance (Quarter)'!A:A,0),MATCH([1]TBMapping!O$3,'[1]TrialBalance (Quarter)'!$7:$7,0)),0)</f>
        <v>0</v>
      </c>
    </row>
    <row r="10" spans="1:14">
      <c r="B10" s="3">
        <v>101140</v>
      </c>
      <c r="C10" s="10" t="s">
        <v>14</v>
      </c>
      <c r="D10" s="10" t="s">
        <v>11</v>
      </c>
      <c r="E10" s="10"/>
      <c r="F10" s="5" t="e">
        <f>IF(DataExtraction="Manual",SUMIF('[1]TrialBalance (YTD)'!$C:$C,B10,'[1]TrialBalance (YTD)'!$E:$E),SUMIF('[1]TrialBalance (YTD)'!$G:$G,B10,'[1]TrialBalance (YTD)'!$I:$I))</f>
        <v>#VALUE!</v>
      </c>
      <c r="G10" s="5">
        <f>IFERROR(INDEX('[1]TrialBalance (YTD)'!$G:$S,MATCH([1]TBMapping!$C12,'[1]TrialBalance (YTD)'!G:G,0),MATCH([1]TBMapping!H$3,'[1]TrialBalance (YTD)'!$G$7:$Z$7,0)),0)</f>
        <v>0</v>
      </c>
      <c r="H10" s="5" t="e">
        <f>SUMIF('[1]TrialBalance (YTD)'!G:G,B10,'[1]TrialBalance (YTD)'!H:H)</f>
        <v>#VALUE!</v>
      </c>
      <c r="I10" s="5">
        <f>IFERROR(INDEX('[1]TrialBalance (YTD)'!$G:$S,MATCH([1]TBMapping!$C12,'[1]TrialBalance (YTD)'!G:G,0),MATCH([1]TBMapping!J$3,'[1]TrialBalance (YTD)'!$G$7:$Z$7,0)),0)</f>
        <v>0</v>
      </c>
      <c r="K10" s="5" t="e">
        <f>SUMIF('[1]TrialBalance (Quarter)'!$A:$A,B10,'[1]TrialBalance (Quarter)'!$B:$B)</f>
        <v>#VALUE!</v>
      </c>
      <c r="L10" s="5">
        <f>IFERROR(INDEX('[1]TrialBalance (Quarter)'!$A:$L,MATCH([1]TBMapping!$C12,'[1]TrialBalance (Quarter)'!A:A,0),MATCH([1]TBMapping!M$3,'[1]TrialBalance (Quarter)'!$7:$7,0)),0)</f>
        <v>0</v>
      </c>
      <c r="M10" s="5">
        <f>IFERROR(INDEX('[1]TrialBalance (Quarter)'!$A:$L,MATCH([1]TBMapping!$C12,'[1]TrialBalance (Quarter)'!A:A,0),MATCH([1]TBMapping!N$3,'[1]TrialBalance (Quarter)'!$7:$7,0)),0)</f>
        <v>0</v>
      </c>
      <c r="N10" s="5">
        <f>IFERROR(INDEX('[1]TrialBalance (Quarter)'!$A:$L,MATCH([1]TBMapping!$C12,'[1]TrialBalance (Quarter)'!A:A,0),MATCH([1]TBMapping!O$3,'[1]TrialBalance (Quarter)'!$7:$7,0)),0)</f>
        <v>0</v>
      </c>
    </row>
    <row r="11" spans="1:14">
      <c r="B11" s="3">
        <v>101199</v>
      </c>
      <c r="C11" s="11" t="s">
        <v>15</v>
      </c>
      <c r="D11" s="11" t="s">
        <v>16</v>
      </c>
      <c r="E11" s="11"/>
      <c r="F11" s="5" t="e">
        <f>IF(DataExtraction="Manual",SUMIF('[1]TrialBalance (YTD)'!$C:$C,B11,'[1]TrialBalance (YTD)'!$E:$E),SUMIF('[1]TrialBalance (YTD)'!$G:$G,B11,'[1]TrialBalance (YTD)'!$I:$I))</f>
        <v>#VALUE!</v>
      </c>
      <c r="G11" s="5">
        <f>IFERROR(INDEX('[1]TrialBalance (YTD)'!$G:$S,MATCH([1]TBMapping!$C13,'[1]TrialBalance (YTD)'!G:G,0),MATCH([1]TBMapping!H$3,'[1]TrialBalance (YTD)'!$G$7:$Z$7,0)),0)</f>
        <v>0</v>
      </c>
      <c r="H11" s="5" t="e">
        <f>SUMIF('[1]TrialBalance (YTD)'!G:G,B11,'[1]TrialBalance (YTD)'!H:H)</f>
        <v>#VALUE!</v>
      </c>
      <c r="I11" s="5">
        <f>IFERROR(INDEX('[1]TrialBalance (YTD)'!$G:$S,MATCH([1]TBMapping!$C13,'[1]TrialBalance (YTD)'!G:G,0),MATCH([1]TBMapping!J$3,'[1]TrialBalance (YTD)'!$G$7:$Z$7,0)),0)</f>
        <v>0</v>
      </c>
      <c r="K11" s="5" t="e">
        <f>SUMIF('[1]TrialBalance (Quarter)'!$A:$A,B11,'[1]TrialBalance (Quarter)'!$B:$B)</f>
        <v>#VALUE!</v>
      </c>
      <c r="L11" s="5">
        <f>IFERROR(INDEX('[1]TrialBalance (Quarter)'!$A:$L,MATCH([1]TBMapping!$C13,'[1]TrialBalance (Quarter)'!A:A,0),MATCH([1]TBMapping!M$3,'[1]TrialBalance (Quarter)'!$7:$7,0)),0)</f>
        <v>0</v>
      </c>
      <c r="M11" s="5">
        <f>IFERROR(INDEX('[1]TrialBalance (Quarter)'!$A:$L,MATCH([1]TBMapping!$C13,'[1]TrialBalance (Quarter)'!A:A,0),MATCH([1]TBMapping!N$3,'[1]TrialBalance (Quarter)'!$7:$7,0)),0)</f>
        <v>0</v>
      </c>
      <c r="N11" s="5">
        <f>IFERROR(INDEX('[1]TrialBalance (Quarter)'!$A:$L,MATCH([1]TBMapping!$C13,'[1]TrialBalance (Quarter)'!A:A,0),MATCH([1]TBMapping!O$3,'[1]TrialBalance (Quarter)'!$7:$7,0)),0)</f>
        <v>0</v>
      </c>
    </row>
    <row r="12" spans="1:14">
      <c r="B12" s="3">
        <v>101200</v>
      </c>
      <c r="C12" s="10" t="s">
        <v>17</v>
      </c>
      <c r="D12" s="10" t="s">
        <v>5</v>
      </c>
      <c r="E12" s="10"/>
      <c r="F12" s="5" t="e">
        <f>IF(DataExtraction="Manual",SUMIF('[1]TrialBalance (YTD)'!$C:$C,B12,'[1]TrialBalance (YTD)'!$E:$E),SUMIF('[1]TrialBalance (YTD)'!$G:$G,B12,'[1]TrialBalance (YTD)'!$I:$I))</f>
        <v>#VALUE!</v>
      </c>
      <c r="G12" s="5">
        <f>IFERROR(INDEX('[1]TrialBalance (YTD)'!$G:$S,MATCH([1]TBMapping!$C14,'[1]TrialBalance (YTD)'!G:G,0),MATCH([1]TBMapping!H$3,'[1]TrialBalance (YTD)'!$G$7:$Z$7,0)),0)</f>
        <v>0</v>
      </c>
      <c r="H12" s="5" t="e">
        <f>SUMIF('[1]TrialBalance (YTD)'!G:G,B12,'[1]TrialBalance (YTD)'!H:H)</f>
        <v>#VALUE!</v>
      </c>
      <c r="I12" s="5">
        <f>IFERROR(INDEX('[1]TrialBalance (YTD)'!$G:$S,MATCH([1]TBMapping!$C14,'[1]TrialBalance (YTD)'!G:G,0),MATCH([1]TBMapping!J$3,'[1]TrialBalance (YTD)'!$G$7:$Z$7,0)),0)</f>
        <v>0</v>
      </c>
      <c r="K12" s="5" t="e">
        <f>SUMIF('[1]TrialBalance (Quarter)'!$A:$A,B12,'[1]TrialBalance (Quarter)'!$B:$B)</f>
        <v>#VALUE!</v>
      </c>
      <c r="L12" s="5">
        <f>IFERROR(INDEX('[1]TrialBalance (Quarter)'!$A:$L,MATCH([1]TBMapping!$C14,'[1]TrialBalance (Quarter)'!A:A,0),MATCH([1]TBMapping!M$3,'[1]TrialBalance (Quarter)'!$7:$7,0)),0)</f>
        <v>0</v>
      </c>
      <c r="M12" s="5">
        <f>IFERROR(INDEX('[1]TrialBalance (Quarter)'!$A:$L,MATCH([1]TBMapping!$C14,'[1]TrialBalance (Quarter)'!A:A,0),MATCH([1]TBMapping!N$3,'[1]TrialBalance (Quarter)'!$7:$7,0)),0)</f>
        <v>0</v>
      </c>
      <c r="N12" s="5">
        <f>IFERROR(INDEX('[1]TrialBalance (Quarter)'!$A:$L,MATCH([1]TBMapping!$C14,'[1]TrialBalance (Quarter)'!A:A,0),MATCH([1]TBMapping!O$3,'[1]TrialBalance (Quarter)'!$7:$7,0)),0)</f>
        <v>0</v>
      </c>
    </row>
    <row r="13" spans="1:14">
      <c r="B13" s="3">
        <v>101210</v>
      </c>
      <c r="C13" s="11" t="s">
        <v>10</v>
      </c>
      <c r="D13" s="11" t="s">
        <v>11</v>
      </c>
      <c r="E13" s="11"/>
      <c r="F13" s="5" t="e">
        <f>IF(DataExtraction="Manual",SUMIF('[1]TrialBalance (YTD)'!$C:$C,B13,'[1]TrialBalance (YTD)'!$E:$E),SUMIF('[1]TrialBalance (YTD)'!$G:$G,B13,'[1]TrialBalance (YTD)'!$I:$I))</f>
        <v>#VALUE!</v>
      </c>
      <c r="G13" s="5">
        <f>IFERROR(INDEX('[1]TrialBalance (YTD)'!$G:$S,MATCH([1]TBMapping!$C15,'[1]TrialBalance (YTD)'!G:G,0),MATCH([1]TBMapping!H$3,'[1]TrialBalance (YTD)'!$G$7:$Z$7,0)),0)</f>
        <v>0</v>
      </c>
      <c r="H13" s="5" t="e">
        <f>SUMIF('[1]TrialBalance (YTD)'!G:G,B13,'[1]TrialBalance (YTD)'!H:H)</f>
        <v>#VALUE!</v>
      </c>
      <c r="I13" s="5">
        <f>IFERROR(INDEX('[1]TrialBalance (YTD)'!$G:$S,MATCH([1]TBMapping!$C15,'[1]TrialBalance (YTD)'!G:G,0),MATCH([1]TBMapping!J$3,'[1]TrialBalance (YTD)'!$G$7:$Z$7,0)),0)</f>
        <v>0</v>
      </c>
      <c r="K13" s="5" t="e">
        <f>SUMIF('[1]TrialBalance (Quarter)'!$A:$A,B13,'[1]TrialBalance (Quarter)'!$B:$B)</f>
        <v>#VALUE!</v>
      </c>
      <c r="L13" s="5">
        <f>IFERROR(INDEX('[1]TrialBalance (Quarter)'!$A:$L,MATCH([1]TBMapping!$C15,'[1]TrialBalance (Quarter)'!A:A,0),MATCH([1]TBMapping!M$3,'[1]TrialBalance (Quarter)'!$7:$7,0)),0)</f>
        <v>0</v>
      </c>
      <c r="M13" s="5">
        <f>IFERROR(INDEX('[1]TrialBalance (Quarter)'!$A:$L,MATCH([1]TBMapping!$C15,'[1]TrialBalance (Quarter)'!A:A,0),MATCH([1]TBMapping!N$3,'[1]TrialBalance (Quarter)'!$7:$7,0)),0)</f>
        <v>0</v>
      </c>
      <c r="N13" s="5">
        <f>IFERROR(INDEX('[1]TrialBalance (Quarter)'!$A:$L,MATCH([1]TBMapping!$C15,'[1]TrialBalance (Quarter)'!A:A,0),MATCH([1]TBMapping!O$3,'[1]TrialBalance (Quarter)'!$7:$7,0)),0)</f>
        <v>0</v>
      </c>
    </row>
    <row r="14" spans="1:14">
      <c r="B14" s="3">
        <v>101220</v>
      </c>
      <c r="C14" s="10" t="s">
        <v>12</v>
      </c>
      <c r="D14" s="10" t="s">
        <v>11</v>
      </c>
      <c r="E14" s="10"/>
      <c r="F14" s="5" t="e">
        <f>IF(DataExtraction="Manual",SUMIF('[1]TrialBalance (YTD)'!$C:$C,B14,'[1]TrialBalance (YTD)'!$E:$E),SUMIF('[1]TrialBalance (YTD)'!$G:$G,B14,'[1]TrialBalance (YTD)'!$I:$I))</f>
        <v>#VALUE!</v>
      </c>
      <c r="G14" s="5">
        <f>IFERROR(INDEX('[1]TrialBalance (YTD)'!$G:$S,MATCH([1]TBMapping!$C16,'[1]TrialBalance (YTD)'!G:G,0),MATCH([1]TBMapping!H$3,'[1]TrialBalance (YTD)'!$G$7:$Z$7,0)),0)</f>
        <v>0</v>
      </c>
      <c r="H14" s="5" t="e">
        <f>SUMIF('[1]TrialBalance (YTD)'!G:G,B14,'[1]TrialBalance (YTD)'!H:H)</f>
        <v>#VALUE!</v>
      </c>
      <c r="I14" s="5">
        <f>IFERROR(INDEX('[1]TrialBalance (YTD)'!$G:$S,MATCH([1]TBMapping!$C16,'[1]TrialBalance (YTD)'!G:G,0),MATCH([1]TBMapping!J$3,'[1]TrialBalance (YTD)'!$G$7:$Z$7,0)),0)</f>
        <v>0</v>
      </c>
      <c r="K14" s="5" t="e">
        <f>SUMIF('[1]TrialBalance (Quarter)'!$A:$A,B14,'[1]TrialBalance (Quarter)'!$B:$B)</f>
        <v>#VALUE!</v>
      </c>
      <c r="L14" s="5">
        <f>IFERROR(INDEX('[1]TrialBalance (Quarter)'!$A:$L,MATCH([1]TBMapping!$C16,'[1]TrialBalance (Quarter)'!A:A,0),MATCH([1]TBMapping!M$3,'[1]TrialBalance (Quarter)'!$7:$7,0)),0)</f>
        <v>0</v>
      </c>
      <c r="M14" s="5">
        <f>IFERROR(INDEX('[1]TrialBalance (Quarter)'!$A:$L,MATCH([1]TBMapping!$C16,'[1]TrialBalance (Quarter)'!A:A,0),MATCH([1]TBMapping!N$3,'[1]TrialBalance (Quarter)'!$7:$7,0)),0)</f>
        <v>0</v>
      </c>
      <c r="N14" s="5">
        <f>IFERROR(INDEX('[1]TrialBalance (Quarter)'!$A:$L,MATCH([1]TBMapping!$C16,'[1]TrialBalance (Quarter)'!A:A,0),MATCH([1]TBMapping!O$3,'[1]TrialBalance (Quarter)'!$7:$7,0)),0)</f>
        <v>0</v>
      </c>
    </row>
    <row r="15" spans="1:14">
      <c r="B15" s="3">
        <v>101230</v>
      </c>
      <c r="C15" s="11" t="s">
        <v>18</v>
      </c>
      <c r="D15" s="11" t="s">
        <v>11</v>
      </c>
      <c r="E15" s="11"/>
      <c r="F15" s="5" t="e">
        <f>IF(DataExtraction="Manual",SUMIF('[1]TrialBalance (YTD)'!$C:$C,B15,'[1]TrialBalance (YTD)'!$E:$E),SUMIF('[1]TrialBalance (YTD)'!$G:$G,B15,'[1]TrialBalance (YTD)'!$I:$I))</f>
        <v>#VALUE!</v>
      </c>
      <c r="G15" s="5">
        <f>IFERROR(INDEX('[1]TrialBalance (YTD)'!$G:$S,MATCH([1]TBMapping!$C17,'[1]TrialBalance (YTD)'!G:G,0),MATCH([1]TBMapping!H$3,'[1]TrialBalance (YTD)'!$G$7:$Z$7,0)),0)</f>
        <v>0</v>
      </c>
      <c r="H15" s="5" t="e">
        <f>SUMIF('[1]TrialBalance (YTD)'!G:G,B15,'[1]TrialBalance (YTD)'!H:H)</f>
        <v>#VALUE!</v>
      </c>
      <c r="I15" s="5">
        <f>IFERROR(INDEX('[1]TrialBalance (YTD)'!$G:$S,MATCH([1]TBMapping!$C17,'[1]TrialBalance (YTD)'!G:G,0),MATCH([1]TBMapping!J$3,'[1]TrialBalance (YTD)'!$G$7:$Z$7,0)),0)</f>
        <v>0</v>
      </c>
      <c r="K15" s="5" t="e">
        <f>SUMIF('[1]TrialBalance (Quarter)'!$A:$A,B15,'[1]TrialBalance (Quarter)'!$B:$B)</f>
        <v>#VALUE!</v>
      </c>
      <c r="L15" s="5">
        <f>IFERROR(INDEX('[1]TrialBalance (Quarter)'!$A:$L,MATCH([1]TBMapping!$C17,'[1]TrialBalance (Quarter)'!A:A,0),MATCH([1]TBMapping!M$3,'[1]TrialBalance (Quarter)'!$7:$7,0)),0)</f>
        <v>0</v>
      </c>
      <c r="M15" s="5">
        <f>IFERROR(INDEX('[1]TrialBalance (Quarter)'!$A:$L,MATCH([1]TBMapping!$C17,'[1]TrialBalance (Quarter)'!A:A,0),MATCH([1]TBMapping!N$3,'[1]TrialBalance (Quarter)'!$7:$7,0)),0)</f>
        <v>0</v>
      </c>
      <c r="N15" s="5">
        <f>IFERROR(INDEX('[1]TrialBalance (Quarter)'!$A:$L,MATCH([1]TBMapping!$C17,'[1]TrialBalance (Quarter)'!A:A,0),MATCH([1]TBMapping!O$3,'[1]TrialBalance (Quarter)'!$7:$7,0)),0)</f>
        <v>0</v>
      </c>
    </row>
    <row r="16" spans="1:14">
      <c r="B16" s="3">
        <v>101240</v>
      </c>
      <c r="C16" s="10" t="s">
        <v>19</v>
      </c>
      <c r="D16" s="10" t="s">
        <v>11</v>
      </c>
      <c r="E16" s="10"/>
      <c r="F16" s="5" t="e">
        <f>IF(DataExtraction="Manual",SUMIF('[1]TrialBalance (YTD)'!$C:$C,B16,'[1]TrialBalance (YTD)'!$E:$E),SUMIF('[1]TrialBalance (YTD)'!$G:$G,B16,'[1]TrialBalance (YTD)'!$I:$I))</f>
        <v>#VALUE!</v>
      </c>
      <c r="G16" s="5">
        <f>IFERROR(INDEX('[1]TrialBalance (YTD)'!$G:$S,MATCH([1]TBMapping!$C18,'[1]TrialBalance (YTD)'!G:G,0),MATCH([1]TBMapping!H$3,'[1]TrialBalance (YTD)'!$G$7:$Z$7,0)),0)</f>
        <v>0</v>
      </c>
      <c r="H16" s="5" t="e">
        <f>SUMIF('[1]TrialBalance (YTD)'!G:G,B16,'[1]TrialBalance (YTD)'!H:H)</f>
        <v>#VALUE!</v>
      </c>
      <c r="I16" s="5">
        <f>IFERROR(INDEX('[1]TrialBalance (YTD)'!$G:$S,MATCH([1]TBMapping!$C18,'[1]TrialBalance (YTD)'!G:G,0),MATCH([1]TBMapping!J$3,'[1]TrialBalance (YTD)'!$G$7:$Z$7,0)),0)</f>
        <v>0</v>
      </c>
      <c r="K16" s="5" t="e">
        <f>SUMIF('[1]TrialBalance (Quarter)'!$A:$A,B16,'[1]TrialBalance (Quarter)'!$B:$B)</f>
        <v>#VALUE!</v>
      </c>
      <c r="L16" s="5">
        <f>IFERROR(INDEX('[1]TrialBalance (Quarter)'!$A:$L,MATCH([1]TBMapping!$C18,'[1]TrialBalance (Quarter)'!A:A,0),MATCH([1]TBMapping!M$3,'[1]TrialBalance (Quarter)'!$7:$7,0)),0)</f>
        <v>0</v>
      </c>
      <c r="M16" s="5">
        <f>IFERROR(INDEX('[1]TrialBalance (Quarter)'!$A:$L,MATCH([1]TBMapping!$C18,'[1]TrialBalance (Quarter)'!A:A,0),MATCH([1]TBMapping!N$3,'[1]TrialBalance (Quarter)'!$7:$7,0)),0)</f>
        <v>0</v>
      </c>
      <c r="N16" s="5">
        <f>IFERROR(INDEX('[1]TrialBalance (Quarter)'!$A:$L,MATCH([1]TBMapping!$C18,'[1]TrialBalance (Quarter)'!A:A,0),MATCH([1]TBMapping!O$3,'[1]TrialBalance (Quarter)'!$7:$7,0)),0)</f>
        <v>0</v>
      </c>
    </row>
    <row r="17" spans="1:14">
      <c r="B17" s="3">
        <v>101299</v>
      </c>
      <c r="C17" s="11" t="s">
        <v>20</v>
      </c>
      <c r="D17" s="11" t="s">
        <v>16</v>
      </c>
      <c r="E17" s="11"/>
      <c r="F17" s="5" t="e">
        <f>IF(DataExtraction="Manual",SUMIF('[1]TrialBalance (YTD)'!$C:$C,B17,'[1]TrialBalance (YTD)'!$E:$E),SUMIF('[1]TrialBalance (YTD)'!$G:$G,B17,'[1]TrialBalance (YTD)'!$I:$I))</f>
        <v>#VALUE!</v>
      </c>
      <c r="G17" s="5">
        <f>IFERROR(INDEX('[1]TrialBalance (YTD)'!$G:$S,MATCH([1]TBMapping!$C19,'[1]TrialBalance (YTD)'!G:G,0),MATCH([1]TBMapping!H$3,'[1]TrialBalance (YTD)'!$G$7:$Z$7,0)),0)</f>
        <v>0</v>
      </c>
      <c r="H17" s="5" t="e">
        <f>SUMIF('[1]TrialBalance (YTD)'!G:G,B17,'[1]TrialBalance (YTD)'!H:H)</f>
        <v>#VALUE!</v>
      </c>
      <c r="I17" s="5">
        <f>IFERROR(INDEX('[1]TrialBalance (YTD)'!$G:$S,MATCH([1]TBMapping!$C19,'[1]TrialBalance (YTD)'!G:G,0),MATCH([1]TBMapping!J$3,'[1]TrialBalance (YTD)'!$G$7:$Z$7,0)),0)</f>
        <v>0</v>
      </c>
      <c r="K17" s="5" t="e">
        <f>SUMIF('[1]TrialBalance (Quarter)'!$A:$A,B17,'[1]TrialBalance (Quarter)'!$B:$B)</f>
        <v>#VALUE!</v>
      </c>
      <c r="L17" s="5">
        <f>IFERROR(INDEX('[1]TrialBalance (Quarter)'!$A:$L,MATCH([1]TBMapping!$C19,'[1]TrialBalance (Quarter)'!A:A,0),MATCH([1]TBMapping!M$3,'[1]TrialBalance (Quarter)'!$7:$7,0)),0)</f>
        <v>0</v>
      </c>
      <c r="M17" s="5">
        <f>IFERROR(INDEX('[1]TrialBalance (Quarter)'!$A:$L,MATCH([1]TBMapping!$C19,'[1]TrialBalance (Quarter)'!A:A,0),MATCH([1]TBMapping!N$3,'[1]TrialBalance (Quarter)'!$7:$7,0)),0)</f>
        <v>0</v>
      </c>
      <c r="N17" s="5">
        <f>IFERROR(INDEX('[1]TrialBalance (Quarter)'!$A:$L,MATCH([1]TBMapping!$C19,'[1]TrialBalance (Quarter)'!A:A,0),MATCH([1]TBMapping!O$3,'[1]TrialBalance (Quarter)'!$7:$7,0)),0)</f>
        <v>0</v>
      </c>
    </row>
    <row r="18" spans="1:14">
      <c r="B18" s="3">
        <v>101300</v>
      </c>
      <c r="C18" s="10" t="s">
        <v>21</v>
      </c>
      <c r="D18" s="10" t="s">
        <v>5</v>
      </c>
      <c r="E18" s="10"/>
      <c r="F18" s="5" t="e">
        <f>IF(DataExtraction="Manual",SUMIF('[1]TrialBalance (YTD)'!$C:$C,B18,'[1]TrialBalance (YTD)'!$E:$E),SUMIF('[1]TrialBalance (YTD)'!$G:$G,B18,'[1]TrialBalance (YTD)'!$I:$I))</f>
        <v>#VALUE!</v>
      </c>
      <c r="G18" s="5">
        <f>IFERROR(INDEX('[1]TrialBalance (YTD)'!$G:$S,MATCH([1]TBMapping!$C20,'[1]TrialBalance (YTD)'!G:G,0),MATCH([1]TBMapping!H$3,'[1]TrialBalance (YTD)'!$G$7:$Z$7,0)),0)</f>
        <v>0</v>
      </c>
      <c r="H18" s="5" t="e">
        <f>SUMIF('[1]TrialBalance (YTD)'!G:G,B18,'[1]TrialBalance (YTD)'!H:H)</f>
        <v>#VALUE!</v>
      </c>
      <c r="I18" s="5">
        <f>IFERROR(INDEX('[1]TrialBalance (YTD)'!$G:$S,MATCH([1]TBMapping!$C20,'[1]TrialBalance (YTD)'!G:G,0),MATCH([1]TBMapping!J$3,'[1]TrialBalance (YTD)'!$G$7:$Z$7,0)),0)</f>
        <v>0</v>
      </c>
      <c r="K18" s="5" t="e">
        <f>SUMIF('[1]TrialBalance (Quarter)'!$A:$A,B18,'[1]TrialBalance (Quarter)'!$B:$B)</f>
        <v>#VALUE!</v>
      </c>
      <c r="L18" s="5">
        <f>IFERROR(INDEX('[1]TrialBalance (Quarter)'!$A:$L,MATCH([1]TBMapping!$C20,'[1]TrialBalance (Quarter)'!A:A,0),MATCH([1]TBMapping!M$3,'[1]TrialBalance (Quarter)'!$7:$7,0)),0)</f>
        <v>0</v>
      </c>
      <c r="M18" s="5">
        <f>IFERROR(INDEX('[1]TrialBalance (Quarter)'!$A:$L,MATCH([1]TBMapping!$C20,'[1]TrialBalance (Quarter)'!A:A,0),MATCH([1]TBMapping!N$3,'[1]TrialBalance (Quarter)'!$7:$7,0)),0)</f>
        <v>0</v>
      </c>
      <c r="N18" s="5">
        <f>IFERROR(INDEX('[1]TrialBalance (Quarter)'!$A:$L,MATCH([1]TBMapping!$C20,'[1]TrialBalance (Quarter)'!A:A,0),MATCH([1]TBMapping!O$3,'[1]TrialBalance (Quarter)'!$7:$7,0)),0)</f>
        <v>0</v>
      </c>
    </row>
    <row r="19" spans="1:14">
      <c r="B19" s="3">
        <v>101310</v>
      </c>
      <c r="C19" s="11" t="s">
        <v>10</v>
      </c>
      <c r="D19" s="11" t="s">
        <v>11</v>
      </c>
      <c r="E19" s="11"/>
      <c r="F19" s="5" t="e">
        <f>IF(DataExtraction="Manual",SUMIF('[1]TrialBalance (YTD)'!$C:$C,B19,'[1]TrialBalance (YTD)'!$E:$E),SUMIF('[1]TrialBalance (YTD)'!$G:$G,B19,'[1]TrialBalance (YTD)'!$I:$I))</f>
        <v>#VALUE!</v>
      </c>
      <c r="G19" s="5">
        <f>IFERROR(INDEX('[1]TrialBalance (YTD)'!$G:$S,MATCH([1]TBMapping!$C21,'[1]TrialBalance (YTD)'!G:G,0),MATCH([1]TBMapping!H$3,'[1]TrialBalance (YTD)'!$G$7:$Z$7,0)),0)</f>
        <v>0</v>
      </c>
      <c r="H19" s="5" t="e">
        <f>SUMIF('[1]TrialBalance (YTD)'!G:G,B19,'[1]TrialBalance (YTD)'!H:H)</f>
        <v>#VALUE!</v>
      </c>
      <c r="I19" s="5">
        <f>IFERROR(INDEX('[1]TrialBalance (YTD)'!$G:$S,MATCH([1]TBMapping!$C21,'[1]TrialBalance (YTD)'!G:G,0),MATCH([1]TBMapping!J$3,'[1]TrialBalance (YTD)'!$G$7:$Z$7,0)),0)</f>
        <v>0</v>
      </c>
      <c r="K19" s="5" t="e">
        <f>SUMIF('[1]TrialBalance (Quarter)'!$A:$A,B19,'[1]TrialBalance (Quarter)'!$B:$B)</f>
        <v>#VALUE!</v>
      </c>
      <c r="L19" s="5">
        <f>IFERROR(INDEX('[1]TrialBalance (Quarter)'!$A:$L,MATCH([1]TBMapping!$C21,'[1]TrialBalance (Quarter)'!A:A,0),MATCH([1]TBMapping!M$3,'[1]TrialBalance (Quarter)'!$7:$7,0)),0)</f>
        <v>0</v>
      </c>
      <c r="M19" s="5">
        <f>IFERROR(INDEX('[1]TrialBalance (Quarter)'!$A:$L,MATCH([1]TBMapping!$C21,'[1]TrialBalance (Quarter)'!A:A,0),MATCH([1]TBMapping!N$3,'[1]TrialBalance (Quarter)'!$7:$7,0)),0)</f>
        <v>0</v>
      </c>
      <c r="N19" s="5">
        <f>IFERROR(INDEX('[1]TrialBalance (Quarter)'!$A:$L,MATCH([1]TBMapping!$C21,'[1]TrialBalance (Quarter)'!A:A,0),MATCH([1]TBMapping!O$3,'[1]TrialBalance (Quarter)'!$7:$7,0)),0)</f>
        <v>0</v>
      </c>
    </row>
    <row r="20" spans="1:14">
      <c r="B20" s="3">
        <v>101320</v>
      </c>
      <c r="C20" s="10" t="s">
        <v>12</v>
      </c>
      <c r="D20" s="10" t="s">
        <v>11</v>
      </c>
      <c r="E20" s="10"/>
      <c r="F20" s="5" t="e">
        <f>IF(DataExtraction="Manual",SUMIF('[1]TrialBalance (YTD)'!$C:$C,B20,'[1]TrialBalance (YTD)'!$E:$E),SUMIF('[1]TrialBalance (YTD)'!$G:$G,B20,'[1]TrialBalance (YTD)'!$I:$I))</f>
        <v>#VALUE!</v>
      </c>
      <c r="G20" s="5">
        <f>IFERROR(INDEX('[1]TrialBalance (YTD)'!$G:$S,MATCH([1]TBMapping!$C22,'[1]TrialBalance (YTD)'!G:G,0),MATCH([1]TBMapping!H$3,'[1]TrialBalance (YTD)'!$G$7:$Z$7,0)),0)</f>
        <v>0</v>
      </c>
      <c r="H20" s="5" t="e">
        <f>SUMIF('[1]TrialBalance (YTD)'!G:G,B20,'[1]TrialBalance (YTD)'!H:H)</f>
        <v>#VALUE!</v>
      </c>
      <c r="I20" s="5">
        <f>IFERROR(INDEX('[1]TrialBalance (YTD)'!$G:$S,MATCH([1]TBMapping!$C22,'[1]TrialBalance (YTD)'!G:G,0),MATCH([1]TBMapping!J$3,'[1]TrialBalance (YTD)'!$G$7:$Z$7,0)),0)</f>
        <v>0</v>
      </c>
      <c r="K20" s="5" t="e">
        <f>SUMIF('[1]TrialBalance (Quarter)'!$A:$A,B20,'[1]TrialBalance (Quarter)'!$B:$B)</f>
        <v>#VALUE!</v>
      </c>
      <c r="L20" s="5">
        <f>IFERROR(INDEX('[1]TrialBalance (Quarter)'!$A:$L,MATCH([1]TBMapping!$C22,'[1]TrialBalance (Quarter)'!A:A,0),MATCH([1]TBMapping!M$3,'[1]TrialBalance (Quarter)'!$7:$7,0)),0)</f>
        <v>0</v>
      </c>
      <c r="M20" s="5">
        <f>IFERROR(INDEX('[1]TrialBalance (Quarter)'!$A:$L,MATCH([1]TBMapping!$C22,'[1]TrialBalance (Quarter)'!A:A,0),MATCH([1]TBMapping!N$3,'[1]TrialBalance (Quarter)'!$7:$7,0)),0)</f>
        <v>0</v>
      </c>
      <c r="N20" s="5">
        <f>IFERROR(INDEX('[1]TrialBalance (Quarter)'!$A:$L,MATCH([1]TBMapping!$C22,'[1]TrialBalance (Quarter)'!A:A,0),MATCH([1]TBMapping!O$3,'[1]TrialBalance (Quarter)'!$7:$7,0)),0)</f>
        <v>0</v>
      </c>
    </row>
    <row r="21" spans="1:14">
      <c r="B21" s="3">
        <v>101330</v>
      </c>
      <c r="C21" s="11" t="s">
        <v>18</v>
      </c>
      <c r="D21" s="11" t="s">
        <v>11</v>
      </c>
      <c r="E21" s="11"/>
      <c r="F21" s="5" t="e">
        <f>IF(DataExtraction="Manual",SUMIF('[1]TrialBalance (YTD)'!$C:$C,B21,'[1]TrialBalance (YTD)'!$E:$E),SUMIF('[1]TrialBalance (YTD)'!$G:$G,B21,'[1]TrialBalance (YTD)'!$I:$I))</f>
        <v>#VALUE!</v>
      </c>
      <c r="G21" s="5">
        <f>IFERROR(INDEX('[1]TrialBalance (YTD)'!$G:$S,MATCH([1]TBMapping!$C23,'[1]TrialBalance (YTD)'!G:G,0),MATCH([1]TBMapping!H$3,'[1]TrialBalance (YTD)'!$G$7:$Z$7,0)),0)</f>
        <v>0</v>
      </c>
      <c r="H21" s="5" t="e">
        <f>SUMIF('[1]TrialBalance (YTD)'!G:G,B21,'[1]TrialBalance (YTD)'!H:H)</f>
        <v>#VALUE!</v>
      </c>
      <c r="I21" s="5">
        <f>IFERROR(INDEX('[1]TrialBalance (YTD)'!$G:$S,MATCH([1]TBMapping!$C23,'[1]TrialBalance (YTD)'!G:G,0),MATCH([1]TBMapping!J$3,'[1]TrialBalance (YTD)'!$G$7:$Z$7,0)),0)</f>
        <v>0</v>
      </c>
      <c r="K21" s="5" t="e">
        <f>SUMIF('[1]TrialBalance (Quarter)'!$A:$A,B21,'[1]TrialBalance (Quarter)'!$B:$B)</f>
        <v>#VALUE!</v>
      </c>
      <c r="L21" s="5">
        <f>IFERROR(INDEX('[1]TrialBalance (Quarter)'!$A:$L,MATCH([1]TBMapping!$C23,'[1]TrialBalance (Quarter)'!A:A,0),MATCH([1]TBMapping!M$3,'[1]TrialBalance (Quarter)'!$7:$7,0)),0)</f>
        <v>0</v>
      </c>
      <c r="M21" s="5">
        <f>IFERROR(INDEX('[1]TrialBalance (Quarter)'!$A:$L,MATCH([1]TBMapping!$C23,'[1]TrialBalance (Quarter)'!A:A,0),MATCH([1]TBMapping!N$3,'[1]TrialBalance (Quarter)'!$7:$7,0)),0)</f>
        <v>0</v>
      </c>
      <c r="N21" s="5">
        <f>IFERROR(INDEX('[1]TrialBalance (Quarter)'!$A:$L,MATCH([1]TBMapping!$C23,'[1]TrialBalance (Quarter)'!A:A,0),MATCH([1]TBMapping!O$3,'[1]TrialBalance (Quarter)'!$7:$7,0)),0)</f>
        <v>0</v>
      </c>
    </row>
    <row r="22" spans="1:14">
      <c r="B22" s="3">
        <v>101340</v>
      </c>
      <c r="C22" s="10" t="s">
        <v>22</v>
      </c>
      <c r="D22" s="10" t="s">
        <v>11</v>
      </c>
      <c r="E22" s="10"/>
      <c r="F22" s="5" t="e">
        <f>IF(DataExtraction="Manual",SUMIF('[1]TrialBalance (YTD)'!$C:$C,B22,'[1]TrialBalance (YTD)'!$E:$E),SUMIF('[1]TrialBalance (YTD)'!$G:$G,B22,'[1]TrialBalance (YTD)'!$I:$I))</f>
        <v>#VALUE!</v>
      </c>
      <c r="G22" s="5">
        <f>IFERROR(INDEX('[1]TrialBalance (YTD)'!$G:$S,MATCH([1]TBMapping!$C24,'[1]TrialBalance (YTD)'!G:G,0),MATCH([1]TBMapping!H$3,'[1]TrialBalance (YTD)'!$G$7:$Z$7,0)),0)</f>
        <v>0</v>
      </c>
      <c r="H22" s="5" t="e">
        <f>SUMIF('[1]TrialBalance (YTD)'!G:G,B22,'[1]TrialBalance (YTD)'!H:H)</f>
        <v>#VALUE!</v>
      </c>
      <c r="I22" s="5">
        <f>IFERROR(INDEX('[1]TrialBalance (YTD)'!$G:$S,MATCH([1]TBMapping!$C24,'[1]TrialBalance (YTD)'!G:G,0),MATCH([1]TBMapping!J$3,'[1]TrialBalance (YTD)'!$G$7:$Z$7,0)),0)</f>
        <v>0</v>
      </c>
      <c r="K22" s="5" t="e">
        <f>SUMIF('[1]TrialBalance (Quarter)'!$A:$A,B22,'[1]TrialBalance (Quarter)'!$B:$B)</f>
        <v>#VALUE!</v>
      </c>
      <c r="L22" s="5">
        <f>IFERROR(INDEX('[1]TrialBalance (Quarter)'!$A:$L,MATCH([1]TBMapping!$C24,'[1]TrialBalance (Quarter)'!A:A,0),MATCH([1]TBMapping!M$3,'[1]TrialBalance (Quarter)'!$7:$7,0)),0)</f>
        <v>0</v>
      </c>
      <c r="M22" s="5">
        <f>IFERROR(INDEX('[1]TrialBalance (Quarter)'!$A:$L,MATCH([1]TBMapping!$C24,'[1]TrialBalance (Quarter)'!A:A,0),MATCH([1]TBMapping!N$3,'[1]TrialBalance (Quarter)'!$7:$7,0)),0)</f>
        <v>0</v>
      </c>
      <c r="N22" s="5">
        <f>IFERROR(INDEX('[1]TrialBalance (Quarter)'!$A:$L,MATCH([1]TBMapping!$C24,'[1]TrialBalance (Quarter)'!A:A,0),MATCH([1]TBMapping!O$3,'[1]TrialBalance (Quarter)'!$7:$7,0)),0)</f>
        <v>0</v>
      </c>
    </row>
    <row r="23" spans="1:14">
      <c r="B23" s="3">
        <v>101399</v>
      </c>
      <c r="C23" s="11" t="s">
        <v>21</v>
      </c>
      <c r="D23" s="11" t="s">
        <v>16</v>
      </c>
      <c r="E23" s="11"/>
      <c r="F23" s="5" t="e">
        <f>IF(DataExtraction="Manual",SUMIF('[1]TrialBalance (YTD)'!$C:$C,B23,'[1]TrialBalance (YTD)'!$E:$E),SUMIF('[1]TrialBalance (YTD)'!$G:$G,B23,'[1]TrialBalance (YTD)'!$I:$I))</f>
        <v>#VALUE!</v>
      </c>
      <c r="G23" s="5">
        <f>IFERROR(INDEX('[1]TrialBalance (YTD)'!$G:$S,MATCH([1]TBMapping!$C25,'[1]TrialBalance (YTD)'!G:G,0),MATCH([1]TBMapping!H$3,'[1]TrialBalance (YTD)'!$G$7:$Z$7,0)),0)</f>
        <v>0</v>
      </c>
      <c r="H23" s="5" t="e">
        <f>SUMIF('[1]TrialBalance (YTD)'!G:G,B23,'[1]TrialBalance (YTD)'!H:H)</f>
        <v>#VALUE!</v>
      </c>
      <c r="I23" s="5">
        <f>IFERROR(INDEX('[1]TrialBalance (YTD)'!$G:$S,MATCH([1]TBMapping!$C25,'[1]TrialBalance (YTD)'!G:G,0),MATCH([1]TBMapping!J$3,'[1]TrialBalance (YTD)'!$G$7:$Z$7,0)),0)</f>
        <v>0</v>
      </c>
      <c r="K23" s="5" t="e">
        <f>SUMIF('[1]TrialBalance (Quarter)'!$A:$A,B23,'[1]TrialBalance (Quarter)'!$B:$B)</f>
        <v>#VALUE!</v>
      </c>
      <c r="L23" s="5">
        <f>IFERROR(INDEX('[1]TrialBalance (Quarter)'!$A:$L,MATCH([1]TBMapping!$C25,'[1]TrialBalance (Quarter)'!A:A,0),MATCH([1]TBMapping!M$3,'[1]TrialBalance (Quarter)'!$7:$7,0)),0)</f>
        <v>0</v>
      </c>
      <c r="M23" s="5">
        <f>IFERROR(INDEX('[1]TrialBalance (Quarter)'!$A:$L,MATCH([1]TBMapping!$C25,'[1]TrialBalance (Quarter)'!A:A,0),MATCH([1]TBMapping!N$3,'[1]TrialBalance (Quarter)'!$7:$7,0)),0)</f>
        <v>0</v>
      </c>
      <c r="N23" s="5">
        <f>IFERROR(INDEX('[1]TrialBalance (Quarter)'!$A:$L,MATCH([1]TBMapping!$C25,'[1]TrialBalance (Quarter)'!A:A,0),MATCH([1]TBMapping!O$3,'[1]TrialBalance (Quarter)'!$7:$7,0)),0)</f>
        <v>0</v>
      </c>
    </row>
    <row r="24" spans="1:14">
      <c r="A24" s="2">
        <v>101</v>
      </c>
      <c r="B24" s="3">
        <v>101410</v>
      </c>
      <c r="C24" s="10" t="s">
        <v>23</v>
      </c>
      <c r="D24" s="10" t="s">
        <v>11</v>
      </c>
      <c r="E24" s="10"/>
      <c r="F24" s="5" t="e">
        <f>IF(DataExtraction="Manual",SUMIF('[1]TrialBalance (YTD)'!$C:$C,B24,'[1]TrialBalance (YTD)'!$E:$E),SUMIF('[1]TrialBalance (YTD)'!$G:$G,B24,'[1]TrialBalance (YTD)'!$I:$I))</f>
        <v>#VALUE!</v>
      </c>
      <c r="G24" s="5">
        <f>IFERROR(INDEX('[1]TrialBalance (YTD)'!$G:$S,MATCH([1]TBMapping!$C26,'[1]TrialBalance (YTD)'!G:G,0),MATCH([1]TBMapping!H$3,'[1]TrialBalance (YTD)'!$G$7:$Z$7,0)),0)</f>
        <v>0</v>
      </c>
      <c r="H24" s="5" t="e">
        <f>SUMIF('[1]TrialBalance (YTD)'!G:G,B24,'[1]TrialBalance (YTD)'!H:H)</f>
        <v>#VALUE!</v>
      </c>
      <c r="I24" s="5">
        <f>IFERROR(INDEX('[1]TrialBalance (YTD)'!$G:$S,MATCH([1]TBMapping!$C26,'[1]TrialBalance (YTD)'!G:G,0),MATCH([1]TBMapping!J$3,'[1]TrialBalance (YTD)'!$G$7:$Z$7,0)),0)</f>
        <v>0</v>
      </c>
      <c r="K24" s="5" t="e">
        <f>SUMIF('[1]TrialBalance (Quarter)'!$A:$A,B24,'[1]TrialBalance (Quarter)'!$B:$B)</f>
        <v>#VALUE!</v>
      </c>
      <c r="L24" s="5">
        <f>IFERROR(INDEX('[1]TrialBalance (Quarter)'!$A:$L,MATCH([1]TBMapping!$C26,'[1]TrialBalance (Quarter)'!A:A,0),MATCH([1]TBMapping!M$3,'[1]TrialBalance (Quarter)'!$7:$7,0)),0)</f>
        <v>0</v>
      </c>
      <c r="M24" s="5">
        <f>IFERROR(INDEX('[1]TrialBalance (Quarter)'!$A:$L,MATCH([1]TBMapping!$C26,'[1]TrialBalance (Quarter)'!A:A,0),MATCH([1]TBMapping!N$3,'[1]TrialBalance (Quarter)'!$7:$7,0)),0)</f>
        <v>0</v>
      </c>
      <c r="N24" s="5">
        <f>IFERROR(INDEX('[1]TrialBalance (Quarter)'!$A:$L,MATCH([1]TBMapping!$C26,'[1]TrialBalance (Quarter)'!A:A,0),MATCH([1]TBMapping!O$3,'[1]TrialBalance (Quarter)'!$7:$7,0)),0)</f>
        <v>0</v>
      </c>
    </row>
    <row r="25" spans="1:14">
      <c r="A25" s="2">
        <v>101</v>
      </c>
      <c r="B25" s="3">
        <v>101440</v>
      </c>
      <c r="C25" s="11" t="s">
        <v>24</v>
      </c>
      <c r="D25" s="11" t="s">
        <v>11</v>
      </c>
      <c r="E25" s="11"/>
      <c r="F25" s="5" t="e">
        <f>IF(DataExtraction="Manual",SUMIF('[1]TrialBalance (YTD)'!$C:$C,B25,'[1]TrialBalance (YTD)'!$E:$E),SUMIF('[1]TrialBalance (YTD)'!$G:$G,B25,'[1]TrialBalance (YTD)'!$I:$I))</f>
        <v>#VALUE!</v>
      </c>
      <c r="G25" s="5">
        <f>IFERROR(INDEX('[1]TrialBalance (YTD)'!$G:$S,MATCH([1]TBMapping!$C27,'[1]TrialBalance (YTD)'!G:G,0),MATCH([1]TBMapping!H$3,'[1]TrialBalance (YTD)'!$G$7:$Z$7,0)),0)</f>
        <v>0</v>
      </c>
      <c r="H25" s="5" t="e">
        <f>SUMIF('[1]TrialBalance (YTD)'!G:G,B25,'[1]TrialBalance (YTD)'!H:H)</f>
        <v>#VALUE!</v>
      </c>
      <c r="I25" s="5">
        <f>IFERROR(INDEX('[1]TrialBalance (YTD)'!$G:$S,MATCH([1]TBMapping!$C27,'[1]TrialBalance (YTD)'!G:G,0),MATCH([1]TBMapping!J$3,'[1]TrialBalance (YTD)'!$G$7:$Z$7,0)),0)</f>
        <v>0</v>
      </c>
      <c r="K25" s="5" t="e">
        <f>SUMIF('[1]TrialBalance (Quarter)'!$A:$A,B25,'[1]TrialBalance (Quarter)'!$B:$B)</f>
        <v>#VALUE!</v>
      </c>
      <c r="L25" s="5">
        <f>IFERROR(INDEX('[1]TrialBalance (Quarter)'!$A:$L,MATCH([1]TBMapping!$C27,'[1]TrialBalance (Quarter)'!A:A,0),MATCH([1]TBMapping!M$3,'[1]TrialBalance (Quarter)'!$7:$7,0)),0)</f>
        <v>0</v>
      </c>
      <c r="M25" s="5">
        <f>IFERROR(INDEX('[1]TrialBalance (Quarter)'!$A:$L,MATCH([1]TBMapping!$C27,'[1]TrialBalance (Quarter)'!A:A,0),MATCH([1]TBMapping!N$3,'[1]TrialBalance (Quarter)'!$7:$7,0)),0)</f>
        <v>0</v>
      </c>
      <c r="N25" s="5">
        <f>IFERROR(INDEX('[1]TrialBalance (Quarter)'!$A:$L,MATCH([1]TBMapping!$C27,'[1]TrialBalance (Quarter)'!A:A,0),MATCH([1]TBMapping!O$3,'[1]TrialBalance (Quarter)'!$7:$7,0)),0)</f>
        <v>0</v>
      </c>
    </row>
    <row r="26" spans="1:14">
      <c r="A26" s="2">
        <v>101</v>
      </c>
      <c r="B26" s="3">
        <v>101510</v>
      </c>
      <c r="C26" s="10" t="s">
        <v>25</v>
      </c>
      <c r="D26" s="10" t="s">
        <v>11</v>
      </c>
      <c r="E26" s="10"/>
      <c r="F26" s="5" t="e">
        <f>IF(DataExtraction="Manual",SUMIF('[1]TrialBalance (YTD)'!$C:$C,B26,'[1]TrialBalance (YTD)'!$E:$E),SUMIF('[1]TrialBalance (YTD)'!$G:$G,B26,'[1]TrialBalance (YTD)'!$I:$I))</f>
        <v>#VALUE!</v>
      </c>
      <c r="G26" s="5">
        <f>IFERROR(INDEX('[1]TrialBalance (YTD)'!$G:$S,MATCH([1]TBMapping!$C28,'[1]TrialBalance (YTD)'!G:G,0),MATCH([1]TBMapping!H$3,'[1]TrialBalance (YTD)'!$G$7:$Z$7,0)),0)</f>
        <v>0</v>
      </c>
      <c r="H26" s="5" t="e">
        <f>SUMIF('[1]TrialBalance (YTD)'!G:G,B26,'[1]TrialBalance (YTD)'!H:H)</f>
        <v>#VALUE!</v>
      </c>
      <c r="I26" s="5">
        <f>IFERROR(INDEX('[1]TrialBalance (YTD)'!$G:$S,MATCH([1]TBMapping!$C28,'[1]TrialBalance (YTD)'!G:G,0),MATCH([1]TBMapping!J$3,'[1]TrialBalance (YTD)'!$G$7:$Z$7,0)),0)</f>
        <v>0</v>
      </c>
      <c r="K26" s="5" t="e">
        <f>SUMIF('[1]TrialBalance (Quarter)'!$A:$A,B26,'[1]TrialBalance (Quarter)'!$B:$B)</f>
        <v>#VALUE!</v>
      </c>
      <c r="L26" s="5">
        <f>IFERROR(INDEX('[1]TrialBalance (Quarter)'!$A:$L,MATCH([1]TBMapping!$C28,'[1]TrialBalance (Quarter)'!A:A,0),MATCH([1]TBMapping!M$3,'[1]TrialBalance (Quarter)'!$7:$7,0)),0)</f>
        <v>0</v>
      </c>
      <c r="M26" s="5">
        <f>IFERROR(INDEX('[1]TrialBalance (Quarter)'!$A:$L,MATCH([1]TBMapping!$C28,'[1]TrialBalance (Quarter)'!A:A,0),MATCH([1]TBMapping!N$3,'[1]TrialBalance (Quarter)'!$7:$7,0)),0)</f>
        <v>0</v>
      </c>
      <c r="N26" s="5">
        <f>IFERROR(INDEX('[1]TrialBalance (Quarter)'!$A:$L,MATCH([1]TBMapping!$C28,'[1]TrialBalance (Quarter)'!A:A,0),MATCH([1]TBMapping!O$3,'[1]TrialBalance (Quarter)'!$7:$7,0)),0)</f>
        <v>0</v>
      </c>
    </row>
    <row r="27" spans="1:14">
      <c r="A27" s="2">
        <v>101</v>
      </c>
      <c r="B27" s="3">
        <v>101515</v>
      </c>
      <c r="C27" s="11" t="s">
        <v>26</v>
      </c>
      <c r="D27" s="11" t="s">
        <v>11</v>
      </c>
      <c r="E27" s="11"/>
      <c r="F27" s="5" t="e">
        <f>IF(DataExtraction="Manual",SUMIF('[1]TrialBalance (YTD)'!$C:$C,B27,'[1]TrialBalance (YTD)'!$E:$E),SUMIF('[1]TrialBalance (YTD)'!$G:$G,B27,'[1]TrialBalance (YTD)'!$I:$I))</f>
        <v>#VALUE!</v>
      </c>
      <c r="G27" s="5">
        <f>IFERROR(INDEX('[1]TrialBalance (YTD)'!$G:$S,MATCH([1]TBMapping!$C29,'[1]TrialBalance (YTD)'!G:G,0),MATCH([1]TBMapping!H$3,'[1]TrialBalance (YTD)'!$G$7:$Z$7,0)),0)</f>
        <v>0</v>
      </c>
      <c r="H27" s="5" t="e">
        <f>SUMIF('[1]TrialBalance (YTD)'!G:G,B27,'[1]TrialBalance (YTD)'!H:H)</f>
        <v>#VALUE!</v>
      </c>
      <c r="I27" s="5">
        <f>IFERROR(INDEX('[1]TrialBalance (YTD)'!$G:$S,MATCH([1]TBMapping!$C29,'[1]TrialBalance (YTD)'!G:G,0),MATCH([1]TBMapping!J$3,'[1]TrialBalance (YTD)'!$G$7:$Z$7,0)),0)</f>
        <v>0</v>
      </c>
      <c r="K27" s="5" t="e">
        <f>SUMIF('[1]TrialBalance (Quarter)'!$A:$A,B27,'[1]TrialBalance (Quarter)'!$B:$B)</f>
        <v>#VALUE!</v>
      </c>
      <c r="L27" s="5">
        <f>IFERROR(INDEX('[1]TrialBalance (Quarter)'!$A:$L,MATCH([1]TBMapping!$C29,'[1]TrialBalance (Quarter)'!A:A,0),MATCH([1]TBMapping!M$3,'[1]TrialBalance (Quarter)'!$7:$7,0)),0)</f>
        <v>0</v>
      </c>
      <c r="M27" s="5">
        <f>IFERROR(INDEX('[1]TrialBalance (Quarter)'!$A:$L,MATCH([1]TBMapping!$C29,'[1]TrialBalance (Quarter)'!A:A,0),MATCH([1]TBMapping!N$3,'[1]TrialBalance (Quarter)'!$7:$7,0)),0)</f>
        <v>0</v>
      </c>
      <c r="N27" s="5">
        <f>IFERROR(INDEX('[1]TrialBalance (Quarter)'!$A:$L,MATCH([1]TBMapping!$C29,'[1]TrialBalance (Quarter)'!A:A,0),MATCH([1]TBMapping!O$3,'[1]TrialBalance (Quarter)'!$7:$7,0)),0)</f>
        <v>0</v>
      </c>
    </row>
    <row r="28" spans="1:14">
      <c r="A28" s="2">
        <v>101</v>
      </c>
      <c r="B28" s="3">
        <v>101540</v>
      </c>
      <c r="C28" s="10" t="s">
        <v>27</v>
      </c>
      <c r="D28" s="10" t="s">
        <v>11</v>
      </c>
      <c r="E28" s="10"/>
      <c r="F28" s="5" t="e">
        <f>IF(DataExtraction="Manual",SUMIF('[1]TrialBalance (YTD)'!$C:$C,B28,'[1]TrialBalance (YTD)'!$E:$E),SUMIF('[1]TrialBalance (YTD)'!$G:$G,B28,'[1]TrialBalance (YTD)'!$I:$I))</f>
        <v>#VALUE!</v>
      </c>
      <c r="G28" s="5">
        <f>IFERROR(INDEX('[1]TrialBalance (YTD)'!$G:$S,MATCH([1]TBMapping!$C30,'[1]TrialBalance (YTD)'!G:G,0),MATCH([1]TBMapping!H$3,'[1]TrialBalance (YTD)'!$G$7:$Z$7,0)),0)</f>
        <v>0</v>
      </c>
      <c r="H28" s="5" t="e">
        <f>SUMIF('[1]TrialBalance (YTD)'!G:G,B28,'[1]TrialBalance (YTD)'!H:H)</f>
        <v>#VALUE!</v>
      </c>
      <c r="I28" s="5">
        <f>IFERROR(INDEX('[1]TrialBalance (YTD)'!$G:$S,MATCH([1]TBMapping!$C30,'[1]TrialBalance (YTD)'!G:G,0),MATCH([1]TBMapping!J$3,'[1]TrialBalance (YTD)'!$G$7:$Z$7,0)),0)</f>
        <v>0</v>
      </c>
      <c r="K28" s="5" t="e">
        <f>SUMIF('[1]TrialBalance (Quarter)'!$A:$A,B28,'[1]TrialBalance (Quarter)'!$B:$B)</f>
        <v>#VALUE!</v>
      </c>
      <c r="L28" s="5">
        <f>IFERROR(INDEX('[1]TrialBalance (Quarter)'!$A:$L,MATCH([1]TBMapping!$C30,'[1]TrialBalance (Quarter)'!A:A,0),MATCH([1]TBMapping!M$3,'[1]TrialBalance (Quarter)'!$7:$7,0)),0)</f>
        <v>0</v>
      </c>
      <c r="M28" s="5">
        <f>IFERROR(INDEX('[1]TrialBalance (Quarter)'!$A:$L,MATCH([1]TBMapping!$C30,'[1]TrialBalance (Quarter)'!A:A,0),MATCH([1]TBMapping!N$3,'[1]TrialBalance (Quarter)'!$7:$7,0)),0)</f>
        <v>0</v>
      </c>
      <c r="N28" s="5">
        <f>IFERROR(INDEX('[1]TrialBalance (Quarter)'!$A:$L,MATCH([1]TBMapping!$C30,'[1]TrialBalance (Quarter)'!A:A,0),MATCH([1]TBMapping!O$3,'[1]TrialBalance (Quarter)'!$7:$7,0)),0)</f>
        <v>0</v>
      </c>
    </row>
    <row r="29" spans="1:14">
      <c r="A29" s="2">
        <v>101</v>
      </c>
      <c r="B29" s="3">
        <v>101610</v>
      </c>
      <c r="C29" s="11" t="s">
        <v>28</v>
      </c>
      <c r="D29" s="11" t="s">
        <v>11</v>
      </c>
      <c r="E29" s="11"/>
      <c r="F29" s="5" t="e">
        <f>IF(DataExtraction="Manual",SUMIF('[1]TrialBalance (YTD)'!$C:$C,B29,'[1]TrialBalance (YTD)'!$E:$E),SUMIF('[1]TrialBalance (YTD)'!$G:$G,B29,'[1]TrialBalance (YTD)'!$I:$I))</f>
        <v>#VALUE!</v>
      </c>
      <c r="G29" s="5">
        <f>IFERROR(INDEX('[1]TrialBalance (YTD)'!$G:$S,MATCH([1]TBMapping!$C31,'[1]TrialBalance (YTD)'!G:G,0),MATCH([1]TBMapping!H$3,'[1]TrialBalance (YTD)'!$G$7:$Z$7,0)),0)</f>
        <v>0</v>
      </c>
      <c r="H29" s="5" t="e">
        <f>SUMIF('[1]TrialBalance (YTD)'!G:G,B29,'[1]TrialBalance (YTD)'!H:H)</f>
        <v>#VALUE!</v>
      </c>
      <c r="I29" s="5">
        <f>IFERROR(INDEX('[1]TrialBalance (YTD)'!$G:$S,MATCH([1]TBMapping!$C31,'[1]TrialBalance (YTD)'!G:G,0),MATCH([1]TBMapping!J$3,'[1]TrialBalance (YTD)'!$G$7:$Z$7,0)),0)</f>
        <v>0</v>
      </c>
      <c r="K29" s="5" t="e">
        <f>SUMIF('[1]TrialBalance (Quarter)'!$A:$A,B29,'[1]TrialBalance (Quarter)'!$B:$B)</f>
        <v>#VALUE!</v>
      </c>
      <c r="L29" s="5">
        <f>IFERROR(INDEX('[1]TrialBalance (Quarter)'!$A:$L,MATCH([1]TBMapping!$C31,'[1]TrialBalance (Quarter)'!A:A,0),MATCH([1]TBMapping!M$3,'[1]TrialBalance (Quarter)'!$7:$7,0)),0)</f>
        <v>0</v>
      </c>
      <c r="M29" s="5">
        <f>IFERROR(INDEX('[1]TrialBalance (Quarter)'!$A:$L,MATCH([1]TBMapping!$C31,'[1]TrialBalance (Quarter)'!A:A,0),MATCH([1]TBMapping!N$3,'[1]TrialBalance (Quarter)'!$7:$7,0)),0)</f>
        <v>0</v>
      </c>
      <c r="N29" s="5">
        <f>IFERROR(INDEX('[1]TrialBalance (Quarter)'!$A:$L,MATCH([1]TBMapping!$C31,'[1]TrialBalance (Quarter)'!A:A,0),MATCH([1]TBMapping!O$3,'[1]TrialBalance (Quarter)'!$7:$7,0)),0)</f>
        <v>0</v>
      </c>
    </row>
    <row r="30" spans="1:14">
      <c r="A30" s="2">
        <v>101</v>
      </c>
      <c r="B30" s="3">
        <v>101640</v>
      </c>
      <c r="C30" s="10" t="s">
        <v>29</v>
      </c>
      <c r="D30" s="10" t="s">
        <v>11</v>
      </c>
      <c r="E30" s="10"/>
      <c r="F30" s="5" t="e">
        <f>IF(DataExtraction="Manual",SUMIF('[1]TrialBalance (YTD)'!$C:$C,B30,'[1]TrialBalance (YTD)'!$E:$E),SUMIF('[1]TrialBalance (YTD)'!$G:$G,B30,'[1]TrialBalance (YTD)'!$I:$I))</f>
        <v>#VALUE!</v>
      </c>
      <c r="G30" s="5">
        <f>IFERROR(INDEX('[1]TrialBalance (YTD)'!$G:$S,MATCH([1]TBMapping!$C32,'[1]TrialBalance (YTD)'!G:G,0),MATCH([1]TBMapping!H$3,'[1]TrialBalance (YTD)'!$G$7:$Z$7,0)),0)</f>
        <v>0</v>
      </c>
      <c r="H30" s="5" t="e">
        <f>SUMIF('[1]TrialBalance (YTD)'!G:G,B30,'[1]TrialBalance (YTD)'!H:H)</f>
        <v>#VALUE!</v>
      </c>
      <c r="I30" s="5">
        <f>IFERROR(INDEX('[1]TrialBalance (YTD)'!$G:$S,MATCH([1]TBMapping!$C32,'[1]TrialBalance (YTD)'!G:G,0),MATCH([1]TBMapping!J$3,'[1]TrialBalance (YTD)'!$G$7:$Z$7,0)),0)</f>
        <v>0</v>
      </c>
      <c r="K30" s="5" t="e">
        <f>SUMIF('[1]TrialBalance (Quarter)'!$A:$A,B30,'[1]TrialBalance (Quarter)'!$B:$B)</f>
        <v>#VALUE!</v>
      </c>
      <c r="L30" s="5">
        <f>IFERROR(INDEX('[1]TrialBalance (Quarter)'!$A:$L,MATCH([1]TBMapping!$C32,'[1]TrialBalance (Quarter)'!A:A,0),MATCH([1]TBMapping!M$3,'[1]TrialBalance (Quarter)'!$7:$7,0)),0)</f>
        <v>0</v>
      </c>
      <c r="M30" s="5">
        <f>IFERROR(INDEX('[1]TrialBalance (Quarter)'!$A:$L,MATCH([1]TBMapping!$C32,'[1]TrialBalance (Quarter)'!A:A,0),MATCH([1]TBMapping!N$3,'[1]TrialBalance (Quarter)'!$7:$7,0)),0)</f>
        <v>0</v>
      </c>
      <c r="N30" s="5">
        <f>IFERROR(INDEX('[1]TrialBalance (Quarter)'!$A:$L,MATCH([1]TBMapping!$C32,'[1]TrialBalance (Quarter)'!A:A,0),MATCH([1]TBMapping!O$3,'[1]TrialBalance (Quarter)'!$7:$7,0)),0)</f>
        <v>0</v>
      </c>
    </row>
    <row r="31" spans="1:14">
      <c r="A31" s="2">
        <v>101</v>
      </c>
      <c r="B31" s="3">
        <v>101641</v>
      </c>
      <c r="C31" s="11" t="s">
        <v>30</v>
      </c>
      <c r="D31" s="11" t="s">
        <v>11</v>
      </c>
      <c r="E31" s="11"/>
      <c r="F31" s="5" t="e">
        <f>IF(DataExtraction="Manual",SUMIF('[1]TrialBalance (YTD)'!$C:$C,B31,'[1]TrialBalance (YTD)'!$E:$E),SUMIF('[1]TrialBalance (YTD)'!$G:$G,B31,'[1]TrialBalance (YTD)'!$I:$I))</f>
        <v>#VALUE!</v>
      </c>
      <c r="G31" s="5">
        <f>IFERROR(INDEX('[1]TrialBalance (YTD)'!$G:$S,MATCH([1]TBMapping!$C33,'[1]TrialBalance (YTD)'!G:G,0),MATCH([1]TBMapping!H$3,'[1]TrialBalance (YTD)'!$G$7:$Z$7,0)),0)</f>
        <v>0</v>
      </c>
      <c r="H31" s="5" t="e">
        <f>SUMIF('[1]TrialBalance (YTD)'!G:G,B31,'[1]TrialBalance (YTD)'!H:H)</f>
        <v>#VALUE!</v>
      </c>
      <c r="I31" s="5">
        <f>IFERROR(INDEX('[1]TrialBalance (YTD)'!$G:$S,MATCH([1]TBMapping!$C33,'[1]TrialBalance (YTD)'!G:G,0),MATCH([1]TBMapping!J$3,'[1]TrialBalance (YTD)'!$G$7:$Z$7,0)),0)</f>
        <v>0</v>
      </c>
      <c r="K31" s="5" t="e">
        <f>SUMIF('[1]TrialBalance (Quarter)'!$A:$A,B31,'[1]TrialBalance (Quarter)'!$B:$B)</f>
        <v>#VALUE!</v>
      </c>
      <c r="L31" s="5">
        <f>IFERROR(INDEX('[1]TrialBalance (Quarter)'!$A:$L,MATCH([1]TBMapping!$C33,'[1]TrialBalance (Quarter)'!A:A,0),MATCH([1]TBMapping!M$3,'[1]TrialBalance (Quarter)'!$7:$7,0)),0)</f>
        <v>0</v>
      </c>
      <c r="M31" s="5">
        <f>IFERROR(INDEX('[1]TrialBalance (Quarter)'!$A:$L,MATCH([1]TBMapping!$C33,'[1]TrialBalance (Quarter)'!A:A,0),MATCH([1]TBMapping!N$3,'[1]TrialBalance (Quarter)'!$7:$7,0)),0)</f>
        <v>0</v>
      </c>
      <c r="N31" s="5">
        <f>IFERROR(INDEX('[1]TrialBalance (Quarter)'!$A:$L,MATCH([1]TBMapping!$C33,'[1]TrialBalance (Quarter)'!A:A,0),MATCH([1]TBMapping!O$3,'[1]TrialBalance (Quarter)'!$7:$7,0)),0)</f>
        <v>0</v>
      </c>
    </row>
    <row r="32" spans="1:14">
      <c r="A32" s="2">
        <v>101</v>
      </c>
      <c r="B32" s="3">
        <v>101710</v>
      </c>
      <c r="C32" s="10" t="s">
        <v>31</v>
      </c>
      <c r="D32" s="10" t="s">
        <v>11</v>
      </c>
      <c r="E32" s="10"/>
      <c r="F32" s="5" t="e">
        <f>IF(DataExtraction="Manual",SUMIF('[1]TrialBalance (YTD)'!$C:$C,B32,'[1]TrialBalance (YTD)'!$E:$E),SUMIF('[1]TrialBalance (YTD)'!$G:$G,B32,'[1]TrialBalance (YTD)'!$I:$I))</f>
        <v>#VALUE!</v>
      </c>
      <c r="G32" s="5">
        <f>IFERROR(INDEX('[1]TrialBalance (YTD)'!$G:$S,MATCH([1]TBMapping!$C34,'[1]TrialBalance (YTD)'!G:G,0),MATCH([1]TBMapping!H$3,'[1]TrialBalance (YTD)'!$G$7:$Z$7,0)),0)</f>
        <v>0</v>
      </c>
      <c r="H32" s="5" t="e">
        <f>SUMIF('[1]TrialBalance (YTD)'!G:G,B32,'[1]TrialBalance (YTD)'!H:H)</f>
        <v>#VALUE!</v>
      </c>
      <c r="I32" s="5">
        <f>IFERROR(INDEX('[1]TrialBalance (YTD)'!$G:$S,MATCH([1]TBMapping!$C34,'[1]TrialBalance (YTD)'!G:G,0),MATCH([1]TBMapping!J$3,'[1]TrialBalance (YTD)'!$G$7:$Z$7,0)),0)</f>
        <v>0</v>
      </c>
      <c r="K32" s="5" t="e">
        <f>SUMIF('[1]TrialBalance (Quarter)'!$A:$A,B32,'[1]TrialBalance (Quarter)'!$B:$B)</f>
        <v>#VALUE!</v>
      </c>
      <c r="L32" s="5">
        <f>IFERROR(INDEX('[1]TrialBalance (Quarter)'!$A:$L,MATCH([1]TBMapping!$C34,'[1]TrialBalance (Quarter)'!A:A,0),MATCH([1]TBMapping!M$3,'[1]TrialBalance (Quarter)'!$7:$7,0)),0)</f>
        <v>0</v>
      </c>
      <c r="M32" s="5">
        <f>IFERROR(INDEX('[1]TrialBalance (Quarter)'!$A:$L,MATCH([1]TBMapping!$C34,'[1]TrialBalance (Quarter)'!A:A,0),MATCH([1]TBMapping!N$3,'[1]TrialBalance (Quarter)'!$7:$7,0)),0)</f>
        <v>0</v>
      </c>
      <c r="N32" s="5">
        <f>IFERROR(INDEX('[1]TrialBalance (Quarter)'!$A:$L,MATCH([1]TBMapping!$C34,'[1]TrialBalance (Quarter)'!A:A,0),MATCH([1]TBMapping!O$3,'[1]TrialBalance (Quarter)'!$7:$7,0)),0)</f>
        <v>0</v>
      </c>
    </row>
    <row r="33" spans="1:15">
      <c r="A33" s="2">
        <v>101</v>
      </c>
      <c r="B33" s="3">
        <v>101740</v>
      </c>
      <c r="C33" s="11" t="s">
        <v>32</v>
      </c>
      <c r="D33" s="11" t="s">
        <v>11</v>
      </c>
      <c r="E33" s="11"/>
      <c r="F33" s="5" t="e">
        <f>IF(DataExtraction="Manual",SUMIF('[1]TrialBalance (YTD)'!$C:$C,B33,'[1]TrialBalance (YTD)'!$E:$E),SUMIF('[1]TrialBalance (YTD)'!$G:$G,B33,'[1]TrialBalance (YTD)'!$I:$I))</f>
        <v>#VALUE!</v>
      </c>
      <c r="G33" s="5">
        <f>IFERROR(INDEX('[1]TrialBalance (YTD)'!$G:$S,MATCH([1]TBMapping!$C35,'[1]TrialBalance (YTD)'!G:G,0),MATCH([1]TBMapping!H$3,'[1]TrialBalance (YTD)'!$G$7:$Z$7,0)),0)</f>
        <v>0</v>
      </c>
      <c r="H33" s="5" t="e">
        <f>SUMIF('[1]TrialBalance (YTD)'!G:G,B33,'[1]TrialBalance (YTD)'!H:H)</f>
        <v>#VALUE!</v>
      </c>
      <c r="I33" s="5">
        <f>IFERROR(INDEX('[1]TrialBalance (YTD)'!$G:$S,MATCH([1]TBMapping!$C35,'[1]TrialBalance (YTD)'!G:G,0),MATCH([1]TBMapping!J$3,'[1]TrialBalance (YTD)'!$G$7:$Z$7,0)),0)</f>
        <v>0</v>
      </c>
      <c r="K33" s="5" t="e">
        <f>SUMIF('[1]TrialBalance (Quarter)'!$A:$A,B33,'[1]TrialBalance (Quarter)'!$B:$B)</f>
        <v>#VALUE!</v>
      </c>
      <c r="L33" s="5">
        <f>IFERROR(INDEX('[1]TrialBalance (Quarter)'!$A:$L,MATCH([1]TBMapping!$C35,'[1]TrialBalance (Quarter)'!A:A,0),MATCH([1]TBMapping!M$3,'[1]TrialBalance (Quarter)'!$7:$7,0)),0)</f>
        <v>0</v>
      </c>
      <c r="M33" s="5">
        <f>IFERROR(INDEX('[1]TrialBalance (Quarter)'!$A:$L,MATCH([1]TBMapping!$C35,'[1]TrialBalance (Quarter)'!A:A,0),MATCH([1]TBMapping!N$3,'[1]TrialBalance (Quarter)'!$7:$7,0)),0)</f>
        <v>0</v>
      </c>
      <c r="N33" s="5">
        <f>IFERROR(INDEX('[1]TrialBalance (Quarter)'!$A:$L,MATCH([1]TBMapping!$C35,'[1]TrialBalance (Quarter)'!A:A,0),MATCH([1]TBMapping!O$3,'[1]TrialBalance (Quarter)'!$7:$7,0)),0)</f>
        <v>0</v>
      </c>
    </row>
    <row r="34" spans="1:15">
      <c r="A34" s="2">
        <v>101</v>
      </c>
      <c r="B34" s="3">
        <v>101750</v>
      </c>
      <c r="C34" s="10" t="s">
        <v>33</v>
      </c>
      <c r="D34" s="10" t="s">
        <v>11</v>
      </c>
      <c r="E34" s="10"/>
      <c r="F34" s="5" t="e">
        <f>IF(DataExtraction="Manual",SUMIF('[1]TrialBalance (YTD)'!$C:$C,B34,'[1]TrialBalance (YTD)'!$E:$E),SUMIF('[1]TrialBalance (YTD)'!$G:$G,B34,'[1]TrialBalance (YTD)'!$I:$I))</f>
        <v>#VALUE!</v>
      </c>
      <c r="G34" s="5">
        <f>IFERROR(INDEX('[1]TrialBalance (YTD)'!$G:$S,MATCH([1]TBMapping!$C36,'[1]TrialBalance (YTD)'!G:G,0),MATCH([1]TBMapping!H$3,'[1]TrialBalance (YTD)'!$G$7:$Z$7,0)),0)</f>
        <v>0</v>
      </c>
      <c r="H34" s="5" t="e">
        <f>SUMIF('[1]TrialBalance (YTD)'!G:G,B34,'[1]TrialBalance (YTD)'!H:H)</f>
        <v>#VALUE!</v>
      </c>
      <c r="I34" s="5">
        <f>IFERROR(INDEX('[1]TrialBalance (YTD)'!$G:$S,MATCH([1]TBMapping!$C36,'[1]TrialBalance (YTD)'!G:G,0),MATCH([1]TBMapping!J$3,'[1]TrialBalance (YTD)'!$G$7:$Z$7,0)),0)</f>
        <v>0</v>
      </c>
      <c r="K34" s="5" t="e">
        <f>SUMIF('[1]TrialBalance (Quarter)'!$A:$A,B34,'[1]TrialBalance (Quarter)'!$B:$B)</f>
        <v>#VALUE!</v>
      </c>
      <c r="L34" s="5">
        <f>IFERROR(INDEX('[1]TrialBalance (Quarter)'!$A:$L,MATCH([1]TBMapping!$C36,'[1]TrialBalance (Quarter)'!A:A,0),MATCH([1]TBMapping!M$3,'[1]TrialBalance (Quarter)'!$7:$7,0)),0)</f>
        <v>0</v>
      </c>
      <c r="M34" s="5">
        <f>IFERROR(INDEX('[1]TrialBalance (Quarter)'!$A:$L,MATCH([1]TBMapping!$C36,'[1]TrialBalance (Quarter)'!A:A,0),MATCH([1]TBMapping!N$3,'[1]TrialBalance (Quarter)'!$7:$7,0)),0)</f>
        <v>0</v>
      </c>
      <c r="N34" s="5">
        <f>IFERROR(INDEX('[1]TrialBalance (Quarter)'!$A:$L,MATCH([1]TBMapping!$C36,'[1]TrialBalance (Quarter)'!A:A,0),MATCH([1]TBMapping!O$3,'[1]TrialBalance (Quarter)'!$7:$7,0)),0)</f>
        <v>0</v>
      </c>
    </row>
    <row r="35" spans="1:15">
      <c r="A35" s="2">
        <v>101</v>
      </c>
      <c r="B35" s="3">
        <v>101751</v>
      </c>
      <c r="C35" s="11" t="s">
        <v>34</v>
      </c>
      <c r="D35" s="11" t="s">
        <v>11</v>
      </c>
      <c r="E35" s="11"/>
      <c r="F35" s="5" t="e">
        <f>IF(DataExtraction="Manual",SUMIF('[1]TrialBalance (YTD)'!$C:$C,B35,'[1]TrialBalance (YTD)'!$E:$E),SUMIF('[1]TrialBalance (YTD)'!$G:$G,B35,'[1]TrialBalance (YTD)'!$I:$I))</f>
        <v>#VALUE!</v>
      </c>
      <c r="G35" s="5">
        <f>IFERROR(INDEX('[1]TrialBalance (YTD)'!$G:$S,MATCH([1]TBMapping!$C37,'[1]TrialBalance (YTD)'!G:G,0),MATCH([1]TBMapping!H$3,'[1]TrialBalance (YTD)'!$G$7:$Z$7,0)),0)</f>
        <v>0</v>
      </c>
      <c r="H35" s="5" t="e">
        <f>SUMIF('[1]TrialBalance (YTD)'!G:G,B35,'[1]TrialBalance (YTD)'!H:H)</f>
        <v>#VALUE!</v>
      </c>
      <c r="I35" s="5">
        <f>IFERROR(INDEX('[1]TrialBalance (YTD)'!$G:$S,MATCH([1]TBMapping!$C37,'[1]TrialBalance (YTD)'!G:G,0),MATCH([1]TBMapping!J$3,'[1]TrialBalance (YTD)'!$G$7:$Z$7,0)),0)</f>
        <v>0</v>
      </c>
      <c r="K35" s="5" t="e">
        <f>SUMIF('[1]TrialBalance (Quarter)'!$A:$A,B35,'[1]TrialBalance (Quarter)'!$B:$B)</f>
        <v>#VALUE!</v>
      </c>
      <c r="L35" s="5">
        <f>IFERROR(INDEX('[1]TrialBalance (Quarter)'!$A:$L,MATCH([1]TBMapping!$C37,'[1]TrialBalance (Quarter)'!A:A,0),MATCH([1]TBMapping!M$3,'[1]TrialBalance (Quarter)'!$7:$7,0)),0)</f>
        <v>0</v>
      </c>
      <c r="M35" s="5">
        <f>IFERROR(INDEX('[1]TrialBalance (Quarter)'!$A:$L,MATCH([1]TBMapping!$C37,'[1]TrialBalance (Quarter)'!A:A,0),MATCH([1]TBMapping!N$3,'[1]TrialBalance (Quarter)'!$7:$7,0)),0)</f>
        <v>0</v>
      </c>
      <c r="N35" s="5">
        <f>IFERROR(INDEX('[1]TrialBalance (Quarter)'!$A:$L,MATCH([1]TBMapping!$C37,'[1]TrialBalance (Quarter)'!A:A,0),MATCH([1]TBMapping!O$3,'[1]TrialBalance (Quarter)'!$7:$7,0)),0)</f>
        <v>0</v>
      </c>
    </row>
    <row r="36" spans="1:15">
      <c r="A36" s="2">
        <v>101</v>
      </c>
      <c r="B36" s="3">
        <v>101760</v>
      </c>
      <c r="C36" s="10" t="s">
        <v>35</v>
      </c>
      <c r="D36" s="10" t="s">
        <v>11</v>
      </c>
      <c r="E36" s="10"/>
      <c r="F36" s="5" t="e">
        <f>IF(DataExtraction="Manual",SUMIF('[1]TrialBalance (YTD)'!$C:$C,B36,'[1]TrialBalance (YTD)'!$E:$E),SUMIF('[1]TrialBalance (YTD)'!$G:$G,B36,'[1]TrialBalance (YTD)'!$I:$I))</f>
        <v>#VALUE!</v>
      </c>
      <c r="G36" s="5">
        <f>IFERROR(INDEX('[1]TrialBalance (YTD)'!$G:$S,MATCH([1]TBMapping!$C38,'[1]TrialBalance (YTD)'!G:G,0),MATCH([1]TBMapping!H$3,'[1]TrialBalance (YTD)'!$G$7:$Z$7,0)),0)</f>
        <v>0</v>
      </c>
      <c r="H36" s="5" t="e">
        <f>SUMIF('[1]TrialBalance (YTD)'!G:G,B36,'[1]TrialBalance (YTD)'!H:H)</f>
        <v>#VALUE!</v>
      </c>
      <c r="I36" s="5">
        <f>IFERROR(INDEX('[1]TrialBalance (YTD)'!$G:$S,MATCH([1]TBMapping!$C38,'[1]TrialBalance (YTD)'!G:G,0),MATCH([1]TBMapping!J$3,'[1]TrialBalance (YTD)'!$G$7:$Z$7,0)),0)</f>
        <v>0</v>
      </c>
      <c r="K36" s="5" t="e">
        <f>SUMIF('[1]TrialBalance (Quarter)'!$A:$A,B36,'[1]TrialBalance (Quarter)'!$B:$B)</f>
        <v>#VALUE!</v>
      </c>
      <c r="L36" s="5">
        <f>IFERROR(INDEX('[1]TrialBalance (Quarter)'!$A:$L,MATCH([1]TBMapping!$C38,'[1]TrialBalance (Quarter)'!A:A,0),MATCH([1]TBMapping!M$3,'[1]TrialBalance (Quarter)'!$7:$7,0)),0)</f>
        <v>0</v>
      </c>
      <c r="M36" s="5">
        <f>IFERROR(INDEX('[1]TrialBalance (Quarter)'!$A:$L,MATCH([1]TBMapping!$C38,'[1]TrialBalance (Quarter)'!A:A,0),MATCH([1]TBMapping!N$3,'[1]TrialBalance (Quarter)'!$7:$7,0)),0)</f>
        <v>0</v>
      </c>
      <c r="N36" s="5">
        <f>IFERROR(INDEX('[1]TrialBalance (Quarter)'!$A:$L,MATCH([1]TBMapping!$C38,'[1]TrialBalance (Quarter)'!A:A,0),MATCH([1]TBMapping!O$3,'[1]TrialBalance (Quarter)'!$7:$7,0)),0)</f>
        <v>0</v>
      </c>
    </row>
    <row r="37" spans="1:15">
      <c r="A37" s="2">
        <v>101</v>
      </c>
      <c r="B37" s="3">
        <v>101840</v>
      </c>
      <c r="C37" s="11" t="s">
        <v>36</v>
      </c>
      <c r="D37" s="11" t="s">
        <v>11</v>
      </c>
      <c r="E37" s="11"/>
      <c r="F37" s="5" t="e">
        <f>IF(DataExtraction="Manual",SUMIF('[1]TrialBalance (YTD)'!$C:$C,B37,'[1]TrialBalance (YTD)'!$E:$E),SUMIF('[1]TrialBalance (YTD)'!$G:$G,B37,'[1]TrialBalance (YTD)'!$I:$I))</f>
        <v>#VALUE!</v>
      </c>
      <c r="G37" s="5">
        <f>IFERROR(INDEX('[1]TrialBalance (YTD)'!$G:$S,MATCH([1]TBMapping!$C39,'[1]TrialBalance (YTD)'!G:G,0),MATCH([1]TBMapping!H$3,'[1]TrialBalance (YTD)'!$G$7:$Z$7,0)),0)</f>
        <v>0</v>
      </c>
      <c r="H37" s="5" t="e">
        <f>SUMIF('[1]TrialBalance (YTD)'!G:G,B37,'[1]TrialBalance (YTD)'!H:H)</f>
        <v>#VALUE!</v>
      </c>
      <c r="I37" s="5">
        <f>IFERROR(INDEX('[1]TrialBalance (YTD)'!$G:$S,MATCH([1]TBMapping!$C39,'[1]TrialBalance (YTD)'!G:G,0),MATCH([1]TBMapping!J$3,'[1]TrialBalance (YTD)'!$G$7:$Z$7,0)),0)</f>
        <v>0</v>
      </c>
      <c r="K37" s="5" t="e">
        <f>SUMIF('[1]TrialBalance (Quarter)'!$A:$A,B37,'[1]TrialBalance (Quarter)'!$B:$B)</f>
        <v>#VALUE!</v>
      </c>
      <c r="L37" s="5">
        <f>IFERROR(INDEX('[1]TrialBalance (Quarter)'!$A:$L,MATCH([1]TBMapping!$C39,'[1]TrialBalance (Quarter)'!A:A,0),MATCH([1]TBMapping!M$3,'[1]TrialBalance (Quarter)'!$7:$7,0)),0)</f>
        <v>0</v>
      </c>
      <c r="M37" s="5">
        <f>IFERROR(INDEX('[1]TrialBalance (Quarter)'!$A:$L,MATCH([1]TBMapping!$C39,'[1]TrialBalance (Quarter)'!A:A,0),MATCH([1]TBMapping!N$3,'[1]TrialBalance (Quarter)'!$7:$7,0)),0)</f>
        <v>0</v>
      </c>
      <c r="N37" s="5">
        <f>IFERROR(INDEX('[1]TrialBalance (Quarter)'!$A:$L,MATCH([1]TBMapping!$C39,'[1]TrialBalance (Quarter)'!A:A,0),MATCH([1]TBMapping!O$3,'[1]TrialBalance (Quarter)'!$7:$7,0)),0)</f>
        <v>0</v>
      </c>
    </row>
    <row r="38" spans="1:15">
      <c r="B38" s="3">
        <v>101999</v>
      </c>
      <c r="C38" s="10" t="s">
        <v>37</v>
      </c>
      <c r="D38" s="10" t="s">
        <v>16</v>
      </c>
      <c r="E38" s="10"/>
      <c r="F38" s="5" t="e">
        <f>IF(DataExtraction="Manual",SUMIF('[1]TrialBalance (YTD)'!$C:$C,B38,'[1]TrialBalance (YTD)'!$E:$E),SUMIF('[1]TrialBalance (YTD)'!$G:$G,B38,'[1]TrialBalance (YTD)'!$I:$I))</f>
        <v>#VALUE!</v>
      </c>
      <c r="G38" s="5">
        <f>IFERROR(INDEX('[1]TrialBalance (YTD)'!$G:$S,MATCH([1]TBMapping!$C40,'[1]TrialBalance (YTD)'!G:G,0),MATCH([1]TBMapping!H$3,'[1]TrialBalance (YTD)'!$G$7:$Z$7,0)),0)</f>
        <v>0</v>
      </c>
      <c r="H38" s="5" t="e">
        <f>SUMIF('[1]TrialBalance (YTD)'!G:G,B38,'[1]TrialBalance (YTD)'!H:H)</f>
        <v>#VALUE!</v>
      </c>
      <c r="I38" s="5">
        <f>IFERROR(INDEX('[1]TrialBalance (YTD)'!$G:$S,MATCH([1]TBMapping!$C40,'[1]TrialBalance (YTD)'!G:G,0),MATCH([1]TBMapping!J$3,'[1]TrialBalance (YTD)'!$G$7:$Z$7,0)),0)</f>
        <v>0</v>
      </c>
      <c r="K38" s="5" t="e">
        <f>SUMIF('[1]TrialBalance (Quarter)'!$A:$A,B38,'[1]TrialBalance (Quarter)'!$B:$B)</f>
        <v>#VALUE!</v>
      </c>
      <c r="L38" s="5">
        <f>IFERROR(INDEX('[1]TrialBalance (Quarter)'!$A:$L,MATCH([1]TBMapping!$C40,'[1]TrialBalance (Quarter)'!A:A,0),MATCH([1]TBMapping!M$3,'[1]TrialBalance (Quarter)'!$7:$7,0)),0)</f>
        <v>0</v>
      </c>
      <c r="M38" s="5">
        <f>IFERROR(INDEX('[1]TrialBalance (Quarter)'!$A:$L,MATCH([1]TBMapping!$C40,'[1]TrialBalance (Quarter)'!A:A,0),MATCH([1]TBMapping!N$3,'[1]TrialBalance (Quarter)'!$7:$7,0)),0)</f>
        <v>0</v>
      </c>
      <c r="N38" s="5">
        <f>IFERROR(INDEX('[1]TrialBalance (Quarter)'!$A:$L,MATCH([1]TBMapping!$C40,'[1]TrialBalance (Quarter)'!A:A,0),MATCH([1]TBMapping!O$3,'[1]TrialBalance (Quarter)'!$7:$7,0)),0)</f>
        <v>0</v>
      </c>
    </row>
    <row r="39" spans="1:15">
      <c r="B39" s="3">
        <v>102000</v>
      </c>
      <c r="C39" s="11" t="s">
        <v>38</v>
      </c>
      <c r="D39" s="11" t="s">
        <v>5</v>
      </c>
      <c r="E39" s="11"/>
      <c r="F39" s="5" t="e">
        <f>IF(DataExtraction="Manual",SUMIF('[1]TrialBalance (YTD)'!$C:$C,B39,'[1]TrialBalance (YTD)'!$E:$E),SUMIF('[1]TrialBalance (YTD)'!$G:$G,B39,'[1]TrialBalance (YTD)'!$I:$I))</f>
        <v>#VALUE!</v>
      </c>
      <c r="G39" s="5">
        <f>IFERROR(INDEX('[1]TrialBalance (YTD)'!$G:$S,MATCH([1]TBMapping!$C41,'[1]TrialBalance (YTD)'!G:G,0),MATCH([1]TBMapping!H$3,'[1]TrialBalance (YTD)'!$G$7:$Z$7,0)),0)</f>
        <v>0</v>
      </c>
      <c r="H39" s="5" t="e">
        <f>SUMIF('[1]TrialBalance (YTD)'!G:G,B39,'[1]TrialBalance (YTD)'!H:H)</f>
        <v>#VALUE!</v>
      </c>
      <c r="I39" s="5">
        <f>IFERROR(INDEX('[1]TrialBalance (YTD)'!$G:$S,MATCH([1]TBMapping!$C41,'[1]TrialBalance (YTD)'!G:G,0),MATCH([1]TBMapping!J$3,'[1]TrialBalance (YTD)'!$G$7:$Z$7,0)),0)</f>
        <v>0</v>
      </c>
      <c r="K39" s="5" t="e">
        <f>SUMIF('[1]TrialBalance (Quarter)'!$A:$A,B39,'[1]TrialBalance (Quarter)'!$B:$B)</f>
        <v>#VALUE!</v>
      </c>
      <c r="L39" s="5">
        <f>IFERROR(INDEX('[1]TrialBalance (Quarter)'!$A:$L,MATCH([1]TBMapping!$C41,'[1]TrialBalance (Quarter)'!A:A,0),MATCH([1]TBMapping!M$3,'[1]TrialBalance (Quarter)'!$7:$7,0)),0)</f>
        <v>0</v>
      </c>
      <c r="M39" s="5">
        <f>IFERROR(INDEX('[1]TrialBalance (Quarter)'!$A:$L,MATCH([1]TBMapping!$C41,'[1]TrialBalance (Quarter)'!A:A,0),MATCH([1]TBMapping!N$3,'[1]TrialBalance (Quarter)'!$7:$7,0)),0)</f>
        <v>0</v>
      </c>
      <c r="N39" s="5">
        <f>IFERROR(INDEX('[1]TrialBalance (Quarter)'!$A:$L,MATCH([1]TBMapping!$C41,'[1]TrialBalance (Quarter)'!A:A,0),MATCH([1]TBMapping!O$3,'[1]TrialBalance (Quarter)'!$7:$7,0)),0)</f>
        <v>0</v>
      </c>
    </row>
    <row r="40" spans="1:15">
      <c r="A40" s="2">
        <v>101</v>
      </c>
      <c r="B40" s="3">
        <v>102110</v>
      </c>
      <c r="C40" s="10" t="s">
        <v>39</v>
      </c>
      <c r="D40" s="10" t="s">
        <v>11</v>
      </c>
      <c r="E40" s="10"/>
      <c r="F40" s="5" t="e">
        <f>IF(DataExtraction="Manual",SUMIF('[1]TrialBalance (YTD)'!$C:$C,B40,'[1]TrialBalance (YTD)'!$E:$E),SUMIF('[1]TrialBalance (YTD)'!$G:$G,B40,'[1]TrialBalance (YTD)'!$I:$I))</f>
        <v>#VALUE!</v>
      </c>
      <c r="G40" s="5">
        <f>IFERROR(INDEX('[1]TrialBalance (YTD)'!$G:$S,MATCH([1]TBMapping!$C42,'[1]TrialBalance (YTD)'!G:G,0),MATCH([1]TBMapping!H$3,'[1]TrialBalance (YTD)'!$G$7:$Z$7,0)),0)</f>
        <v>0</v>
      </c>
      <c r="H40" s="5" t="e">
        <f>SUMIF('[1]TrialBalance (YTD)'!G:G,B40,'[1]TrialBalance (YTD)'!H:H)</f>
        <v>#VALUE!</v>
      </c>
      <c r="I40" s="5">
        <f>IFERROR(INDEX('[1]TrialBalance (YTD)'!$G:$S,MATCH([1]TBMapping!$C42,'[1]TrialBalance (YTD)'!G:G,0),MATCH([1]TBMapping!J$3,'[1]TrialBalance (YTD)'!$G$7:$Z$7,0)),0)</f>
        <v>0</v>
      </c>
      <c r="K40" s="5" t="e">
        <f>SUMIF('[1]TrialBalance (Quarter)'!$A:$A,B40,'[1]TrialBalance (Quarter)'!$B:$B)</f>
        <v>#VALUE!</v>
      </c>
      <c r="L40" s="5">
        <f>IFERROR(INDEX('[1]TrialBalance (Quarter)'!$A:$L,MATCH([1]TBMapping!$C42,'[1]TrialBalance (Quarter)'!A:A,0),MATCH([1]TBMapping!M$3,'[1]TrialBalance (Quarter)'!$7:$7,0)),0)</f>
        <v>0</v>
      </c>
      <c r="M40" s="5">
        <f>IFERROR(INDEX('[1]TrialBalance (Quarter)'!$A:$L,MATCH([1]TBMapping!$C42,'[1]TrialBalance (Quarter)'!A:A,0),MATCH([1]TBMapping!N$3,'[1]TrialBalance (Quarter)'!$7:$7,0)),0)</f>
        <v>0</v>
      </c>
      <c r="N40" s="5">
        <f>IFERROR(INDEX('[1]TrialBalance (Quarter)'!$A:$L,MATCH([1]TBMapping!$C42,'[1]TrialBalance (Quarter)'!A:A,0),MATCH([1]TBMapping!O$3,'[1]TrialBalance (Quarter)'!$7:$7,0)),0)</f>
        <v>0</v>
      </c>
      <c r="O40" s="4"/>
    </row>
    <row r="41" spans="1:15">
      <c r="A41" s="2">
        <v>101</v>
      </c>
      <c r="B41" s="3">
        <v>102111</v>
      </c>
      <c r="C41" s="11" t="s">
        <v>40</v>
      </c>
      <c r="D41" s="11" t="s">
        <v>11</v>
      </c>
      <c r="E41" s="11"/>
      <c r="F41" s="5" t="e">
        <f>IF(DataExtraction="Manual",SUMIF('[1]TrialBalance (YTD)'!$C:$C,B41,'[1]TrialBalance (YTD)'!$E:$E),SUMIF('[1]TrialBalance (YTD)'!$G:$G,B41,'[1]TrialBalance (YTD)'!$I:$I))</f>
        <v>#VALUE!</v>
      </c>
      <c r="G41" s="5">
        <f>IFERROR(INDEX('[1]TrialBalance (YTD)'!$G:$S,MATCH([1]TBMapping!$C43,'[1]TrialBalance (YTD)'!G:G,0),MATCH([1]TBMapping!H$3,'[1]TrialBalance (YTD)'!$G$7:$Z$7,0)),0)</f>
        <v>0</v>
      </c>
      <c r="H41" s="5" t="e">
        <f>SUMIF('[1]TrialBalance (YTD)'!G:G,B41,'[1]TrialBalance (YTD)'!H:H)</f>
        <v>#VALUE!</v>
      </c>
      <c r="I41" s="5">
        <f>IFERROR(INDEX('[1]TrialBalance (YTD)'!$G:$S,MATCH([1]TBMapping!$C43,'[1]TrialBalance (YTD)'!G:G,0),MATCH([1]TBMapping!J$3,'[1]TrialBalance (YTD)'!$G$7:$Z$7,0)),0)</f>
        <v>1500770.1</v>
      </c>
      <c r="K41" s="5" t="e">
        <f>SUMIF('[1]TrialBalance (Quarter)'!$A:$A,B41,'[1]TrialBalance (Quarter)'!$B:$B)</f>
        <v>#VALUE!</v>
      </c>
      <c r="L41" s="5">
        <f>IFERROR(INDEX('[1]TrialBalance (Quarter)'!$A:$L,MATCH([1]TBMapping!$C43,'[1]TrialBalance (Quarter)'!A:A,0),MATCH([1]TBMapping!M$3,'[1]TrialBalance (Quarter)'!$7:$7,0)),0)</f>
        <v>0</v>
      </c>
      <c r="M41" s="5">
        <f>IFERROR(INDEX('[1]TrialBalance (Quarter)'!$A:$L,MATCH([1]TBMapping!$C43,'[1]TrialBalance (Quarter)'!A:A,0),MATCH([1]TBMapping!N$3,'[1]TrialBalance (Quarter)'!$7:$7,0)),0)</f>
        <v>545979.53</v>
      </c>
      <c r="N41" s="5">
        <f>IFERROR(INDEX('[1]TrialBalance (Quarter)'!$A:$L,MATCH([1]TBMapping!$C43,'[1]TrialBalance (Quarter)'!A:A,0),MATCH([1]TBMapping!O$3,'[1]TrialBalance (Quarter)'!$7:$7,0)),0)</f>
        <v>692680.38</v>
      </c>
    </row>
    <row r="42" spans="1:15">
      <c r="A42" s="2">
        <v>101</v>
      </c>
      <c r="B42" s="3">
        <v>102112</v>
      </c>
      <c r="C42" s="11" t="s">
        <v>41</v>
      </c>
      <c r="D42" s="11" t="s">
        <v>11</v>
      </c>
      <c r="E42" s="11"/>
      <c r="F42" s="5" t="e">
        <f>IF(DataExtraction="Manual",SUMIF('[1]TrialBalance (YTD)'!$C:$C,B42,'[1]TrialBalance (YTD)'!$E:$E),SUMIF('[1]TrialBalance (YTD)'!$G:$G,B42,'[1]TrialBalance (YTD)'!$I:$I))</f>
        <v>#VALUE!</v>
      </c>
      <c r="G42" s="5">
        <f>IFERROR(INDEX('[1]TrialBalance (YTD)'!$G:$S,MATCH([1]TBMapping!$C44,'[1]TrialBalance (YTD)'!G:G,0),MATCH([1]TBMapping!H$3,'[1]TrialBalance (YTD)'!$G$7:$Z$7,0)),0)</f>
        <v>0</v>
      </c>
      <c r="H42" s="5" t="e">
        <f>SUMIF('[1]TrialBalance (YTD)'!G:G,B42,'[1]TrialBalance (YTD)'!H:H)</f>
        <v>#VALUE!</v>
      </c>
      <c r="I42" s="5">
        <f>IFERROR(INDEX('[1]TrialBalance (YTD)'!$G:$S,MATCH([1]TBMapping!$C44,'[1]TrialBalance (YTD)'!G:G,0),MATCH([1]TBMapping!J$3,'[1]TrialBalance (YTD)'!$G$7:$Z$7,0)),0)</f>
        <v>0</v>
      </c>
      <c r="K42" s="5" t="e">
        <f>SUMIF('[1]TrialBalance (Quarter)'!$A:$A,B42,'[1]TrialBalance (Quarter)'!$B:$B)</f>
        <v>#VALUE!</v>
      </c>
      <c r="L42" s="5">
        <f>IFERROR(INDEX('[1]TrialBalance (Quarter)'!$A:$L,MATCH([1]TBMapping!$C44,'[1]TrialBalance (Quarter)'!A:A,0),MATCH([1]TBMapping!M$3,'[1]TrialBalance (Quarter)'!$7:$7,0)),0)</f>
        <v>0</v>
      </c>
      <c r="M42" s="5">
        <f>IFERROR(INDEX('[1]TrialBalance (Quarter)'!$A:$L,MATCH([1]TBMapping!$C44,'[1]TrialBalance (Quarter)'!A:A,0),MATCH([1]TBMapping!N$3,'[1]TrialBalance (Quarter)'!$7:$7,0)),0)</f>
        <v>0</v>
      </c>
      <c r="N42" s="5">
        <f>IFERROR(INDEX('[1]TrialBalance (Quarter)'!$A:$L,MATCH([1]TBMapping!$C44,'[1]TrialBalance (Quarter)'!A:A,0),MATCH([1]TBMapping!O$3,'[1]TrialBalance (Quarter)'!$7:$7,0)),0)</f>
        <v>0</v>
      </c>
    </row>
    <row r="43" spans="1:15">
      <c r="A43" s="2">
        <v>101</v>
      </c>
      <c r="B43" s="3">
        <v>102120</v>
      </c>
      <c r="C43" s="10" t="s">
        <v>42</v>
      </c>
      <c r="D43" s="10" t="s">
        <v>11</v>
      </c>
      <c r="E43" s="10"/>
      <c r="F43" s="5" t="e">
        <f>IF(DataExtraction="Manual",SUMIF('[1]TrialBalance (YTD)'!$C:$C,B43,'[1]TrialBalance (YTD)'!$E:$E),SUMIF('[1]TrialBalance (YTD)'!$G:$G,B43,'[1]TrialBalance (YTD)'!$I:$I))</f>
        <v>#VALUE!</v>
      </c>
      <c r="G43" s="5">
        <f>IFERROR(INDEX('[1]TrialBalance (YTD)'!$G:$S,MATCH([1]TBMapping!$C45,'[1]TrialBalance (YTD)'!G:G,0),MATCH([1]TBMapping!H$3,'[1]TrialBalance (YTD)'!$G$7:$Z$7,0)),0)</f>
        <v>0</v>
      </c>
      <c r="H43" s="5" t="e">
        <f>SUMIF('[1]TrialBalance (YTD)'!G:G,B43,'[1]TrialBalance (YTD)'!H:H)</f>
        <v>#VALUE!</v>
      </c>
      <c r="I43" s="5">
        <f>IFERROR(INDEX('[1]TrialBalance (YTD)'!$G:$S,MATCH([1]TBMapping!$C45,'[1]TrialBalance (YTD)'!G:G,0),MATCH([1]TBMapping!J$3,'[1]TrialBalance (YTD)'!$G$7:$Z$7,0)),0)</f>
        <v>-17246851.050000001</v>
      </c>
      <c r="K43" s="5" t="e">
        <f>SUMIF('[1]TrialBalance (Quarter)'!$A:$A,B43,'[1]TrialBalance (Quarter)'!$B:$B)</f>
        <v>#VALUE!</v>
      </c>
      <c r="L43" s="5">
        <f>IFERROR(INDEX('[1]TrialBalance (Quarter)'!$A:$L,MATCH([1]TBMapping!$C45,'[1]TrialBalance (Quarter)'!A:A,0),MATCH([1]TBMapping!M$3,'[1]TrialBalance (Quarter)'!$7:$7,0)),0)</f>
        <v>0</v>
      </c>
      <c r="M43" s="5">
        <f>IFERROR(INDEX('[1]TrialBalance (Quarter)'!$A:$L,MATCH([1]TBMapping!$C45,'[1]TrialBalance (Quarter)'!A:A,0),MATCH([1]TBMapping!N$3,'[1]TrialBalance (Quarter)'!$7:$7,0)),0)</f>
        <v>-5886261.2400000002</v>
      </c>
      <c r="N43" s="5">
        <f>IFERROR(INDEX('[1]TrialBalance (Quarter)'!$A:$L,MATCH([1]TBMapping!$C45,'[1]TrialBalance (Quarter)'!A:A,0),MATCH([1]TBMapping!O$3,'[1]TrialBalance (Quarter)'!$7:$7,0)),0)</f>
        <v>-7553823.71</v>
      </c>
    </row>
    <row r="44" spans="1:15">
      <c r="A44" s="2">
        <v>101</v>
      </c>
      <c r="B44" s="3">
        <v>102121</v>
      </c>
      <c r="C44" s="11" t="s">
        <v>43</v>
      </c>
      <c r="D44" s="11" t="s">
        <v>11</v>
      </c>
      <c r="E44" s="11"/>
      <c r="F44" s="5" t="e">
        <f>IF(DataExtraction="Manual",SUMIF('[1]TrialBalance (YTD)'!$C:$C,B44,'[1]TrialBalance (YTD)'!$E:$E),SUMIF('[1]TrialBalance (YTD)'!$G:$G,B44,'[1]TrialBalance (YTD)'!$I:$I))</f>
        <v>#VALUE!</v>
      </c>
      <c r="G44" s="5">
        <f>IFERROR(INDEX('[1]TrialBalance (YTD)'!$G:$S,MATCH([1]TBMapping!$C46,'[1]TrialBalance (YTD)'!G:G,0),MATCH([1]TBMapping!H$3,'[1]TrialBalance (YTD)'!$G$7:$Z$7,0)),0)</f>
        <v>0</v>
      </c>
      <c r="H44" s="5" t="e">
        <f>SUMIF('[1]TrialBalance (YTD)'!G:G,B44,'[1]TrialBalance (YTD)'!H:H)</f>
        <v>#VALUE!</v>
      </c>
      <c r="I44" s="5">
        <f>IFERROR(INDEX('[1]TrialBalance (YTD)'!$G:$S,MATCH([1]TBMapping!$C46,'[1]TrialBalance (YTD)'!G:G,0),MATCH([1]TBMapping!J$3,'[1]TrialBalance (YTD)'!$G$7:$Z$7,0)),0)</f>
        <v>0</v>
      </c>
      <c r="K44" s="5" t="e">
        <f>SUMIF('[1]TrialBalance (Quarter)'!$A:$A,B44,'[1]TrialBalance (Quarter)'!$B:$B)</f>
        <v>#VALUE!</v>
      </c>
      <c r="L44" s="5">
        <f>IFERROR(INDEX('[1]TrialBalance (Quarter)'!$A:$L,MATCH([1]TBMapping!$C46,'[1]TrialBalance (Quarter)'!A:A,0),MATCH([1]TBMapping!M$3,'[1]TrialBalance (Quarter)'!$7:$7,0)),0)</f>
        <v>0</v>
      </c>
      <c r="M44" s="5">
        <f>IFERROR(INDEX('[1]TrialBalance (Quarter)'!$A:$L,MATCH([1]TBMapping!$C46,'[1]TrialBalance (Quarter)'!A:A,0),MATCH([1]TBMapping!N$3,'[1]TrialBalance (Quarter)'!$7:$7,0)),0)</f>
        <v>0</v>
      </c>
      <c r="N44" s="5">
        <f>IFERROR(INDEX('[1]TrialBalance (Quarter)'!$A:$L,MATCH([1]TBMapping!$C46,'[1]TrialBalance (Quarter)'!A:A,0),MATCH([1]TBMapping!O$3,'[1]TrialBalance (Quarter)'!$7:$7,0)),0)</f>
        <v>0</v>
      </c>
    </row>
    <row r="45" spans="1:15">
      <c r="A45" s="2">
        <v>101</v>
      </c>
      <c r="B45" s="3">
        <v>102210</v>
      </c>
      <c r="C45" s="10" t="s">
        <v>44</v>
      </c>
      <c r="D45" s="10" t="s">
        <v>11</v>
      </c>
      <c r="E45" s="10"/>
      <c r="F45" s="5" t="e">
        <f>IF(DataExtraction="Manual",SUMIF('[1]TrialBalance (YTD)'!$C:$C,B45,'[1]TrialBalance (YTD)'!$E:$E),SUMIF('[1]TrialBalance (YTD)'!$G:$G,B45,'[1]TrialBalance (YTD)'!$I:$I))</f>
        <v>#VALUE!</v>
      </c>
      <c r="G45" s="5">
        <f>IFERROR(INDEX('[1]TrialBalance (YTD)'!$G:$S,MATCH([1]TBMapping!$C47,'[1]TrialBalance (YTD)'!G:G,0),MATCH([1]TBMapping!H$3,'[1]TrialBalance (YTD)'!$G$7:$Z$7,0)),0)</f>
        <v>0</v>
      </c>
      <c r="H45" s="5" t="e">
        <f>SUMIF('[1]TrialBalance (YTD)'!G:G,B45,'[1]TrialBalance (YTD)'!H:H)</f>
        <v>#VALUE!</v>
      </c>
      <c r="I45" s="5">
        <f>IFERROR(INDEX('[1]TrialBalance (YTD)'!$G:$S,MATCH([1]TBMapping!$C47,'[1]TrialBalance (YTD)'!G:G,0),MATCH([1]TBMapping!J$3,'[1]TrialBalance (YTD)'!$G$7:$Z$7,0)),0)</f>
        <v>0</v>
      </c>
      <c r="K45" s="5" t="e">
        <f>SUMIF('[1]TrialBalance (Quarter)'!$A:$A,B45,'[1]TrialBalance (Quarter)'!$B:$B)</f>
        <v>#VALUE!</v>
      </c>
      <c r="L45" s="5">
        <f>IFERROR(INDEX('[1]TrialBalance (Quarter)'!$A:$L,MATCH([1]TBMapping!$C47,'[1]TrialBalance (Quarter)'!A:A,0),MATCH([1]TBMapping!M$3,'[1]TrialBalance (Quarter)'!$7:$7,0)),0)</f>
        <v>0</v>
      </c>
      <c r="M45" s="5">
        <f>IFERROR(INDEX('[1]TrialBalance (Quarter)'!$A:$L,MATCH([1]TBMapping!$C47,'[1]TrialBalance (Quarter)'!A:A,0),MATCH([1]TBMapping!N$3,'[1]TrialBalance (Quarter)'!$7:$7,0)),0)</f>
        <v>0</v>
      </c>
      <c r="N45" s="5">
        <f>IFERROR(INDEX('[1]TrialBalance (Quarter)'!$A:$L,MATCH([1]TBMapping!$C47,'[1]TrialBalance (Quarter)'!A:A,0),MATCH([1]TBMapping!O$3,'[1]TrialBalance (Quarter)'!$7:$7,0)),0)</f>
        <v>0</v>
      </c>
    </row>
    <row r="46" spans="1:15">
      <c r="A46" s="2">
        <v>101</v>
      </c>
      <c r="B46" s="3">
        <v>102220</v>
      </c>
      <c r="C46" s="11" t="s">
        <v>45</v>
      </c>
      <c r="D46" s="11" t="s">
        <v>11</v>
      </c>
      <c r="E46" s="11"/>
      <c r="F46" s="5" t="e">
        <f>IF(DataExtraction="Manual",SUMIF('[1]TrialBalance (YTD)'!$C:$C,B46,'[1]TrialBalance (YTD)'!$E:$E),SUMIF('[1]TrialBalance (YTD)'!$G:$G,B46,'[1]TrialBalance (YTD)'!$I:$I))</f>
        <v>#VALUE!</v>
      </c>
      <c r="G46" s="5">
        <f>IFERROR(INDEX('[1]TrialBalance (YTD)'!$G:$S,MATCH([1]TBMapping!$C48,'[1]TrialBalance (YTD)'!G:G,0),MATCH([1]TBMapping!H$3,'[1]TrialBalance (YTD)'!$G$7:$Z$7,0)),0)</f>
        <v>0</v>
      </c>
      <c r="H46" s="5" t="e">
        <f>SUMIF('[1]TrialBalance (YTD)'!G:G,B46,'[1]TrialBalance (YTD)'!H:H)</f>
        <v>#VALUE!</v>
      </c>
      <c r="I46" s="5">
        <f>IFERROR(INDEX('[1]TrialBalance (YTD)'!$G:$S,MATCH([1]TBMapping!$C48,'[1]TrialBalance (YTD)'!G:G,0),MATCH([1]TBMapping!J$3,'[1]TrialBalance (YTD)'!$G$7:$Z$7,0)),0)</f>
        <v>0</v>
      </c>
      <c r="K46" s="5" t="e">
        <f>SUMIF('[1]TrialBalance (Quarter)'!$A:$A,B46,'[1]TrialBalance (Quarter)'!$B:$B)</f>
        <v>#VALUE!</v>
      </c>
      <c r="L46" s="5">
        <f>IFERROR(INDEX('[1]TrialBalance (Quarter)'!$A:$L,MATCH([1]TBMapping!$C48,'[1]TrialBalance (Quarter)'!A:A,0),MATCH([1]TBMapping!M$3,'[1]TrialBalance (Quarter)'!$7:$7,0)),0)</f>
        <v>0</v>
      </c>
      <c r="M46" s="5">
        <f>IFERROR(INDEX('[1]TrialBalance (Quarter)'!$A:$L,MATCH([1]TBMapping!$C48,'[1]TrialBalance (Quarter)'!A:A,0),MATCH([1]TBMapping!N$3,'[1]TrialBalance (Quarter)'!$7:$7,0)),0)</f>
        <v>0</v>
      </c>
      <c r="N46" s="5">
        <f>IFERROR(INDEX('[1]TrialBalance (Quarter)'!$A:$L,MATCH([1]TBMapping!$C48,'[1]TrialBalance (Quarter)'!A:A,0),MATCH([1]TBMapping!O$3,'[1]TrialBalance (Quarter)'!$7:$7,0)),0)</f>
        <v>0</v>
      </c>
    </row>
    <row r="47" spans="1:15">
      <c r="A47" s="2">
        <v>101</v>
      </c>
      <c r="B47" s="3">
        <v>102221</v>
      </c>
      <c r="C47" s="10" t="s">
        <v>46</v>
      </c>
      <c r="D47" s="10" t="s">
        <v>11</v>
      </c>
      <c r="E47" s="10"/>
      <c r="F47" s="5" t="e">
        <f>IF(DataExtraction="Manual",SUMIF('[1]TrialBalance (YTD)'!$C:$C,B47,'[1]TrialBalance (YTD)'!$E:$E),SUMIF('[1]TrialBalance (YTD)'!$G:$G,B47,'[1]TrialBalance (YTD)'!$I:$I))</f>
        <v>#VALUE!</v>
      </c>
      <c r="G47" s="5">
        <f>IFERROR(INDEX('[1]TrialBalance (YTD)'!$G:$S,MATCH([1]TBMapping!$C49,'[1]TrialBalance (YTD)'!G:G,0),MATCH([1]TBMapping!H$3,'[1]TrialBalance (YTD)'!$G$7:$Z$7,0)),0)</f>
        <v>0</v>
      </c>
      <c r="H47" s="5" t="e">
        <f>SUMIF('[1]TrialBalance (YTD)'!G:G,B47,'[1]TrialBalance (YTD)'!H:H)</f>
        <v>#VALUE!</v>
      </c>
      <c r="I47" s="5">
        <f>IFERROR(INDEX('[1]TrialBalance (YTD)'!$G:$S,MATCH([1]TBMapping!$C49,'[1]TrialBalance (YTD)'!G:G,0),MATCH([1]TBMapping!J$3,'[1]TrialBalance (YTD)'!$G$7:$Z$7,0)),0)</f>
        <v>0</v>
      </c>
      <c r="K47" s="5" t="e">
        <f>SUMIF('[1]TrialBalance (Quarter)'!$A:$A,B47,'[1]TrialBalance (Quarter)'!$B:$B)</f>
        <v>#VALUE!</v>
      </c>
      <c r="L47" s="5">
        <f>IFERROR(INDEX('[1]TrialBalance (Quarter)'!$A:$L,MATCH([1]TBMapping!$C49,'[1]TrialBalance (Quarter)'!A:A,0),MATCH([1]TBMapping!M$3,'[1]TrialBalance (Quarter)'!$7:$7,0)),0)</f>
        <v>0</v>
      </c>
      <c r="M47" s="5">
        <f>IFERROR(INDEX('[1]TrialBalance (Quarter)'!$A:$L,MATCH([1]TBMapping!$C49,'[1]TrialBalance (Quarter)'!A:A,0),MATCH([1]TBMapping!N$3,'[1]TrialBalance (Quarter)'!$7:$7,0)),0)</f>
        <v>0</v>
      </c>
      <c r="N47" s="5">
        <f>IFERROR(INDEX('[1]TrialBalance (Quarter)'!$A:$L,MATCH([1]TBMapping!$C49,'[1]TrialBalance (Quarter)'!A:A,0),MATCH([1]TBMapping!O$3,'[1]TrialBalance (Quarter)'!$7:$7,0)),0)</f>
        <v>0</v>
      </c>
    </row>
    <row r="48" spans="1:15">
      <c r="B48" s="3">
        <v>102222</v>
      </c>
      <c r="C48" s="11" t="s">
        <v>47</v>
      </c>
      <c r="D48" s="11" t="s">
        <v>11</v>
      </c>
      <c r="E48" s="11"/>
      <c r="F48" s="5" t="e">
        <f>IF(DataExtraction="Manual",SUMIF('[1]TrialBalance (YTD)'!$C:$C,B48,'[1]TrialBalance (YTD)'!$E:$E),SUMIF('[1]TrialBalance (YTD)'!$G:$G,B48,'[1]TrialBalance (YTD)'!$I:$I))</f>
        <v>#VALUE!</v>
      </c>
      <c r="G48" s="5">
        <f>IFERROR(INDEX('[1]TrialBalance (YTD)'!$G:$S,MATCH([1]TBMapping!$C50,'[1]TrialBalance (YTD)'!G:G,0),MATCH([1]TBMapping!H$3,'[1]TrialBalance (YTD)'!$G$7:$Z$7,0)),0)</f>
        <v>0</v>
      </c>
      <c r="H48" s="5" t="e">
        <f>SUMIF('[1]TrialBalance (YTD)'!G:G,B48,'[1]TrialBalance (YTD)'!H:H)</f>
        <v>#VALUE!</v>
      </c>
      <c r="I48" s="5">
        <f>IFERROR(INDEX('[1]TrialBalance (YTD)'!$G:$S,MATCH([1]TBMapping!$C50,'[1]TrialBalance (YTD)'!G:G,0),MATCH([1]TBMapping!J$3,'[1]TrialBalance (YTD)'!$G$7:$Z$7,0)),0)</f>
        <v>0</v>
      </c>
      <c r="K48" s="5" t="e">
        <f>SUMIF('[1]TrialBalance (Quarter)'!$A:$A,B48,'[1]TrialBalance (Quarter)'!$B:$B)</f>
        <v>#VALUE!</v>
      </c>
      <c r="L48" s="5">
        <f>IFERROR(INDEX('[1]TrialBalance (Quarter)'!$A:$L,MATCH([1]TBMapping!$C50,'[1]TrialBalance (Quarter)'!A:A,0),MATCH([1]TBMapping!M$3,'[1]TrialBalance (Quarter)'!$7:$7,0)),0)</f>
        <v>0</v>
      </c>
      <c r="M48" s="5">
        <f>IFERROR(INDEX('[1]TrialBalance (Quarter)'!$A:$L,MATCH([1]TBMapping!$C50,'[1]TrialBalance (Quarter)'!A:A,0),MATCH([1]TBMapping!N$3,'[1]TrialBalance (Quarter)'!$7:$7,0)),0)</f>
        <v>0</v>
      </c>
      <c r="N48" s="5">
        <f>IFERROR(INDEX('[1]TrialBalance (Quarter)'!$A:$L,MATCH([1]TBMapping!$C50,'[1]TrialBalance (Quarter)'!A:A,0),MATCH([1]TBMapping!O$3,'[1]TrialBalance (Quarter)'!$7:$7,0)),0)</f>
        <v>0</v>
      </c>
    </row>
    <row r="49" spans="1:14">
      <c r="A49" s="2">
        <v>101</v>
      </c>
      <c r="B49" s="3">
        <v>102310</v>
      </c>
      <c r="C49" s="10" t="s">
        <v>48</v>
      </c>
      <c r="D49" s="10" t="s">
        <v>11</v>
      </c>
      <c r="E49" s="10"/>
      <c r="F49" s="5" t="e">
        <f>IF(DataExtraction="Manual",SUMIF('[1]TrialBalance (YTD)'!$C:$C,B49,'[1]TrialBalance (YTD)'!$E:$E),SUMIF('[1]TrialBalance (YTD)'!$G:$G,B49,'[1]TrialBalance (YTD)'!$I:$I))</f>
        <v>#VALUE!</v>
      </c>
      <c r="G49" s="5">
        <f>IFERROR(INDEX('[1]TrialBalance (YTD)'!$G:$S,MATCH([1]TBMapping!$C51,'[1]TrialBalance (YTD)'!G:G,0),MATCH([1]TBMapping!H$3,'[1]TrialBalance (YTD)'!$G$7:$Z$7,0)),0)</f>
        <v>0</v>
      </c>
      <c r="H49" s="5" t="e">
        <f>SUMIF('[1]TrialBalance (YTD)'!G:G,B49,'[1]TrialBalance (YTD)'!H:H)</f>
        <v>#VALUE!</v>
      </c>
      <c r="I49" s="5">
        <f>IFERROR(INDEX('[1]TrialBalance (YTD)'!$G:$S,MATCH([1]TBMapping!$C51,'[1]TrialBalance (YTD)'!G:G,0),MATCH([1]TBMapping!J$3,'[1]TrialBalance (YTD)'!$G$7:$Z$7,0)),0)</f>
        <v>0</v>
      </c>
      <c r="K49" s="5" t="e">
        <f>SUMIF('[1]TrialBalance (Quarter)'!$A:$A,B49,'[1]TrialBalance (Quarter)'!$B:$B)</f>
        <v>#VALUE!</v>
      </c>
      <c r="L49" s="5">
        <f>IFERROR(INDEX('[1]TrialBalance (Quarter)'!$A:$L,MATCH([1]TBMapping!$C51,'[1]TrialBalance (Quarter)'!A:A,0),MATCH([1]TBMapping!M$3,'[1]TrialBalance (Quarter)'!$7:$7,0)),0)</f>
        <v>0</v>
      </c>
      <c r="M49" s="5">
        <f>IFERROR(INDEX('[1]TrialBalance (Quarter)'!$A:$L,MATCH([1]TBMapping!$C51,'[1]TrialBalance (Quarter)'!A:A,0),MATCH([1]TBMapping!N$3,'[1]TrialBalance (Quarter)'!$7:$7,0)),0)</f>
        <v>0</v>
      </c>
      <c r="N49" s="5">
        <f>IFERROR(INDEX('[1]TrialBalance (Quarter)'!$A:$L,MATCH([1]TBMapping!$C51,'[1]TrialBalance (Quarter)'!A:A,0),MATCH([1]TBMapping!O$3,'[1]TrialBalance (Quarter)'!$7:$7,0)),0)</f>
        <v>0</v>
      </c>
    </row>
    <row r="50" spans="1:14">
      <c r="A50" s="2">
        <v>101</v>
      </c>
      <c r="B50" s="3">
        <v>102311</v>
      </c>
      <c r="C50" s="10" t="s">
        <v>49</v>
      </c>
      <c r="D50" s="10" t="s">
        <v>11</v>
      </c>
      <c r="E50" s="10"/>
      <c r="F50" s="5" t="e">
        <f>IF(DataExtraction="Manual",SUMIF('[1]TrialBalance (YTD)'!$C:$C,B50,'[1]TrialBalance (YTD)'!$E:$E),SUMIF('[1]TrialBalance (YTD)'!$G:$G,B50,'[1]TrialBalance (YTD)'!$I:$I))</f>
        <v>#VALUE!</v>
      </c>
      <c r="G50" s="5">
        <f>IFERROR(INDEX('[1]TrialBalance (YTD)'!$G:$S,MATCH([1]TBMapping!$C52,'[1]TrialBalance (YTD)'!G:G,0),MATCH([1]TBMapping!H$3,'[1]TrialBalance (YTD)'!$G$7:$Z$7,0)),0)</f>
        <v>0</v>
      </c>
      <c r="H50" s="5" t="e">
        <f>SUMIF('[1]TrialBalance (YTD)'!G:G,B50,'[1]TrialBalance (YTD)'!H:H)</f>
        <v>#VALUE!</v>
      </c>
      <c r="I50" s="5">
        <f>IFERROR(INDEX('[1]TrialBalance (YTD)'!$G:$S,MATCH([1]TBMapping!$C52,'[1]TrialBalance (YTD)'!G:G,0),MATCH([1]TBMapping!J$3,'[1]TrialBalance (YTD)'!$G$7:$Z$7,0)),0)</f>
        <v>0</v>
      </c>
      <c r="K50" s="5" t="e">
        <f>SUMIF('[1]TrialBalance (Quarter)'!$A:$A,B50,'[1]TrialBalance (Quarter)'!$B:$B)</f>
        <v>#VALUE!</v>
      </c>
      <c r="L50" s="5">
        <f>IFERROR(INDEX('[1]TrialBalance (Quarter)'!$A:$L,MATCH([1]TBMapping!$C52,'[1]TrialBalance (Quarter)'!A:A,0),MATCH([1]TBMapping!M$3,'[1]TrialBalance (Quarter)'!$7:$7,0)),0)</f>
        <v>0</v>
      </c>
      <c r="M50" s="5">
        <f>IFERROR(INDEX('[1]TrialBalance (Quarter)'!$A:$L,MATCH([1]TBMapping!$C52,'[1]TrialBalance (Quarter)'!A:A,0),MATCH([1]TBMapping!N$3,'[1]TrialBalance (Quarter)'!$7:$7,0)),0)</f>
        <v>0</v>
      </c>
      <c r="N50" s="5">
        <f>IFERROR(INDEX('[1]TrialBalance (Quarter)'!$A:$L,MATCH([1]TBMapping!$C52,'[1]TrialBalance (Quarter)'!A:A,0),MATCH([1]TBMapping!O$3,'[1]TrialBalance (Quarter)'!$7:$7,0)),0)</f>
        <v>0</v>
      </c>
    </row>
    <row r="51" spans="1:14">
      <c r="B51" s="3">
        <v>102500</v>
      </c>
      <c r="C51" s="11" t="s">
        <v>50</v>
      </c>
      <c r="D51" s="11" t="s">
        <v>5</v>
      </c>
      <c r="E51" s="11"/>
      <c r="F51" s="5" t="e">
        <f>IF(DataExtraction="Manual",SUMIF('[1]TrialBalance (YTD)'!$C:$C,B51,'[1]TrialBalance (YTD)'!$E:$E),SUMIF('[1]TrialBalance (YTD)'!$G:$G,B51,'[1]TrialBalance (YTD)'!$I:$I))</f>
        <v>#VALUE!</v>
      </c>
      <c r="G51" s="5">
        <f>IFERROR(INDEX('[1]TrialBalance (YTD)'!$G:$S,MATCH([1]TBMapping!$C53,'[1]TrialBalance (YTD)'!G:G,0),MATCH([1]TBMapping!H$3,'[1]TrialBalance (YTD)'!$G$7:$Z$7,0)),0)</f>
        <v>0</v>
      </c>
      <c r="H51" s="5" t="e">
        <f>SUMIF('[1]TrialBalance (YTD)'!G:G,B51,'[1]TrialBalance (YTD)'!H:H)</f>
        <v>#VALUE!</v>
      </c>
      <c r="I51" s="5">
        <f>IFERROR(INDEX('[1]TrialBalance (YTD)'!$G:$S,MATCH([1]TBMapping!$C53,'[1]TrialBalance (YTD)'!G:G,0),MATCH([1]TBMapping!J$3,'[1]TrialBalance (YTD)'!$G$7:$Z$7,0)),0)</f>
        <v>0</v>
      </c>
      <c r="K51" s="5" t="e">
        <f>SUMIF('[1]TrialBalance (Quarter)'!$A:$A,B51,'[1]TrialBalance (Quarter)'!$B:$B)</f>
        <v>#VALUE!</v>
      </c>
      <c r="L51" s="5">
        <f>IFERROR(INDEX('[1]TrialBalance (Quarter)'!$A:$L,MATCH([1]TBMapping!$C53,'[1]TrialBalance (Quarter)'!A:A,0),MATCH([1]TBMapping!M$3,'[1]TrialBalance (Quarter)'!$7:$7,0)),0)</f>
        <v>0</v>
      </c>
      <c r="M51" s="5">
        <f>IFERROR(INDEX('[1]TrialBalance (Quarter)'!$A:$L,MATCH([1]TBMapping!$C53,'[1]TrialBalance (Quarter)'!A:A,0),MATCH([1]TBMapping!N$3,'[1]TrialBalance (Quarter)'!$7:$7,0)),0)</f>
        <v>0</v>
      </c>
      <c r="N51" s="5">
        <f>IFERROR(INDEX('[1]TrialBalance (Quarter)'!$A:$L,MATCH([1]TBMapping!$C53,'[1]TrialBalance (Quarter)'!A:A,0),MATCH([1]TBMapping!O$3,'[1]TrialBalance (Quarter)'!$7:$7,0)),0)</f>
        <v>0</v>
      </c>
    </row>
    <row r="52" spans="1:14">
      <c r="A52" s="2">
        <v>101</v>
      </c>
      <c r="B52" s="3">
        <v>102510</v>
      </c>
      <c r="C52" s="10" t="s">
        <v>51</v>
      </c>
      <c r="D52" s="10" t="s">
        <v>11</v>
      </c>
      <c r="E52" s="10"/>
      <c r="F52" s="5" t="e">
        <f>IF(DataExtraction="Manual",SUMIF('[1]TrialBalance (YTD)'!$C:$C,B52,'[1]TrialBalance (YTD)'!$E:$E),SUMIF('[1]TrialBalance (YTD)'!$G:$G,B52,'[1]TrialBalance (YTD)'!$I:$I))</f>
        <v>#VALUE!</v>
      </c>
      <c r="G52" s="5">
        <f>IFERROR(INDEX('[1]TrialBalance (YTD)'!$G:$S,MATCH([1]TBMapping!$C54,'[1]TrialBalance (YTD)'!G:G,0),MATCH([1]TBMapping!H$3,'[1]TrialBalance (YTD)'!$G$7:$Z$7,0)),0)</f>
        <v>0</v>
      </c>
      <c r="H52" s="5" t="e">
        <f>SUMIF('[1]TrialBalance (YTD)'!G:G,B52,'[1]TrialBalance (YTD)'!H:H)</f>
        <v>#VALUE!</v>
      </c>
      <c r="I52" s="5">
        <f>IFERROR(INDEX('[1]TrialBalance (YTD)'!$G:$S,MATCH([1]TBMapping!$C54,'[1]TrialBalance (YTD)'!G:G,0),MATCH([1]TBMapping!J$3,'[1]TrialBalance (YTD)'!$G$7:$Z$7,0)),0)</f>
        <v>0</v>
      </c>
      <c r="K52" s="5" t="e">
        <f>SUMIF('[1]TrialBalance (Quarter)'!$A:$A,B52,'[1]TrialBalance (Quarter)'!$B:$B)</f>
        <v>#VALUE!</v>
      </c>
      <c r="L52" s="5">
        <f>IFERROR(INDEX('[1]TrialBalance (Quarter)'!$A:$L,MATCH([1]TBMapping!$C54,'[1]TrialBalance (Quarter)'!A:A,0),MATCH([1]TBMapping!M$3,'[1]TrialBalance (Quarter)'!$7:$7,0)),0)</f>
        <v>0</v>
      </c>
      <c r="M52" s="5">
        <f>IFERROR(INDEX('[1]TrialBalance (Quarter)'!$A:$L,MATCH([1]TBMapping!$C54,'[1]TrialBalance (Quarter)'!A:A,0),MATCH([1]TBMapping!N$3,'[1]TrialBalance (Quarter)'!$7:$7,0)),0)</f>
        <v>0</v>
      </c>
      <c r="N52" s="5">
        <f>IFERROR(INDEX('[1]TrialBalance (Quarter)'!$A:$L,MATCH([1]TBMapping!$C54,'[1]TrialBalance (Quarter)'!A:A,0),MATCH([1]TBMapping!O$3,'[1]TrialBalance (Quarter)'!$7:$7,0)),0)</f>
        <v>0</v>
      </c>
    </row>
    <row r="53" spans="1:14">
      <c r="A53" s="2">
        <v>101</v>
      </c>
      <c r="B53" s="3">
        <v>102520</v>
      </c>
      <c r="C53" s="11" t="s">
        <v>52</v>
      </c>
      <c r="D53" s="11" t="s">
        <v>11</v>
      </c>
      <c r="E53" s="11"/>
      <c r="F53" s="5" t="e">
        <f>IF(DataExtraction="Manual",SUMIF('[1]TrialBalance (YTD)'!$C:$C,B53,'[1]TrialBalance (YTD)'!$E:$E),SUMIF('[1]TrialBalance (YTD)'!$G:$G,B53,'[1]TrialBalance (YTD)'!$I:$I))</f>
        <v>#VALUE!</v>
      </c>
      <c r="G53" s="5">
        <f>IFERROR(INDEX('[1]TrialBalance (YTD)'!$G:$S,MATCH([1]TBMapping!$C55,'[1]TrialBalance (YTD)'!G:G,0),MATCH([1]TBMapping!H$3,'[1]TrialBalance (YTD)'!$G$7:$Z$7,0)),0)</f>
        <v>0</v>
      </c>
      <c r="H53" s="5" t="e">
        <f>SUMIF('[1]TrialBalance (YTD)'!G:G,B53,'[1]TrialBalance (YTD)'!H:H)</f>
        <v>#VALUE!</v>
      </c>
      <c r="I53" s="5">
        <f>IFERROR(INDEX('[1]TrialBalance (YTD)'!$G:$S,MATCH([1]TBMapping!$C55,'[1]TrialBalance (YTD)'!G:G,0),MATCH([1]TBMapping!J$3,'[1]TrialBalance (YTD)'!$G$7:$Z$7,0)),0)</f>
        <v>0</v>
      </c>
      <c r="K53" s="5" t="e">
        <f>SUMIF('[1]TrialBalance (Quarter)'!$A:$A,B53,'[1]TrialBalance (Quarter)'!$B:$B)</f>
        <v>#VALUE!</v>
      </c>
      <c r="L53" s="5">
        <f>IFERROR(INDEX('[1]TrialBalance (Quarter)'!$A:$L,MATCH([1]TBMapping!$C55,'[1]TrialBalance (Quarter)'!A:A,0),MATCH([1]TBMapping!M$3,'[1]TrialBalance (Quarter)'!$7:$7,0)),0)</f>
        <v>0</v>
      </c>
      <c r="M53" s="5">
        <f>IFERROR(INDEX('[1]TrialBalance (Quarter)'!$A:$L,MATCH([1]TBMapping!$C55,'[1]TrialBalance (Quarter)'!A:A,0),MATCH([1]TBMapping!N$3,'[1]TrialBalance (Quarter)'!$7:$7,0)),0)</f>
        <v>0</v>
      </c>
      <c r="N53" s="5">
        <f>IFERROR(INDEX('[1]TrialBalance (Quarter)'!$A:$L,MATCH([1]TBMapping!$C55,'[1]TrialBalance (Quarter)'!A:A,0),MATCH([1]TBMapping!O$3,'[1]TrialBalance (Quarter)'!$7:$7,0)),0)</f>
        <v>0</v>
      </c>
    </row>
    <row r="54" spans="1:14">
      <c r="A54" s="2">
        <v>101</v>
      </c>
      <c r="B54" s="3">
        <v>102530</v>
      </c>
      <c r="C54" s="10" t="s">
        <v>53</v>
      </c>
      <c r="D54" s="10" t="s">
        <v>11</v>
      </c>
      <c r="E54" s="10"/>
      <c r="F54" s="5" t="e">
        <f>IF(DataExtraction="Manual",SUMIF('[1]TrialBalance (YTD)'!$C:$C,B54,'[1]TrialBalance (YTD)'!$E:$E),SUMIF('[1]TrialBalance (YTD)'!$G:$G,B54,'[1]TrialBalance (YTD)'!$I:$I))</f>
        <v>#VALUE!</v>
      </c>
      <c r="G54" s="5">
        <f>IFERROR(INDEX('[1]TrialBalance (YTD)'!$G:$S,MATCH([1]TBMapping!$C56,'[1]TrialBalance (YTD)'!G:G,0),MATCH([1]TBMapping!H$3,'[1]TrialBalance (YTD)'!$G$7:$Z$7,0)),0)</f>
        <v>0</v>
      </c>
      <c r="H54" s="5" t="e">
        <f>SUMIF('[1]TrialBalance (YTD)'!G:G,B54,'[1]TrialBalance (YTD)'!H:H)</f>
        <v>#VALUE!</v>
      </c>
      <c r="I54" s="5">
        <f>IFERROR(INDEX('[1]TrialBalance (YTD)'!$G:$S,MATCH([1]TBMapping!$C56,'[1]TrialBalance (YTD)'!G:G,0),MATCH([1]TBMapping!J$3,'[1]TrialBalance (YTD)'!$G$7:$Z$7,0)),0)</f>
        <v>0</v>
      </c>
      <c r="K54" s="5" t="e">
        <f>SUMIF('[1]TrialBalance (Quarter)'!$A:$A,B54,'[1]TrialBalance (Quarter)'!$B:$B)</f>
        <v>#VALUE!</v>
      </c>
      <c r="L54" s="5">
        <f>IFERROR(INDEX('[1]TrialBalance (Quarter)'!$A:$L,MATCH([1]TBMapping!$C56,'[1]TrialBalance (Quarter)'!A:A,0),MATCH([1]TBMapping!M$3,'[1]TrialBalance (Quarter)'!$7:$7,0)),0)</f>
        <v>0</v>
      </c>
      <c r="M54" s="5">
        <f>IFERROR(INDEX('[1]TrialBalance (Quarter)'!$A:$L,MATCH([1]TBMapping!$C56,'[1]TrialBalance (Quarter)'!A:A,0),MATCH([1]TBMapping!N$3,'[1]TrialBalance (Quarter)'!$7:$7,0)),0)</f>
        <v>0</v>
      </c>
      <c r="N54" s="5">
        <f>IFERROR(INDEX('[1]TrialBalance (Quarter)'!$A:$L,MATCH([1]TBMapping!$C56,'[1]TrialBalance (Quarter)'!A:A,0),MATCH([1]TBMapping!O$3,'[1]TrialBalance (Quarter)'!$7:$7,0)),0)</f>
        <v>0</v>
      </c>
    </row>
    <row r="55" spans="1:14">
      <c r="A55" s="2">
        <v>101</v>
      </c>
      <c r="B55" s="3">
        <v>102540</v>
      </c>
      <c r="C55" s="11" t="s">
        <v>54</v>
      </c>
      <c r="D55" s="11" t="s">
        <v>11</v>
      </c>
      <c r="E55" s="11"/>
      <c r="F55" s="5" t="e">
        <f>IF(DataExtraction="Manual",SUMIF('[1]TrialBalance (YTD)'!$C:$C,B55,'[1]TrialBalance (YTD)'!$E:$E),SUMIF('[1]TrialBalance (YTD)'!$G:$G,B55,'[1]TrialBalance (YTD)'!$I:$I))</f>
        <v>#VALUE!</v>
      </c>
      <c r="G55" s="5">
        <f>IFERROR(INDEX('[1]TrialBalance (YTD)'!$G:$S,MATCH([1]TBMapping!$C57,'[1]TrialBalance (YTD)'!G:G,0),MATCH([1]TBMapping!H$3,'[1]TrialBalance (YTD)'!$G$7:$Z$7,0)),0)</f>
        <v>0</v>
      </c>
      <c r="H55" s="5" t="e">
        <f>SUMIF('[1]TrialBalance (YTD)'!G:G,B55,'[1]TrialBalance (YTD)'!H:H)</f>
        <v>#VALUE!</v>
      </c>
      <c r="I55" s="5">
        <f>IFERROR(INDEX('[1]TrialBalance (YTD)'!$G:$S,MATCH([1]TBMapping!$C57,'[1]TrialBalance (YTD)'!G:G,0),MATCH([1]TBMapping!J$3,'[1]TrialBalance (YTD)'!$G$7:$Z$7,0)),0)</f>
        <v>0</v>
      </c>
      <c r="K55" s="5" t="e">
        <f>SUMIF('[1]TrialBalance (Quarter)'!$A:$A,B55,'[1]TrialBalance (Quarter)'!$B:$B)</f>
        <v>#VALUE!</v>
      </c>
      <c r="L55" s="5">
        <f>IFERROR(INDEX('[1]TrialBalance (Quarter)'!$A:$L,MATCH([1]TBMapping!$C57,'[1]TrialBalance (Quarter)'!A:A,0),MATCH([1]TBMapping!M$3,'[1]TrialBalance (Quarter)'!$7:$7,0)),0)</f>
        <v>0</v>
      </c>
      <c r="M55" s="5">
        <f>IFERROR(INDEX('[1]TrialBalance (Quarter)'!$A:$L,MATCH([1]TBMapping!$C57,'[1]TrialBalance (Quarter)'!A:A,0),MATCH([1]TBMapping!N$3,'[1]TrialBalance (Quarter)'!$7:$7,0)),0)</f>
        <v>0</v>
      </c>
      <c r="N55" s="5">
        <f>IFERROR(INDEX('[1]TrialBalance (Quarter)'!$A:$L,MATCH([1]TBMapping!$C57,'[1]TrialBalance (Quarter)'!A:A,0),MATCH([1]TBMapping!O$3,'[1]TrialBalance (Quarter)'!$7:$7,0)),0)</f>
        <v>0</v>
      </c>
    </row>
    <row r="56" spans="1:14">
      <c r="A56" s="2">
        <v>101</v>
      </c>
      <c r="B56" s="3">
        <v>102550</v>
      </c>
      <c r="C56" s="10" t="s">
        <v>55</v>
      </c>
      <c r="D56" s="10" t="s">
        <v>11</v>
      </c>
      <c r="E56" s="10"/>
      <c r="F56" s="5" t="e">
        <f>IF(DataExtraction="Manual",SUMIF('[1]TrialBalance (YTD)'!$C:$C,B56,'[1]TrialBalance (YTD)'!$E:$E),SUMIF('[1]TrialBalance (YTD)'!$G:$G,B56,'[1]TrialBalance (YTD)'!$I:$I))</f>
        <v>#VALUE!</v>
      </c>
      <c r="G56" s="5">
        <f>IFERROR(INDEX('[1]TrialBalance (YTD)'!$G:$S,MATCH([1]TBMapping!$C58,'[1]TrialBalance (YTD)'!G:G,0),MATCH([1]TBMapping!H$3,'[1]TrialBalance (YTD)'!$G$7:$Z$7,0)),0)</f>
        <v>0</v>
      </c>
      <c r="H56" s="5" t="e">
        <f>SUMIF('[1]TrialBalance (YTD)'!G:G,B56,'[1]TrialBalance (YTD)'!H:H)</f>
        <v>#VALUE!</v>
      </c>
      <c r="I56" s="5">
        <f>IFERROR(INDEX('[1]TrialBalance (YTD)'!$G:$S,MATCH([1]TBMapping!$C58,'[1]TrialBalance (YTD)'!G:G,0),MATCH([1]TBMapping!J$3,'[1]TrialBalance (YTD)'!$G$7:$Z$7,0)),0)</f>
        <v>0</v>
      </c>
      <c r="K56" s="5" t="e">
        <f>SUMIF('[1]TrialBalance (Quarter)'!$A:$A,B56,'[1]TrialBalance (Quarter)'!$B:$B)</f>
        <v>#VALUE!</v>
      </c>
      <c r="L56" s="5">
        <f>IFERROR(INDEX('[1]TrialBalance (Quarter)'!$A:$L,MATCH([1]TBMapping!$C58,'[1]TrialBalance (Quarter)'!A:A,0),MATCH([1]TBMapping!M$3,'[1]TrialBalance (Quarter)'!$7:$7,0)),0)</f>
        <v>0</v>
      </c>
      <c r="M56" s="5">
        <f>IFERROR(INDEX('[1]TrialBalance (Quarter)'!$A:$L,MATCH([1]TBMapping!$C58,'[1]TrialBalance (Quarter)'!A:A,0),MATCH([1]TBMapping!N$3,'[1]TrialBalance (Quarter)'!$7:$7,0)),0)</f>
        <v>0</v>
      </c>
      <c r="N56" s="5">
        <f>IFERROR(INDEX('[1]TrialBalance (Quarter)'!$A:$L,MATCH([1]TBMapping!$C58,'[1]TrialBalance (Quarter)'!A:A,0),MATCH([1]TBMapping!O$3,'[1]TrialBalance (Quarter)'!$7:$7,0)),0)</f>
        <v>0</v>
      </c>
    </row>
    <row r="57" spans="1:14">
      <c r="B57" s="3">
        <v>102599</v>
      </c>
      <c r="C57" s="11" t="s">
        <v>56</v>
      </c>
      <c r="D57" s="11" t="s">
        <v>16</v>
      </c>
      <c r="E57" s="11"/>
      <c r="F57" s="5" t="e">
        <f>IF(DataExtraction="Manual",SUMIF('[1]TrialBalance (YTD)'!$C:$C,B57,'[1]TrialBalance (YTD)'!$E:$E),SUMIF('[1]TrialBalance (YTD)'!$G:$G,B57,'[1]TrialBalance (YTD)'!$I:$I))</f>
        <v>#VALUE!</v>
      </c>
      <c r="G57" s="5">
        <f>IFERROR(INDEX('[1]TrialBalance (YTD)'!$G:$S,MATCH([1]TBMapping!$C59,'[1]TrialBalance (YTD)'!G:G,0),MATCH([1]TBMapping!H$3,'[1]TrialBalance (YTD)'!$G$7:$Z$7,0)),0)</f>
        <v>0</v>
      </c>
      <c r="H57" s="5" t="e">
        <f>SUMIF('[1]TrialBalance (YTD)'!G:G,B57,'[1]TrialBalance (YTD)'!H:H)</f>
        <v>#VALUE!</v>
      </c>
      <c r="I57" s="5">
        <f>IFERROR(INDEX('[1]TrialBalance (YTD)'!$G:$S,MATCH([1]TBMapping!$C59,'[1]TrialBalance (YTD)'!G:G,0),MATCH([1]TBMapping!J$3,'[1]TrialBalance (YTD)'!$G$7:$Z$7,0)),0)</f>
        <v>0</v>
      </c>
      <c r="K57" s="5" t="e">
        <f>SUMIF('[1]TrialBalance (Quarter)'!$A:$A,B57,'[1]TrialBalance (Quarter)'!$B:$B)</f>
        <v>#VALUE!</v>
      </c>
      <c r="L57" s="5">
        <f>IFERROR(INDEX('[1]TrialBalance (Quarter)'!$A:$L,MATCH([1]TBMapping!$C59,'[1]TrialBalance (Quarter)'!A:A,0),MATCH([1]TBMapping!M$3,'[1]TrialBalance (Quarter)'!$7:$7,0)),0)</f>
        <v>0</v>
      </c>
      <c r="M57" s="5">
        <f>IFERROR(INDEX('[1]TrialBalance (Quarter)'!$A:$L,MATCH([1]TBMapping!$C59,'[1]TrialBalance (Quarter)'!A:A,0),MATCH([1]TBMapping!N$3,'[1]TrialBalance (Quarter)'!$7:$7,0)),0)</f>
        <v>0</v>
      </c>
      <c r="N57" s="5">
        <f>IFERROR(INDEX('[1]TrialBalance (Quarter)'!$A:$L,MATCH([1]TBMapping!$C59,'[1]TrialBalance (Quarter)'!A:A,0),MATCH([1]TBMapping!O$3,'[1]TrialBalance (Quarter)'!$7:$7,0)),0)</f>
        <v>0</v>
      </c>
    </row>
    <row r="58" spans="1:14">
      <c r="B58" s="3">
        <v>102800</v>
      </c>
      <c r="C58" s="11" t="s">
        <v>50</v>
      </c>
      <c r="D58" s="11" t="s">
        <v>5</v>
      </c>
      <c r="E58" s="11"/>
      <c r="F58" s="5" t="e">
        <f>IF(DataExtraction="Manual",SUMIF('[1]TrialBalance (YTD)'!$C:$C,B58,'[1]TrialBalance (YTD)'!$E:$E),SUMIF('[1]TrialBalance (YTD)'!$G:$G,B58,'[1]TrialBalance (YTD)'!$I:$I))</f>
        <v>#VALUE!</v>
      </c>
      <c r="G58" s="5">
        <f>IFERROR(INDEX('[1]TrialBalance (YTD)'!$G:$S,MATCH([1]TBMapping!$C60,'[1]TrialBalance (YTD)'!G:G,0),MATCH([1]TBMapping!H$3,'[1]TrialBalance (YTD)'!$G$7:$Z$7,0)),0)</f>
        <v>0</v>
      </c>
      <c r="H58" s="5" t="e">
        <f>SUMIF('[1]TrialBalance (YTD)'!G:G,B58,'[1]TrialBalance (YTD)'!H:H)</f>
        <v>#VALUE!</v>
      </c>
      <c r="I58" s="5">
        <f>IFERROR(INDEX('[1]TrialBalance (YTD)'!$G:$S,MATCH([1]TBMapping!$C60,'[1]TrialBalance (YTD)'!G:G,0),MATCH([1]TBMapping!J$3,'[1]TrialBalance (YTD)'!$G$7:$Z$7,0)),0)</f>
        <v>0</v>
      </c>
      <c r="K58" s="5" t="e">
        <f>SUMIF('[1]TrialBalance (Quarter)'!$A:$A,B58,'[1]TrialBalance (Quarter)'!$B:$B)</f>
        <v>#VALUE!</v>
      </c>
      <c r="L58" s="5">
        <f>IFERROR(INDEX('[1]TrialBalance (Quarter)'!$A:$L,MATCH([1]TBMapping!$C60,'[1]TrialBalance (Quarter)'!A:A,0),MATCH([1]TBMapping!M$3,'[1]TrialBalance (Quarter)'!$7:$7,0)),0)</f>
        <v>0</v>
      </c>
      <c r="M58" s="5">
        <f>IFERROR(INDEX('[1]TrialBalance (Quarter)'!$A:$L,MATCH([1]TBMapping!$C60,'[1]TrialBalance (Quarter)'!A:A,0),MATCH([1]TBMapping!N$3,'[1]TrialBalance (Quarter)'!$7:$7,0)),0)</f>
        <v>0</v>
      </c>
      <c r="N58" s="5">
        <f>IFERROR(INDEX('[1]TrialBalance (Quarter)'!$A:$L,MATCH([1]TBMapping!$C60,'[1]TrialBalance (Quarter)'!A:A,0),MATCH([1]TBMapping!O$3,'[1]TrialBalance (Quarter)'!$7:$7,0)),0)</f>
        <v>0</v>
      </c>
    </row>
    <row r="59" spans="1:14">
      <c r="A59" s="2">
        <v>101</v>
      </c>
      <c r="B59" s="3">
        <v>102810</v>
      </c>
      <c r="C59" s="11" t="s">
        <v>51</v>
      </c>
      <c r="D59" s="11" t="s">
        <v>11</v>
      </c>
      <c r="E59" s="11"/>
      <c r="F59" s="5" t="e">
        <f>IF(DataExtraction="Manual",SUMIF('[1]TrialBalance (YTD)'!$C:$C,B59,'[1]TrialBalance (YTD)'!$E:$E),SUMIF('[1]TrialBalance (YTD)'!$G:$G,B59,'[1]TrialBalance (YTD)'!$I:$I))</f>
        <v>#VALUE!</v>
      </c>
      <c r="G59" s="5">
        <f>IFERROR(INDEX('[1]TrialBalance (YTD)'!$G:$S,MATCH([1]TBMapping!$C61,'[1]TrialBalance (YTD)'!G:G,0),MATCH([1]TBMapping!H$3,'[1]TrialBalance (YTD)'!$G$7:$Z$7,0)),0)</f>
        <v>0</v>
      </c>
      <c r="H59" s="5" t="e">
        <f>SUMIF('[1]TrialBalance (YTD)'!G:G,B59,'[1]TrialBalance (YTD)'!H:H)</f>
        <v>#VALUE!</v>
      </c>
      <c r="I59" s="5">
        <f>IFERROR(INDEX('[1]TrialBalance (YTD)'!$G:$S,MATCH([1]TBMapping!$C61,'[1]TrialBalance (YTD)'!G:G,0),MATCH([1]TBMapping!J$3,'[1]TrialBalance (YTD)'!$G$7:$Z$7,0)),0)</f>
        <v>0</v>
      </c>
      <c r="K59" s="5" t="e">
        <f>SUMIF('[1]TrialBalance (Quarter)'!$A:$A,B59,'[1]TrialBalance (Quarter)'!$B:$B)</f>
        <v>#VALUE!</v>
      </c>
      <c r="L59" s="5">
        <f>IFERROR(INDEX('[1]TrialBalance (Quarter)'!$A:$L,MATCH([1]TBMapping!$C61,'[1]TrialBalance (Quarter)'!A:A,0),MATCH([1]TBMapping!M$3,'[1]TrialBalance (Quarter)'!$7:$7,0)),0)</f>
        <v>0</v>
      </c>
      <c r="M59" s="5">
        <f>IFERROR(INDEX('[1]TrialBalance (Quarter)'!$A:$L,MATCH([1]TBMapping!$C61,'[1]TrialBalance (Quarter)'!A:A,0),MATCH([1]TBMapping!N$3,'[1]TrialBalance (Quarter)'!$7:$7,0)),0)</f>
        <v>0</v>
      </c>
      <c r="N59" s="5">
        <f>IFERROR(INDEX('[1]TrialBalance (Quarter)'!$A:$L,MATCH([1]TBMapping!$C61,'[1]TrialBalance (Quarter)'!A:A,0),MATCH([1]TBMapping!O$3,'[1]TrialBalance (Quarter)'!$7:$7,0)),0)</f>
        <v>0</v>
      </c>
    </row>
    <row r="60" spans="1:14">
      <c r="A60" s="2">
        <v>101</v>
      </c>
      <c r="B60" s="3">
        <v>102820</v>
      </c>
      <c r="C60" s="11" t="s">
        <v>52</v>
      </c>
      <c r="D60" s="11" t="s">
        <v>11</v>
      </c>
      <c r="E60" s="11"/>
      <c r="F60" s="5" t="e">
        <f>IF(DataExtraction="Manual",SUMIF('[1]TrialBalance (YTD)'!$C:$C,B60,'[1]TrialBalance (YTD)'!$E:$E),SUMIF('[1]TrialBalance (YTD)'!$G:$G,B60,'[1]TrialBalance (YTD)'!$I:$I))</f>
        <v>#VALUE!</v>
      </c>
      <c r="G60" s="5">
        <f>IFERROR(INDEX('[1]TrialBalance (YTD)'!$G:$S,MATCH([1]TBMapping!$C62,'[1]TrialBalance (YTD)'!G:G,0),MATCH([1]TBMapping!H$3,'[1]TrialBalance (YTD)'!$G$7:$Z$7,0)),0)</f>
        <v>0</v>
      </c>
      <c r="H60" s="5" t="e">
        <f>SUMIF('[1]TrialBalance (YTD)'!G:G,B60,'[1]TrialBalance (YTD)'!H:H)</f>
        <v>#VALUE!</v>
      </c>
      <c r="I60" s="5">
        <f>IFERROR(INDEX('[1]TrialBalance (YTD)'!$G:$S,MATCH([1]TBMapping!$C62,'[1]TrialBalance (YTD)'!G:G,0),MATCH([1]TBMapping!J$3,'[1]TrialBalance (YTD)'!$G$7:$Z$7,0)),0)</f>
        <v>0</v>
      </c>
      <c r="K60" s="5" t="e">
        <f>SUMIF('[1]TrialBalance (Quarter)'!$A:$A,B60,'[1]TrialBalance (Quarter)'!$B:$B)</f>
        <v>#VALUE!</v>
      </c>
      <c r="L60" s="5">
        <f>IFERROR(INDEX('[1]TrialBalance (Quarter)'!$A:$L,MATCH([1]TBMapping!$C62,'[1]TrialBalance (Quarter)'!A:A,0),MATCH([1]TBMapping!M$3,'[1]TrialBalance (Quarter)'!$7:$7,0)),0)</f>
        <v>0</v>
      </c>
      <c r="M60" s="5">
        <f>IFERROR(INDEX('[1]TrialBalance (Quarter)'!$A:$L,MATCH([1]TBMapping!$C62,'[1]TrialBalance (Quarter)'!A:A,0),MATCH([1]TBMapping!N$3,'[1]TrialBalance (Quarter)'!$7:$7,0)),0)</f>
        <v>0</v>
      </c>
      <c r="N60" s="5">
        <f>IFERROR(INDEX('[1]TrialBalance (Quarter)'!$A:$L,MATCH([1]TBMapping!$C62,'[1]TrialBalance (Quarter)'!A:A,0),MATCH([1]TBMapping!O$3,'[1]TrialBalance (Quarter)'!$7:$7,0)),0)</f>
        <v>0</v>
      </c>
    </row>
    <row r="61" spans="1:14">
      <c r="A61" s="2">
        <v>101</v>
      </c>
      <c r="B61" s="3">
        <v>102830</v>
      </c>
      <c r="C61" s="11" t="s">
        <v>53</v>
      </c>
      <c r="D61" s="11" t="s">
        <v>11</v>
      </c>
      <c r="E61" s="11"/>
      <c r="F61" s="5" t="e">
        <f>IF(DataExtraction="Manual",SUMIF('[1]TrialBalance (YTD)'!$C:$C,B61,'[1]TrialBalance (YTD)'!$E:$E),SUMIF('[1]TrialBalance (YTD)'!$G:$G,B61,'[1]TrialBalance (YTD)'!$I:$I))</f>
        <v>#VALUE!</v>
      </c>
      <c r="G61" s="5">
        <f>IFERROR(INDEX('[1]TrialBalance (YTD)'!$G:$S,MATCH([1]TBMapping!$C63,'[1]TrialBalance (YTD)'!G:G,0),MATCH([1]TBMapping!H$3,'[1]TrialBalance (YTD)'!$G$7:$Z$7,0)),0)</f>
        <v>0</v>
      </c>
      <c r="H61" s="5" t="e">
        <f>SUMIF('[1]TrialBalance (YTD)'!G:G,B61,'[1]TrialBalance (YTD)'!H:H)</f>
        <v>#VALUE!</v>
      </c>
      <c r="I61" s="5">
        <f>IFERROR(INDEX('[1]TrialBalance (YTD)'!$G:$S,MATCH([1]TBMapping!$C63,'[1]TrialBalance (YTD)'!G:G,0),MATCH([1]TBMapping!J$3,'[1]TrialBalance (YTD)'!$G$7:$Z$7,0)),0)</f>
        <v>0</v>
      </c>
      <c r="K61" s="5" t="e">
        <f>SUMIF('[1]TrialBalance (Quarter)'!$A:$A,B61,'[1]TrialBalance (Quarter)'!$B:$B)</f>
        <v>#VALUE!</v>
      </c>
      <c r="L61" s="5">
        <f>IFERROR(INDEX('[1]TrialBalance (Quarter)'!$A:$L,MATCH([1]TBMapping!$C63,'[1]TrialBalance (Quarter)'!A:A,0),MATCH([1]TBMapping!M$3,'[1]TrialBalance (Quarter)'!$7:$7,0)),0)</f>
        <v>0</v>
      </c>
      <c r="M61" s="5">
        <f>IFERROR(INDEX('[1]TrialBalance (Quarter)'!$A:$L,MATCH([1]TBMapping!$C63,'[1]TrialBalance (Quarter)'!A:A,0),MATCH([1]TBMapping!N$3,'[1]TrialBalance (Quarter)'!$7:$7,0)),0)</f>
        <v>0</v>
      </c>
      <c r="N61" s="5">
        <f>IFERROR(INDEX('[1]TrialBalance (Quarter)'!$A:$L,MATCH([1]TBMapping!$C63,'[1]TrialBalance (Quarter)'!A:A,0),MATCH([1]TBMapping!O$3,'[1]TrialBalance (Quarter)'!$7:$7,0)),0)</f>
        <v>0</v>
      </c>
    </row>
    <row r="62" spans="1:14">
      <c r="A62" s="2">
        <v>101</v>
      </c>
      <c r="B62" s="3">
        <v>102840</v>
      </c>
      <c r="C62" s="11" t="s">
        <v>54</v>
      </c>
      <c r="D62" s="11" t="s">
        <v>11</v>
      </c>
      <c r="E62" s="11"/>
      <c r="F62" s="5" t="e">
        <f>IF(DataExtraction="Manual",SUMIF('[1]TrialBalance (YTD)'!$C:$C,B62,'[1]TrialBalance (YTD)'!$E:$E),SUMIF('[1]TrialBalance (YTD)'!$G:$G,B62,'[1]TrialBalance (YTD)'!$I:$I))</f>
        <v>#VALUE!</v>
      </c>
      <c r="G62" s="5">
        <f>IFERROR(INDEX('[1]TrialBalance (YTD)'!$G:$S,MATCH([1]TBMapping!$C64,'[1]TrialBalance (YTD)'!G:G,0),MATCH([1]TBMapping!H$3,'[1]TrialBalance (YTD)'!$G$7:$Z$7,0)),0)</f>
        <v>0</v>
      </c>
      <c r="H62" s="5" t="e">
        <f>SUMIF('[1]TrialBalance (YTD)'!G:G,B62,'[1]TrialBalance (YTD)'!H:H)</f>
        <v>#VALUE!</v>
      </c>
      <c r="I62" s="5">
        <f>IFERROR(INDEX('[1]TrialBalance (YTD)'!$G:$S,MATCH([1]TBMapping!$C64,'[1]TrialBalance (YTD)'!G:G,0),MATCH([1]TBMapping!J$3,'[1]TrialBalance (YTD)'!$G$7:$Z$7,0)),0)</f>
        <v>0</v>
      </c>
      <c r="K62" s="5" t="e">
        <f>SUMIF('[1]TrialBalance (Quarter)'!$A:$A,B62,'[1]TrialBalance (Quarter)'!$B:$B)</f>
        <v>#VALUE!</v>
      </c>
      <c r="L62" s="5">
        <f>IFERROR(INDEX('[1]TrialBalance (Quarter)'!$A:$L,MATCH([1]TBMapping!$C64,'[1]TrialBalance (Quarter)'!A:A,0),MATCH([1]TBMapping!M$3,'[1]TrialBalance (Quarter)'!$7:$7,0)),0)</f>
        <v>0</v>
      </c>
      <c r="M62" s="5">
        <f>IFERROR(INDEX('[1]TrialBalance (Quarter)'!$A:$L,MATCH([1]TBMapping!$C64,'[1]TrialBalance (Quarter)'!A:A,0),MATCH([1]TBMapping!N$3,'[1]TrialBalance (Quarter)'!$7:$7,0)),0)</f>
        <v>0</v>
      </c>
      <c r="N62" s="5">
        <f>IFERROR(INDEX('[1]TrialBalance (Quarter)'!$A:$L,MATCH([1]TBMapping!$C64,'[1]TrialBalance (Quarter)'!A:A,0),MATCH([1]TBMapping!O$3,'[1]TrialBalance (Quarter)'!$7:$7,0)),0)</f>
        <v>0</v>
      </c>
    </row>
    <row r="63" spans="1:14">
      <c r="A63" s="2">
        <v>101</v>
      </c>
      <c r="B63" s="3">
        <v>102850</v>
      </c>
      <c r="C63" s="11" t="s">
        <v>55</v>
      </c>
      <c r="D63" s="11" t="s">
        <v>11</v>
      </c>
      <c r="E63" s="11"/>
      <c r="F63" s="5" t="e">
        <f>IF(DataExtraction="Manual",SUMIF('[1]TrialBalance (YTD)'!$C:$C,B63,'[1]TrialBalance (YTD)'!$E:$E),SUMIF('[1]TrialBalance (YTD)'!$G:$G,B63,'[1]TrialBalance (YTD)'!$I:$I))</f>
        <v>#VALUE!</v>
      </c>
      <c r="G63" s="5">
        <f>IFERROR(INDEX('[1]TrialBalance (YTD)'!$G:$S,MATCH([1]TBMapping!$C65,'[1]TrialBalance (YTD)'!G:G,0),MATCH([1]TBMapping!H$3,'[1]TrialBalance (YTD)'!$G$7:$Z$7,0)),0)</f>
        <v>0</v>
      </c>
      <c r="H63" s="5" t="e">
        <f>SUMIF('[1]TrialBalance (YTD)'!G:G,B63,'[1]TrialBalance (YTD)'!H:H)</f>
        <v>#VALUE!</v>
      </c>
      <c r="I63" s="5">
        <f>IFERROR(INDEX('[1]TrialBalance (YTD)'!$G:$S,MATCH([1]TBMapping!$C65,'[1]TrialBalance (YTD)'!G:G,0),MATCH([1]TBMapping!J$3,'[1]TrialBalance (YTD)'!$G$7:$Z$7,0)),0)</f>
        <v>0</v>
      </c>
      <c r="K63" s="5" t="e">
        <f>SUMIF('[1]TrialBalance (Quarter)'!$A:$A,B63,'[1]TrialBalance (Quarter)'!$B:$B)</f>
        <v>#VALUE!</v>
      </c>
      <c r="L63" s="5">
        <f>IFERROR(INDEX('[1]TrialBalance (Quarter)'!$A:$L,MATCH([1]TBMapping!$C65,'[1]TrialBalance (Quarter)'!A:A,0),MATCH([1]TBMapping!M$3,'[1]TrialBalance (Quarter)'!$7:$7,0)),0)</f>
        <v>0</v>
      </c>
      <c r="M63" s="5">
        <f>IFERROR(INDEX('[1]TrialBalance (Quarter)'!$A:$L,MATCH([1]TBMapping!$C65,'[1]TrialBalance (Quarter)'!A:A,0),MATCH([1]TBMapping!N$3,'[1]TrialBalance (Quarter)'!$7:$7,0)),0)</f>
        <v>0</v>
      </c>
      <c r="N63" s="5">
        <f>IFERROR(INDEX('[1]TrialBalance (Quarter)'!$A:$L,MATCH([1]TBMapping!$C65,'[1]TrialBalance (Quarter)'!A:A,0),MATCH([1]TBMapping!O$3,'[1]TrialBalance (Quarter)'!$7:$7,0)),0)</f>
        <v>0</v>
      </c>
    </row>
    <row r="64" spans="1:14">
      <c r="B64" s="3">
        <v>102899</v>
      </c>
      <c r="C64" s="11" t="s">
        <v>56</v>
      </c>
      <c r="D64" s="11" t="s">
        <v>16</v>
      </c>
      <c r="E64" s="11"/>
      <c r="F64" s="5" t="e">
        <f>IF(DataExtraction="Manual",SUMIF('[1]TrialBalance (YTD)'!$C:$C,B64,'[1]TrialBalance (YTD)'!$E:$E),SUMIF('[1]TrialBalance (YTD)'!$G:$G,B64,'[1]TrialBalance (YTD)'!$I:$I))</f>
        <v>#VALUE!</v>
      </c>
      <c r="G64" s="5">
        <f>IFERROR(INDEX('[1]TrialBalance (YTD)'!$G:$S,MATCH([1]TBMapping!$C66,'[1]TrialBalance (YTD)'!G:G,0),MATCH([1]TBMapping!H$3,'[1]TrialBalance (YTD)'!$G$7:$Z$7,0)),0)</f>
        <v>0</v>
      </c>
      <c r="H64" s="5" t="e">
        <f>SUMIF('[1]TrialBalance (YTD)'!G:G,B64,'[1]TrialBalance (YTD)'!H:H)</f>
        <v>#VALUE!</v>
      </c>
      <c r="I64" s="5">
        <f>IFERROR(INDEX('[1]TrialBalance (YTD)'!$G:$S,MATCH([1]TBMapping!$C66,'[1]TrialBalance (YTD)'!G:G,0),MATCH([1]TBMapping!J$3,'[1]TrialBalance (YTD)'!$G$7:$Z$7,0)),0)</f>
        <v>0</v>
      </c>
      <c r="K64" s="5" t="e">
        <f>SUMIF('[1]TrialBalance (Quarter)'!$A:$A,B64,'[1]TrialBalance (Quarter)'!$B:$B)</f>
        <v>#VALUE!</v>
      </c>
      <c r="L64" s="5">
        <f>IFERROR(INDEX('[1]TrialBalance (Quarter)'!$A:$L,MATCH([1]TBMapping!$C66,'[1]TrialBalance (Quarter)'!A:A,0),MATCH([1]TBMapping!M$3,'[1]TrialBalance (Quarter)'!$7:$7,0)),0)</f>
        <v>0</v>
      </c>
      <c r="M64" s="5">
        <f>IFERROR(INDEX('[1]TrialBalance (Quarter)'!$A:$L,MATCH([1]TBMapping!$C66,'[1]TrialBalance (Quarter)'!A:A,0),MATCH([1]TBMapping!N$3,'[1]TrialBalance (Quarter)'!$7:$7,0)),0)</f>
        <v>0</v>
      </c>
      <c r="N64" s="5">
        <f>IFERROR(INDEX('[1]TrialBalance (Quarter)'!$A:$L,MATCH([1]TBMapping!$C66,'[1]TrialBalance (Quarter)'!A:A,0),MATCH([1]TBMapping!O$3,'[1]TrialBalance (Quarter)'!$7:$7,0)),0)</f>
        <v>0</v>
      </c>
    </row>
    <row r="65" spans="1:14">
      <c r="B65" s="3">
        <v>102999</v>
      </c>
      <c r="C65" s="10" t="s">
        <v>57</v>
      </c>
      <c r="D65" s="10" t="s">
        <v>16</v>
      </c>
      <c r="E65" s="10"/>
      <c r="F65" s="5" t="e">
        <f>IF(DataExtraction="Manual",SUMIF('[1]TrialBalance (YTD)'!$C:$C,B65,'[1]TrialBalance (YTD)'!$E:$E),SUMIF('[1]TrialBalance (YTD)'!$G:$G,B65,'[1]TrialBalance (YTD)'!$I:$I))</f>
        <v>#VALUE!</v>
      </c>
      <c r="G65" s="5">
        <f>IFERROR(INDEX('[1]TrialBalance (YTD)'!$G:$S,MATCH([1]TBMapping!$C67,'[1]TrialBalance (YTD)'!G:G,0),MATCH([1]TBMapping!H$3,'[1]TrialBalance (YTD)'!$G$7:$Z$7,0)),0)</f>
        <v>0</v>
      </c>
      <c r="H65" s="5" t="e">
        <f>SUMIF('[1]TrialBalance (YTD)'!G:G,B65,'[1]TrialBalance (YTD)'!H:H)</f>
        <v>#VALUE!</v>
      </c>
      <c r="I65" s="5">
        <f>IFERROR(INDEX('[1]TrialBalance (YTD)'!$G:$S,MATCH([1]TBMapping!$C67,'[1]TrialBalance (YTD)'!G:G,0),MATCH([1]TBMapping!J$3,'[1]TrialBalance (YTD)'!$G$7:$Z$7,0)),0)</f>
        <v>0</v>
      </c>
      <c r="K65" s="5" t="e">
        <f>SUMIF('[1]TrialBalance (Quarter)'!$A:$A,B65,'[1]TrialBalance (Quarter)'!$B:$B)</f>
        <v>#VALUE!</v>
      </c>
      <c r="L65" s="5">
        <f>IFERROR(INDEX('[1]TrialBalance (Quarter)'!$A:$L,MATCH([1]TBMapping!$C67,'[1]TrialBalance (Quarter)'!A:A,0),MATCH([1]TBMapping!M$3,'[1]TrialBalance (Quarter)'!$7:$7,0)),0)</f>
        <v>0</v>
      </c>
      <c r="M65" s="5">
        <f>IFERROR(INDEX('[1]TrialBalance (Quarter)'!$A:$L,MATCH([1]TBMapping!$C67,'[1]TrialBalance (Quarter)'!A:A,0),MATCH([1]TBMapping!N$3,'[1]TrialBalance (Quarter)'!$7:$7,0)),0)</f>
        <v>0</v>
      </c>
      <c r="N65" s="5">
        <f>IFERROR(INDEX('[1]TrialBalance (Quarter)'!$A:$L,MATCH([1]TBMapping!$C67,'[1]TrialBalance (Quarter)'!A:A,0),MATCH([1]TBMapping!O$3,'[1]TrialBalance (Quarter)'!$7:$7,0)),0)</f>
        <v>0</v>
      </c>
    </row>
    <row r="66" spans="1:14">
      <c r="B66" s="3">
        <v>103000</v>
      </c>
      <c r="C66" s="11" t="s">
        <v>58</v>
      </c>
      <c r="D66" s="11" t="s">
        <v>5</v>
      </c>
      <c r="E66" s="11"/>
      <c r="F66" s="5" t="e">
        <f>IF(DataExtraction="Manual",SUMIF('[1]TrialBalance (YTD)'!$C:$C,B66,'[1]TrialBalance (YTD)'!$E:$E),SUMIF('[1]TrialBalance (YTD)'!$G:$G,B66,'[1]TrialBalance (YTD)'!$I:$I))</f>
        <v>#VALUE!</v>
      </c>
      <c r="G66" s="5">
        <f>IFERROR(INDEX('[1]TrialBalance (YTD)'!$G:$S,MATCH([1]TBMapping!$C68,'[1]TrialBalance (YTD)'!G:G,0),MATCH([1]TBMapping!H$3,'[1]TrialBalance (YTD)'!$G$7:$Z$7,0)),0)</f>
        <v>0</v>
      </c>
      <c r="H66" s="5" t="e">
        <f>SUMIF('[1]TrialBalance (YTD)'!G:G,B66,'[1]TrialBalance (YTD)'!H:H)</f>
        <v>#VALUE!</v>
      </c>
      <c r="I66" s="5">
        <f>IFERROR(INDEX('[1]TrialBalance (YTD)'!$G:$S,MATCH([1]TBMapping!$C68,'[1]TrialBalance (YTD)'!G:G,0),MATCH([1]TBMapping!J$3,'[1]TrialBalance (YTD)'!$G$7:$Z$7,0)),0)</f>
        <v>0</v>
      </c>
      <c r="K66" s="5" t="e">
        <f>SUMIF('[1]TrialBalance (Quarter)'!$A:$A,B66,'[1]TrialBalance (Quarter)'!$B:$B)</f>
        <v>#VALUE!</v>
      </c>
      <c r="L66" s="5">
        <f>IFERROR(INDEX('[1]TrialBalance (Quarter)'!$A:$L,MATCH([1]TBMapping!$C68,'[1]TrialBalance (Quarter)'!A:A,0),MATCH([1]TBMapping!M$3,'[1]TrialBalance (Quarter)'!$7:$7,0)),0)</f>
        <v>0</v>
      </c>
      <c r="M66" s="5">
        <f>IFERROR(INDEX('[1]TrialBalance (Quarter)'!$A:$L,MATCH([1]TBMapping!$C68,'[1]TrialBalance (Quarter)'!A:A,0),MATCH([1]TBMapping!N$3,'[1]TrialBalance (Quarter)'!$7:$7,0)),0)</f>
        <v>0</v>
      </c>
      <c r="N66" s="5">
        <f>IFERROR(INDEX('[1]TrialBalance (Quarter)'!$A:$L,MATCH([1]TBMapping!$C68,'[1]TrialBalance (Quarter)'!A:A,0),MATCH([1]TBMapping!O$3,'[1]TrialBalance (Quarter)'!$7:$7,0)),0)</f>
        <v>0</v>
      </c>
    </row>
    <row r="67" spans="1:14">
      <c r="B67" s="3">
        <v>103100</v>
      </c>
      <c r="C67" s="10" t="s">
        <v>59</v>
      </c>
      <c r="D67" s="10" t="s">
        <v>5</v>
      </c>
      <c r="E67" s="10"/>
      <c r="F67" s="5" t="e">
        <f>IF(DataExtraction="Manual",SUMIF('[1]TrialBalance (YTD)'!$C:$C,B67,'[1]TrialBalance (YTD)'!$E:$E),SUMIF('[1]TrialBalance (YTD)'!$G:$G,B67,'[1]TrialBalance (YTD)'!$I:$I))</f>
        <v>#VALUE!</v>
      </c>
      <c r="G67" s="5">
        <f>IFERROR(INDEX('[1]TrialBalance (YTD)'!$G:$S,MATCH([1]TBMapping!$C69,'[1]TrialBalance (YTD)'!G:G,0),MATCH([1]TBMapping!H$3,'[1]TrialBalance (YTD)'!$G$7:$Z$7,0)),0)</f>
        <v>0</v>
      </c>
      <c r="H67" s="5" t="e">
        <f>SUMIF('[1]TrialBalance (YTD)'!G:G,B67,'[1]TrialBalance (YTD)'!H:H)</f>
        <v>#VALUE!</v>
      </c>
      <c r="I67" s="5">
        <f>IFERROR(INDEX('[1]TrialBalance (YTD)'!$G:$S,MATCH([1]TBMapping!$C69,'[1]TrialBalance (YTD)'!G:G,0),MATCH([1]TBMapping!J$3,'[1]TrialBalance (YTD)'!$G$7:$Z$7,0)),0)</f>
        <v>0</v>
      </c>
      <c r="K67" s="5" t="e">
        <f>SUMIF('[1]TrialBalance (Quarter)'!$A:$A,B67,'[1]TrialBalance (Quarter)'!$B:$B)</f>
        <v>#VALUE!</v>
      </c>
      <c r="L67" s="5">
        <f>IFERROR(INDEX('[1]TrialBalance (Quarter)'!$A:$L,MATCH([1]TBMapping!$C69,'[1]TrialBalance (Quarter)'!A:A,0),MATCH([1]TBMapping!M$3,'[1]TrialBalance (Quarter)'!$7:$7,0)),0)</f>
        <v>0</v>
      </c>
      <c r="M67" s="5">
        <f>IFERROR(INDEX('[1]TrialBalance (Quarter)'!$A:$L,MATCH([1]TBMapping!$C69,'[1]TrialBalance (Quarter)'!A:A,0),MATCH([1]TBMapping!N$3,'[1]TrialBalance (Quarter)'!$7:$7,0)),0)</f>
        <v>0</v>
      </c>
      <c r="N67" s="5">
        <f>IFERROR(INDEX('[1]TrialBalance (Quarter)'!$A:$L,MATCH([1]TBMapping!$C69,'[1]TrialBalance (Quarter)'!A:A,0),MATCH([1]TBMapping!O$3,'[1]TrialBalance (Quarter)'!$7:$7,0)),0)</f>
        <v>0</v>
      </c>
    </row>
    <row r="68" spans="1:14">
      <c r="A68" s="2">
        <v>101</v>
      </c>
      <c r="B68" s="3">
        <v>103110</v>
      </c>
      <c r="C68" s="11" t="s">
        <v>60</v>
      </c>
      <c r="D68" s="11" t="s">
        <v>11</v>
      </c>
      <c r="E68" s="11"/>
      <c r="F68" s="5" t="e">
        <f>IF(DataExtraction="Manual",SUMIF('[1]TrialBalance (YTD)'!$C:$C,B68,'[1]TrialBalance (YTD)'!$E:$E),SUMIF('[1]TrialBalance (YTD)'!$G:$G,B68,'[1]TrialBalance (YTD)'!$I:$I))</f>
        <v>#VALUE!</v>
      </c>
      <c r="G68" s="5">
        <f>IFERROR(INDEX('[1]TrialBalance (YTD)'!$G:$S,MATCH([1]TBMapping!$C70,'[1]TrialBalance (YTD)'!G:G,0),MATCH([1]TBMapping!H$3,'[1]TrialBalance (YTD)'!$G$7:$Z$7,0)),0)</f>
        <v>0</v>
      </c>
      <c r="H68" s="5" t="e">
        <f>SUMIF('[1]TrialBalance (YTD)'!G:G,B68,'[1]TrialBalance (YTD)'!H:H)</f>
        <v>#VALUE!</v>
      </c>
      <c r="I68" s="5">
        <f>IFERROR(INDEX('[1]TrialBalance (YTD)'!$G:$S,MATCH([1]TBMapping!$C70,'[1]TrialBalance (YTD)'!G:G,0),MATCH([1]TBMapping!J$3,'[1]TrialBalance (YTD)'!$G$7:$Z$7,0)),0)</f>
        <v>0</v>
      </c>
      <c r="K68" s="5" t="e">
        <f>SUMIF('[1]TrialBalance (Quarter)'!$A:$A,B68,'[1]TrialBalance (Quarter)'!$B:$B)</f>
        <v>#VALUE!</v>
      </c>
      <c r="L68" s="5">
        <f>IFERROR(INDEX('[1]TrialBalance (Quarter)'!$A:$L,MATCH([1]TBMapping!$C70,'[1]TrialBalance (Quarter)'!A:A,0),MATCH([1]TBMapping!M$3,'[1]TrialBalance (Quarter)'!$7:$7,0)),0)</f>
        <v>0</v>
      </c>
      <c r="M68" s="5">
        <f>IFERROR(INDEX('[1]TrialBalance (Quarter)'!$A:$L,MATCH([1]TBMapping!$C70,'[1]TrialBalance (Quarter)'!A:A,0),MATCH([1]TBMapping!N$3,'[1]TrialBalance (Quarter)'!$7:$7,0)),0)</f>
        <v>0</v>
      </c>
      <c r="N68" s="5">
        <f>IFERROR(INDEX('[1]TrialBalance (Quarter)'!$A:$L,MATCH([1]TBMapping!$C70,'[1]TrialBalance (Quarter)'!A:A,0),MATCH([1]TBMapping!O$3,'[1]TrialBalance (Quarter)'!$7:$7,0)),0)</f>
        <v>0</v>
      </c>
    </row>
    <row r="69" spans="1:14">
      <c r="A69" s="2">
        <v>101</v>
      </c>
      <c r="B69" s="3">
        <v>103111</v>
      </c>
      <c r="C69" s="11" t="s">
        <v>61</v>
      </c>
      <c r="D69" s="10" t="s">
        <v>11</v>
      </c>
      <c r="E69" s="10"/>
      <c r="F69" s="5" t="e">
        <f>IF(DataExtraction="Manual",SUMIF('[1]TrialBalance (YTD)'!$C:$C,B69,'[1]TrialBalance (YTD)'!$E:$E),SUMIF('[1]TrialBalance (YTD)'!$G:$G,B69,'[1]TrialBalance (YTD)'!$I:$I))</f>
        <v>#VALUE!</v>
      </c>
      <c r="G69" s="5">
        <f>IFERROR(INDEX('[1]TrialBalance (YTD)'!$G:$S,MATCH([1]TBMapping!$C71,'[1]TrialBalance (YTD)'!G:G,0),MATCH([1]TBMapping!H$3,'[1]TrialBalance (YTD)'!$G$7:$Z$7,0)),0)</f>
        <v>0</v>
      </c>
      <c r="H69" s="5" t="e">
        <f>SUMIF('[1]TrialBalance (YTD)'!G:G,B69,'[1]TrialBalance (YTD)'!H:H)</f>
        <v>#VALUE!</v>
      </c>
      <c r="I69" s="5">
        <f>IFERROR(INDEX('[1]TrialBalance (YTD)'!$G:$S,MATCH([1]TBMapping!$C71,'[1]TrialBalance (YTD)'!G:G,0),MATCH([1]TBMapping!J$3,'[1]TrialBalance (YTD)'!$G$7:$Z$7,0)),0)</f>
        <v>0</v>
      </c>
      <c r="K69" s="5" t="e">
        <f>SUMIF('[1]TrialBalance (Quarter)'!$A:$A,B69,'[1]TrialBalance (Quarter)'!$B:$B)</f>
        <v>#VALUE!</v>
      </c>
      <c r="L69" s="5">
        <f>IFERROR(INDEX('[1]TrialBalance (Quarter)'!$A:$L,MATCH([1]TBMapping!$C71,'[1]TrialBalance (Quarter)'!A:A,0),MATCH([1]TBMapping!M$3,'[1]TrialBalance (Quarter)'!$7:$7,0)),0)</f>
        <v>0</v>
      </c>
      <c r="M69" s="5">
        <f>IFERROR(INDEX('[1]TrialBalance (Quarter)'!$A:$L,MATCH([1]TBMapping!$C71,'[1]TrialBalance (Quarter)'!A:A,0),MATCH([1]TBMapping!N$3,'[1]TrialBalance (Quarter)'!$7:$7,0)),0)</f>
        <v>0</v>
      </c>
      <c r="N69" s="5">
        <f>IFERROR(INDEX('[1]TrialBalance (Quarter)'!$A:$L,MATCH([1]TBMapping!$C71,'[1]TrialBalance (Quarter)'!A:A,0),MATCH([1]TBMapping!O$3,'[1]TrialBalance (Quarter)'!$7:$7,0)),0)</f>
        <v>0</v>
      </c>
    </row>
    <row r="70" spans="1:14">
      <c r="A70" s="2">
        <v>101</v>
      </c>
      <c r="B70" s="3">
        <v>103112</v>
      </c>
      <c r="C70" s="11" t="s">
        <v>62</v>
      </c>
      <c r="D70" s="11" t="s">
        <v>11</v>
      </c>
      <c r="E70" s="11"/>
      <c r="F70" s="5" t="e">
        <f>IF(DataExtraction="Manual",SUMIF('[1]TrialBalance (YTD)'!$C:$C,B70,'[1]TrialBalance (YTD)'!$E:$E),SUMIF('[1]TrialBalance (YTD)'!$G:$G,B70,'[1]TrialBalance (YTD)'!$I:$I))</f>
        <v>#VALUE!</v>
      </c>
      <c r="G70" s="5">
        <f>IFERROR(INDEX('[1]TrialBalance (YTD)'!$G:$S,MATCH([1]TBMapping!$C72,'[1]TrialBalance (YTD)'!G:G,0),MATCH([1]TBMapping!H$3,'[1]TrialBalance (YTD)'!$G$7:$Z$7,0)),0)</f>
        <v>0</v>
      </c>
      <c r="H70" s="5" t="e">
        <f>SUMIF('[1]TrialBalance (YTD)'!G:G,B70,'[1]TrialBalance (YTD)'!H:H)</f>
        <v>#VALUE!</v>
      </c>
      <c r="I70" s="5">
        <f>IFERROR(INDEX('[1]TrialBalance (YTD)'!$G:$S,MATCH([1]TBMapping!$C72,'[1]TrialBalance (YTD)'!G:G,0),MATCH([1]TBMapping!J$3,'[1]TrialBalance (YTD)'!$G$7:$Z$7,0)),0)</f>
        <v>0</v>
      </c>
      <c r="K70" s="5" t="e">
        <f>SUMIF('[1]TrialBalance (Quarter)'!$A:$A,B70,'[1]TrialBalance (Quarter)'!$B:$B)</f>
        <v>#VALUE!</v>
      </c>
      <c r="L70" s="5">
        <f>IFERROR(INDEX('[1]TrialBalance (Quarter)'!$A:$L,MATCH([1]TBMapping!$C72,'[1]TrialBalance (Quarter)'!A:A,0),MATCH([1]TBMapping!M$3,'[1]TrialBalance (Quarter)'!$7:$7,0)),0)</f>
        <v>0</v>
      </c>
      <c r="M70" s="5">
        <f>IFERROR(INDEX('[1]TrialBalance (Quarter)'!$A:$L,MATCH([1]TBMapping!$C72,'[1]TrialBalance (Quarter)'!A:A,0),MATCH([1]TBMapping!N$3,'[1]TrialBalance (Quarter)'!$7:$7,0)),0)</f>
        <v>0</v>
      </c>
      <c r="N70" s="5">
        <f>IFERROR(INDEX('[1]TrialBalance (Quarter)'!$A:$L,MATCH([1]TBMapping!$C72,'[1]TrialBalance (Quarter)'!A:A,0),MATCH([1]TBMapping!O$3,'[1]TrialBalance (Quarter)'!$7:$7,0)),0)</f>
        <v>0</v>
      </c>
    </row>
    <row r="71" spans="1:14">
      <c r="A71" s="2">
        <v>101</v>
      </c>
      <c r="B71" s="3">
        <v>103113</v>
      </c>
      <c r="C71" s="11" t="s">
        <v>63</v>
      </c>
      <c r="D71" s="10" t="s">
        <v>11</v>
      </c>
      <c r="E71" s="10"/>
      <c r="F71" s="5" t="e">
        <f>IF(DataExtraction="Manual",SUMIF('[1]TrialBalance (YTD)'!$C:$C,B71,'[1]TrialBalance (YTD)'!$E:$E),SUMIF('[1]TrialBalance (YTD)'!$G:$G,B71,'[1]TrialBalance (YTD)'!$I:$I))</f>
        <v>#VALUE!</v>
      </c>
      <c r="G71" s="5">
        <f>IFERROR(INDEX('[1]TrialBalance (YTD)'!$G:$S,MATCH([1]TBMapping!$C73,'[1]TrialBalance (YTD)'!G:G,0),MATCH([1]TBMapping!H$3,'[1]TrialBalance (YTD)'!$G$7:$Z$7,0)),0)</f>
        <v>0</v>
      </c>
      <c r="H71" s="5" t="e">
        <f>SUMIF('[1]TrialBalance (YTD)'!G:G,B71,'[1]TrialBalance (YTD)'!H:H)</f>
        <v>#VALUE!</v>
      </c>
      <c r="I71" s="5">
        <f>IFERROR(INDEX('[1]TrialBalance (YTD)'!$G:$S,MATCH([1]TBMapping!$C73,'[1]TrialBalance (YTD)'!G:G,0),MATCH([1]TBMapping!J$3,'[1]TrialBalance (YTD)'!$G$7:$Z$7,0)),0)</f>
        <v>0</v>
      </c>
      <c r="K71" s="5" t="e">
        <f>SUMIF('[1]TrialBalance (Quarter)'!$A:$A,B71,'[1]TrialBalance (Quarter)'!$B:$B)</f>
        <v>#VALUE!</v>
      </c>
      <c r="L71" s="5">
        <f>IFERROR(INDEX('[1]TrialBalance (Quarter)'!$A:$L,MATCH([1]TBMapping!$C73,'[1]TrialBalance (Quarter)'!A:A,0),MATCH([1]TBMapping!M$3,'[1]TrialBalance (Quarter)'!$7:$7,0)),0)</f>
        <v>0</v>
      </c>
      <c r="M71" s="5">
        <f>IFERROR(INDEX('[1]TrialBalance (Quarter)'!$A:$L,MATCH([1]TBMapping!$C73,'[1]TrialBalance (Quarter)'!A:A,0),MATCH([1]TBMapping!N$3,'[1]TrialBalance (Quarter)'!$7:$7,0)),0)</f>
        <v>0</v>
      </c>
      <c r="N71" s="5">
        <f>IFERROR(INDEX('[1]TrialBalance (Quarter)'!$A:$L,MATCH([1]TBMapping!$C73,'[1]TrialBalance (Quarter)'!A:A,0),MATCH([1]TBMapping!O$3,'[1]TrialBalance (Quarter)'!$7:$7,0)),0)</f>
        <v>0</v>
      </c>
    </row>
    <row r="72" spans="1:14">
      <c r="A72" s="2">
        <v>101</v>
      </c>
      <c r="B72" s="3">
        <v>103114</v>
      </c>
      <c r="C72" s="11" t="s">
        <v>64</v>
      </c>
      <c r="D72" s="11" t="s">
        <v>11</v>
      </c>
      <c r="E72" s="11"/>
      <c r="F72" s="5" t="e">
        <f>IF(DataExtraction="Manual",SUMIF('[1]TrialBalance (YTD)'!$C:$C,B72,'[1]TrialBalance (YTD)'!$E:$E),SUMIF('[1]TrialBalance (YTD)'!$G:$G,B72,'[1]TrialBalance (YTD)'!$I:$I))</f>
        <v>#VALUE!</v>
      </c>
      <c r="G72" s="5">
        <f>IFERROR(INDEX('[1]TrialBalance (YTD)'!$G:$S,MATCH([1]TBMapping!$C74,'[1]TrialBalance (YTD)'!G:G,0),MATCH([1]TBMapping!H$3,'[1]TrialBalance (YTD)'!$G$7:$Z$7,0)),0)</f>
        <v>0</v>
      </c>
      <c r="H72" s="5" t="e">
        <f>SUMIF('[1]TrialBalance (YTD)'!G:G,B72,'[1]TrialBalance (YTD)'!H:H)</f>
        <v>#VALUE!</v>
      </c>
      <c r="I72" s="5">
        <f>IFERROR(INDEX('[1]TrialBalance (YTD)'!$G:$S,MATCH([1]TBMapping!$C74,'[1]TrialBalance (YTD)'!G:G,0),MATCH([1]TBMapping!J$3,'[1]TrialBalance (YTD)'!$G$7:$Z$7,0)),0)</f>
        <v>0</v>
      </c>
      <c r="K72" s="5" t="e">
        <f>SUMIF('[1]TrialBalance (Quarter)'!$A:$A,B72,'[1]TrialBalance (Quarter)'!$B:$B)</f>
        <v>#VALUE!</v>
      </c>
      <c r="L72" s="5">
        <f>IFERROR(INDEX('[1]TrialBalance (Quarter)'!$A:$L,MATCH([1]TBMapping!$C74,'[1]TrialBalance (Quarter)'!A:A,0),MATCH([1]TBMapping!M$3,'[1]TrialBalance (Quarter)'!$7:$7,0)),0)</f>
        <v>0</v>
      </c>
      <c r="M72" s="5">
        <f>IFERROR(INDEX('[1]TrialBalance (Quarter)'!$A:$L,MATCH([1]TBMapping!$C74,'[1]TrialBalance (Quarter)'!A:A,0),MATCH([1]TBMapping!N$3,'[1]TrialBalance (Quarter)'!$7:$7,0)),0)</f>
        <v>0</v>
      </c>
      <c r="N72" s="5">
        <f>IFERROR(INDEX('[1]TrialBalance (Quarter)'!$A:$L,MATCH([1]TBMapping!$C74,'[1]TrialBalance (Quarter)'!A:A,0),MATCH([1]TBMapping!O$3,'[1]TrialBalance (Quarter)'!$7:$7,0)),0)</f>
        <v>0</v>
      </c>
    </row>
    <row r="73" spans="1:14">
      <c r="A73" s="2">
        <v>101</v>
      </c>
      <c r="B73" s="3">
        <v>103115</v>
      </c>
      <c r="C73" s="11" t="s">
        <v>65</v>
      </c>
      <c r="D73" s="10" t="s">
        <v>11</v>
      </c>
      <c r="E73" s="10"/>
      <c r="F73" s="5" t="e">
        <f>IF(DataExtraction="Manual",SUMIF('[1]TrialBalance (YTD)'!$C:$C,B73,'[1]TrialBalance (YTD)'!$E:$E),SUMIF('[1]TrialBalance (YTD)'!$G:$G,B73,'[1]TrialBalance (YTD)'!$I:$I))</f>
        <v>#VALUE!</v>
      </c>
      <c r="G73" s="5">
        <f>IFERROR(INDEX('[1]TrialBalance (YTD)'!$G:$S,MATCH([1]TBMapping!$C75,'[1]TrialBalance (YTD)'!G:G,0),MATCH([1]TBMapping!H$3,'[1]TrialBalance (YTD)'!$G$7:$Z$7,0)),0)</f>
        <v>0</v>
      </c>
      <c r="H73" s="5" t="e">
        <f>SUMIF('[1]TrialBalance (YTD)'!G:G,B73,'[1]TrialBalance (YTD)'!H:H)</f>
        <v>#VALUE!</v>
      </c>
      <c r="I73" s="5">
        <f>IFERROR(INDEX('[1]TrialBalance (YTD)'!$G:$S,MATCH([1]TBMapping!$C75,'[1]TrialBalance (YTD)'!G:G,0),MATCH([1]TBMapping!J$3,'[1]TrialBalance (YTD)'!$G$7:$Z$7,0)),0)</f>
        <v>0</v>
      </c>
      <c r="K73" s="5" t="e">
        <f>SUMIF('[1]TrialBalance (Quarter)'!$A:$A,B73,'[1]TrialBalance (Quarter)'!$B:$B)</f>
        <v>#VALUE!</v>
      </c>
      <c r="L73" s="5">
        <f>IFERROR(INDEX('[1]TrialBalance (Quarter)'!$A:$L,MATCH([1]TBMapping!$C75,'[1]TrialBalance (Quarter)'!A:A,0),MATCH([1]TBMapping!M$3,'[1]TrialBalance (Quarter)'!$7:$7,0)),0)</f>
        <v>0</v>
      </c>
      <c r="M73" s="5">
        <f>IFERROR(INDEX('[1]TrialBalance (Quarter)'!$A:$L,MATCH([1]TBMapping!$C75,'[1]TrialBalance (Quarter)'!A:A,0),MATCH([1]TBMapping!N$3,'[1]TrialBalance (Quarter)'!$7:$7,0)),0)</f>
        <v>0</v>
      </c>
      <c r="N73" s="5">
        <f>IFERROR(INDEX('[1]TrialBalance (Quarter)'!$A:$L,MATCH([1]TBMapping!$C75,'[1]TrialBalance (Quarter)'!A:A,0),MATCH([1]TBMapping!O$3,'[1]TrialBalance (Quarter)'!$7:$7,0)),0)</f>
        <v>0</v>
      </c>
    </row>
    <row r="74" spans="1:14">
      <c r="A74" s="2">
        <v>101</v>
      </c>
      <c r="B74" s="3">
        <v>103116</v>
      </c>
      <c r="C74" s="11" t="s">
        <v>66</v>
      </c>
      <c r="D74" s="11" t="s">
        <v>11</v>
      </c>
      <c r="E74" s="11"/>
      <c r="F74" s="5" t="e">
        <f>IF(DataExtraction="Manual",SUMIF('[1]TrialBalance (YTD)'!$C:$C,B74,'[1]TrialBalance (YTD)'!$E:$E),SUMIF('[1]TrialBalance (YTD)'!$G:$G,B74,'[1]TrialBalance (YTD)'!$I:$I))</f>
        <v>#VALUE!</v>
      </c>
      <c r="G74" s="5">
        <f>IFERROR(INDEX('[1]TrialBalance (YTD)'!$G:$S,MATCH([1]TBMapping!$C76,'[1]TrialBalance (YTD)'!G:G,0),MATCH([1]TBMapping!H$3,'[1]TrialBalance (YTD)'!$G$7:$Z$7,0)),0)</f>
        <v>0</v>
      </c>
      <c r="H74" s="5" t="e">
        <f>SUMIF('[1]TrialBalance (YTD)'!G:G,B74,'[1]TrialBalance (YTD)'!H:H)</f>
        <v>#VALUE!</v>
      </c>
      <c r="I74" s="5">
        <f>IFERROR(INDEX('[1]TrialBalance (YTD)'!$G:$S,MATCH([1]TBMapping!$C76,'[1]TrialBalance (YTD)'!G:G,0),MATCH([1]TBMapping!J$3,'[1]TrialBalance (YTD)'!$G$7:$Z$7,0)),0)</f>
        <v>0</v>
      </c>
      <c r="K74" s="5" t="e">
        <f>SUMIF('[1]TrialBalance (Quarter)'!$A:$A,B74,'[1]TrialBalance (Quarter)'!$B:$B)</f>
        <v>#VALUE!</v>
      </c>
      <c r="L74" s="5">
        <f>IFERROR(INDEX('[1]TrialBalance (Quarter)'!$A:$L,MATCH([1]TBMapping!$C76,'[1]TrialBalance (Quarter)'!A:A,0),MATCH([1]TBMapping!M$3,'[1]TrialBalance (Quarter)'!$7:$7,0)),0)</f>
        <v>0</v>
      </c>
      <c r="M74" s="5">
        <f>IFERROR(INDEX('[1]TrialBalance (Quarter)'!$A:$L,MATCH([1]TBMapping!$C76,'[1]TrialBalance (Quarter)'!A:A,0),MATCH([1]TBMapping!N$3,'[1]TrialBalance (Quarter)'!$7:$7,0)),0)</f>
        <v>0</v>
      </c>
      <c r="N74" s="5">
        <f>IFERROR(INDEX('[1]TrialBalance (Quarter)'!$A:$L,MATCH([1]TBMapping!$C76,'[1]TrialBalance (Quarter)'!A:A,0),MATCH([1]TBMapping!O$3,'[1]TrialBalance (Quarter)'!$7:$7,0)),0)</f>
        <v>0</v>
      </c>
    </row>
    <row r="75" spans="1:14">
      <c r="A75" s="2">
        <v>101</v>
      </c>
      <c r="B75" s="3">
        <v>103117</v>
      </c>
      <c r="C75" s="11" t="s">
        <v>67</v>
      </c>
      <c r="D75" s="10" t="s">
        <v>11</v>
      </c>
      <c r="E75" s="10"/>
      <c r="F75" s="5" t="e">
        <f>IF(DataExtraction="Manual",SUMIF('[1]TrialBalance (YTD)'!$C:$C,B75,'[1]TrialBalance (YTD)'!$E:$E),SUMIF('[1]TrialBalance (YTD)'!$G:$G,B75,'[1]TrialBalance (YTD)'!$I:$I))</f>
        <v>#VALUE!</v>
      </c>
      <c r="G75" s="5">
        <f>IFERROR(INDEX('[1]TrialBalance (YTD)'!$G:$S,MATCH([1]TBMapping!$C77,'[1]TrialBalance (YTD)'!G:G,0),MATCH([1]TBMapping!H$3,'[1]TrialBalance (YTD)'!$G$7:$Z$7,0)),0)</f>
        <v>0</v>
      </c>
      <c r="H75" s="5" t="e">
        <f>SUMIF('[1]TrialBalance (YTD)'!G:G,B75,'[1]TrialBalance (YTD)'!H:H)</f>
        <v>#VALUE!</v>
      </c>
      <c r="I75" s="5">
        <f>IFERROR(INDEX('[1]TrialBalance (YTD)'!$G:$S,MATCH([1]TBMapping!$C77,'[1]TrialBalance (YTD)'!G:G,0),MATCH([1]TBMapping!J$3,'[1]TrialBalance (YTD)'!$G$7:$Z$7,0)),0)</f>
        <v>0</v>
      </c>
      <c r="K75" s="5" t="e">
        <f>SUMIF('[1]TrialBalance (Quarter)'!$A:$A,B75,'[1]TrialBalance (Quarter)'!$B:$B)</f>
        <v>#VALUE!</v>
      </c>
      <c r="L75" s="5">
        <f>IFERROR(INDEX('[1]TrialBalance (Quarter)'!$A:$L,MATCH([1]TBMapping!$C77,'[1]TrialBalance (Quarter)'!A:A,0),MATCH([1]TBMapping!M$3,'[1]TrialBalance (Quarter)'!$7:$7,0)),0)</f>
        <v>0</v>
      </c>
      <c r="M75" s="5">
        <f>IFERROR(INDEX('[1]TrialBalance (Quarter)'!$A:$L,MATCH([1]TBMapping!$C77,'[1]TrialBalance (Quarter)'!A:A,0),MATCH([1]TBMapping!N$3,'[1]TrialBalance (Quarter)'!$7:$7,0)),0)</f>
        <v>0</v>
      </c>
      <c r="N75" s="5">
        <f>IFERROR(INDEX('[1]TrialBalance (Quarter)'!$A:$L,MATCH([1]TBMapping!$C77,'[1]TrialBalance (Quarter)'!A:A,0),MATCH([1]TBMapping!O$3,'[1]TrialBalance (Quarter)'!$7:$7,0)),0)</f>
        <v>0</v>
      </c>
    </row>
    <row r="76" spans="1:14">
      <c r="A76" s="2">
        <v>101</v>
      </c>
      <c r="B76" s="3">
        <v>103120</v>
      </c>
      <c r="C76" s="11" t="s">
        <v>68</v>
      </c>
      <c r="D76" s="11" t="s">
        <v>11</v>
      </c>
      <c r="E76" s="11"/>
      <c r="F76" s="5" t="e">
        <f>IF(DataExtraction="Manual",SUMIF('[1]TrialBalance (YTD)'!$C:$C,B76,'[1]TrialBalance (YTD)'!$E:$E),SUMIF('[1]TrialBalance (YTD)'!$G:$G,B76,'[1]TrialBalance (YTD)'!$I:$I))</f>
        <v>#VALUE!</v>
      </c>
      <c r="G76" s="5">
        <f>IFERROR(INDEX('[1]TrialBalance (YTD)'!$G:$S,MATCH([1]TBMapping!$C78,'[1]TrialBalance (YTD)'!G:G,0),MATCH([1]TBMapping!H$3,'[1]TrialBalance (YTD)'!$G$7:$Z$7,0)),0)</f>
        <v>0</v>
      </c>
      <c r="H76" s="5" t="e">
        <f>SUMIF('[1]TrialBalance (YTD)'!G:G,B76,'[1]TrialBalance (YTD)'!H:H)</f>
        <v>#VALUE!</v>
      </c>
      <c r="I76" s="5">
        <f>IFERROR(INDEX('[1]TrialBalance (YTD)'!$G:$S,MATCH([1]TBMapping!$C78,'[1]TrialBalance (YTD)'!G:G,0),MATCH([1]TBMapping!J$3,'[1]TrialBalance (YTD)'!$G$7:$Z$7,0)),0)</f>
        <v>0</v>
      </c>
      <c r="K76" s="5" t="e">
        <f>SUMIF('[1]TrialBalance (Quarter)'!$A:$A,B76,'[1]TrialBalance (Quarter)'!$B:$B)</f>
        <v>#VALUE!</v>
      </c>
      <c r="L76" s="5">
        <f>IFERROR(INDEX('[1]TrialBalance (Quarter)'!$A:$L,MATCH([1]TBMapping!$C78,'[1]TrialBalance (Quarter)'!A:A,0),MATCH([1]TBMapping!M$3,'[1]TrialBalance (Quarter)'!$7:$7,0)),0)</f>
        <v>0</v>
      </c>
      <c r="M76" s="5">
        <f>IFERROR(INDEX('[1]TrialBalance (Quarter)'!$A:$L,MATCH([1]TBMapping!$C78,'[1]TrialBalance (Quarter)'!A:A,0),MATCH([1]TBMapping!N$3,'[1]TrialBalance (Quarter)'!$7:$7,0)),0)</f>
        <v>0</v>
      </c>
      <c r="N76" s="5">
        <f>IFERROR(INDEX('[1]TrialBalance (Quarter)'!$A:$L,MATCH([1]TBMapping!$C78,'[1]TrialBalance (Quarter)'!A:A,0),MATCH([1]TBMapping!O$3,'[1]TrialBalance (Quarter)'!$7:$7,0)),0)</f>
        <v>0</v>
      </c>
    </row>
    <row r="77" spans="1:14">
      <c r="A77" s="2">
        <v>101</v>
      </c>
      <c r="B77" s="3">
        <v>103121</v>
      </c>
      <c r="C77" s="10" t="s">
        <v>69</v>
      </c>
      <c r="D77" s="10" t="s">
        <v>11</v>
      </c>
      <c r="E77" s="10"/>
      <c r="F77" s="5" t="e">
        <f>IF(DataExtraction="Manual",SUMIF('[1]TrialBalance (YTD)'!$C:$C,B77,'[1]TrialBalance (YTD)'!$E:$E),SUMIF('[1]TrialBalance (YTD)'!$G:$G,B77,'[1]TrialBalance (YTD)'!$I:$I))</f>
        <v>#VALUE!</v>
      </c>
      <c r="G77" s="5">
        <f>IFERROR(INDEX('[1]TrialBalance (YTD)'!$G:$S,MATCH([1]TBMapping!$C79,'[1]TrialBalance (YTD)'!G:G,0),MATCH([1]TBMapping!H$3,'[1]TrialBalance (YTD)'!$G$7:$Z$7,0)),0)</f>
        <v>0</v>
      </c>
      <c r="H77" s="5" t="e">
        <f>SUMIF('[1]TrialBalance (YTD)'!G:G,B77,'[1]TrialBalance (YTD)'!H:H)</f>
        <v>#VALUE!</v>
      </c>
      <c r="I77" s="5">
        <f>IFERROR(INDEX('[1]TrialBalance (YTD)'!$G:$S,MATCH([1]TBMapping!$C79,'[1]TrialBalance (YTD)'!G:G,0),MATCH([1]TBMapping!J$3,'[1]TrialBalance (YTD)'!$G$7:$Z$7,0)),0)</f>
        <v>0</v>
      </c>
      <c r="K77" s="5" t="e">
        <f>SUMIF('[1]TrialBalance (Quarter)'!$A:$A,B77,'[1]TrialBalance (Quarter)'!$B:$B)</f>
        <v>#VALUE!</v>
      </c>
      <c r="L77" s="5">
        <f>IFERROR(INDEX('[1]TrialBalance (Quarter)'!$A:$L,MATCH([1]TBMapping!$C79,'[1]TrialBalance (Quarter)'!A:A,0),MATCH([1]TBMapping!M$3,'[1]TrialBalance (Quarter)'!$7:$7,0)),0)</f>
        <v>0</v>
      </c>
      <c r="M77" s="5">
        <f>IFERROR(INDEX('[1]TrialBalance (Quarter)'!$A:$L,MATCH([1]TBMapping!$C79,'[1]TrialBalance (Quarter)'!A:A,0),MATCH([1]TBMapping!N$3,'[1]TrialBalance (Quarter)'!$7:$7,0)),0)</f>
        <v>0</v>
      </c>
      <c r="N77" s="5">
        <f>IFERROR(INDEX('[1]TrialBalance (Quarter)'!$A:$L,MATCH([1]TBMapping!$C79,'[1]TrialBalance (Quarter)'!A:A,0),MATCH([1]TBMapping!O$3,'[1]TrialBalance (Quarter)'!$7:$7,0)),0)</f>
        <v>0</v>
      </c>
    </row>
    <row r="78" spans="1:14">
      <c r="A78" s="2">
        <v>101</v>
      </c>
      <c r="B78" s="3">
        <v>103130</v>
      </c>
      <c r="C78" s="11" t="s">
        <v>70</v>
      </c>
      <c r="D78" s="11" t="s">
        <v>11</v>
      </c>
      <c r="E78" s="11"/>
      <c r="F78" s="5" t="e">
        <f>IF(DataExtraction="Manual",SUMIF('[1]TrialBalance (YTD)'!$C:$C,B78,'[1]TrialBalance (YTD)'!$E:$E),SUMIF('[1]TrialBalance (YTD)'!$G:$G,B78,'[1]TrialBalance (YTD)'!$I:$I))</f>
        <v>#VALUE!</v>
      </c>
      <c r="G78" s="5">
        <f>IFERROR(INDEX('[1]TrialBalance (YTD)'!$G:$S,MATCH([1]TBMapping!$C80,'[1]TrialBalance (YTD)'!G:G,0),MATCH([1]TBMapping!H$3,'[1]TrialBalance (YTD)'!$G$7:$Z$7,0)),0)</f>
        <v>0</v>
      </c>
      <c r="H78" s="5" t="e">
        <f>SUMIF('[1]TrialBalance (YTD)'!G:G,B78,'[1]TrialBalance (YTD)'!H:H)</f>
        <v>#VALUE!</v>
      </c>
      <c r="I78" s="5">
        <f>IFERROR(INDEX('[1]TrialBalance (YTD)'!$G:$S,MATCH([1]TBMapping!$C80,'[1]TrialBalance (YTD)'!G:G,0),MATCH([1]TBMapping!J$3,'[1]TrialBalance (YTD)'!$G$7:$Z$7,0)),0)</f>
        <v>0</v>
      </c>
      <c r="K78" s="5" t="e">
        <f>SUMIF('[1]TrialBalance (Quarter)'!$A:$A,B78,'[1]TrialBalance (Quarter)'!$B:$B)</f>
        <v>#VALUE!</v>
      </c>
      <c r="L78" s="5">
        <f>IFERROR(INDEX('[1]TrialBalance (Quarter)'!$A:$L,MATCH([1]TBMapping!$C80,'[1]TrialBalance (Quarter)'!A:A,0),MATCH([1]TBMapping!M$3,'[1]TrialBalance (Quarter)'!$7:$7,0)),0)</f>
        <v>0</v>
      </c>
      <c r="M78" s="5">
        <f>IFERROR(INDEX('[1]TrialBalance (Quarter)'!$A:$L,MATCH([1]TBMapping!$C80,'[1]TrialBalance (Quarter)'!A:A,0),MATCH([1]TBMapping!N$3,'[1]TrialBalance (Quarter)'!$7:$7,0)),0)</f>
        <v>0</v>
      </c>
      <c r="N78" s="5">
        <f>IFERROR(INDEX('[1]TrialBalance (Quarter)'!$A:$L,MATCH([1]TBMapping!$C80,'[1]TrialBalance (Quarter)'!A:A,0),MATCH([1]TBMapping!O$3,'[1]TrialBalance (Quarter)'!$7:$7,0)),0)</f>
        <v>0</v>
      </c>
    </row>
    <row r="79" spans="1:14">
      <c r="A79" s="2">
        <v>101</v>
      </c>
      <c r="B79" s="3">
        <v>103131</v>
      </c>
      <c r="C79" s="10" t="s">
        <v>71</v>
      </c>
      <c r="D79" s="10" t="s">
        <v>11</v>
      </c>
      <c r="E79" s="10"/>
      <c r="F79" s="5" t="e">
        <f>IF(DataExtraction="Manual",SUMIF('[1]TrialBalance (YTD)'!$C:$C,B79,'[1]TrialBalance (YTD)'!$E:$E),SUMIF('[1]TrialBalance (YTD)'!$G:$G,B79,'[1]TrialBalance (YTD)'!$I:$I))</f>
        <v>#VALUE!</v>
      </c>
      <c r="G79" s="5">
        <f>IFERROR(INDEX('[1]TrialBalance (YTD)'!$G:$S,MATCH([1]TBMapping!$C81,'[1]TrialBalance (YTD)'!G:G,0),MATCH([1]TBMapping!H$3,'[1]TrialBalance (YTD)'!$G$7:$Z$7,0)),0)</f>
        <v>0</v>
      </c>
      <c r="H79" s="5" t="e">
        <f>SUMIF('[1]TrialBalance (YTD)'!G:G,B79,'[1]TrialBalance (YTD)'!H:H)</f>
        <v>#VALUE!</v>
      </c>
      <c r="I79" s="5">
        <f>IFERROR(INDEX('[1]TrialBalance (YTD)'!$G:$S,MATCH([1]TBMapping!$C81,'[1]TrialBalance (YTD)'!G:G,0),MATCH([1]TBMapping!J$3,'[1]TrialBalance (YTD)'!$G$7:$Z$7,0)),0)</f>
        <v>-15988028</v>
      </c>
      <c r="K79" s="5" t="e">
        <f>SUMIF('[1]TrialBalance (Quarter)'!$A:$A,B79,'[1]TrialBalance (Quarter)'!$B:$B)</f>
        <v>#VALUE!</v>
      </c>
      <c r="L79" s="5">
        <f>IFERROR(INDEX('[1]TrialBalance (Quarter)'!$A:$L,MATCH([1]TBMapping!$C81,'[1]TrialBalance (Quarter)'!A:A,0),MATCH([1]TBMapping!M$3,'[1]TrialBalance (Quarter)'!$7:$7,0)),0)</f>
        <v>0</v>
      </c>
      <c r="M79" s="5">
        <f>IFERROR(INDEX('[1]TrialBalance (Quarter)'!$A:$L,MATCH([1]TBMapping!$C81,'[1]TrialBalance (Quarter)'!A:A,0),MATCH([1]TBMapping!N$3,'[1]TrialBalance (Quarter)'!$7:$7,0)),0)</f>
        <v>0</v>
      </c>
      <c r="N79" s="5">
        <f>IFERROR(INDEX('[1]TrialBalance (Quarter)'!$A:$L,MATCH([1]TBMapping!$C81,'[1]TrialBalance (Quarter)'!A:A,0),MATCH([1]TBMapping!O$3,'[1]TrialBalance (Quarter)'!$7:$7,0)),0)</f>
        <v>0</v>
      </c>
    </row>
    <row r="80" spans="1:14">
      <c r="B80" s="3">
        <v>103199</v>
      </c>
      <c r="C80" s="11" t="s">
        <v>72</v>
      </c>
      <c r="D80" s="11" t="s">
        <v>16</v>
      </c>
      <c r="E80" s="11"/>
      <c r="F80" s="5" t="e">
        <f>IF(DataExtraction="Manual",SUMIF('[1]TrialBalance (YTD)'!$C:$C,B80,'[1]TrialBalance (YTD)'!$E:$E),SUMIF('[1]TrialBalance (YTD)'!$G:$G,B80,'[1]TrialBalance (YTD)'!$I:$I))</f>
        <v>#VALUE!</v>
      </c>
      <c r="G80" s="5">
        <f>IFERROR(INDEX('[1]TrialBalance (YTD)'!$G:$S,MATCH([1]TBMapping!$C82,'[1]TrialBalance (YTD)'!G:G,0),MATCH([1]TBMapping!H$3,'[1]TrialBalance (YTD)'!$G$7:$Z$7,0)),0)</f>
        <v>0</v>
      </c>
      <c r="H80" s="5" t="e">
        <f>SUMIF('[1]TrialBalance (YTD)'!G:G,B80,'[1]TrialBalance (YTD)'!H:H)</f>
        <v>#VALUE!</v>
      </c>
      <c r="I80" s="5">
        <f>IFERROR(INDEX('[1]TrialBalance (YTD)'!$G:$S,MATCH([1]TBMapping!$C82,'[1]TrialBalance (YTD)'!G:G,0),MATCH([1]TBMapping!J$3,'[1]TrialBalance (YTD)'!$G$7:$Z$7,0)),0)</f>
        <v>0</v>
      </c>
      <c r="K80" s="5" t="e">
        <f>SUMIF('[1]TrialBalance (Quarter)'!$A:$A,B80,'[1]TrialBalance (Quarter)'!$B:$B)</f>
        <v>#VALUE!</v>
      </c>
      <c r="L80" s="5">
        <f>IFERROR(INDEX('[1]TrialBalance (Quarter)'!$A:$L,MATCH([1]TBMapping!$C82,'[1]TrialBalance (Quarter)'!A:A,0),MATCH([1]TBMapping!M$3,'[1]TrialBalance (Quarter)'!$7:$7,0)),0)</f>
        <v>0</v>
      </c>
      <c r="M80" s="5">
        <f>IFERROR(INDEX('[1]TrialBalance (Quarter)'!$A:$L,MATCH([1]TBMapping!$C82,'[1]TrialBalance (Quarter)'!A:A,0),MATCH([1]TBMapping!N$3,'[1]TrialBalance (Quarter)'!$7:$7,0)),0)</f>
        <v>0</v>
      </c>
      <c r="N80" s="5">
        <f>IFERROR(INDEX('[1]TrialBalance (Quarter)'!$A:$L,MATCH([1]TBMapping!$C82,'[1]TrialBalance (Quarter)'!A:A,0),MATCH([1]TBMapping!O$3,'[1]TrialBalance (Quarter)'!$7:$7,0)),0)</f>
        <v>0</v>
      </c>
    </row>
    <row r="81" spans="1:14">
      <c r="B81" s="3">
        <v>103200</v>
      </c>
      <c r="C81" s="10" t="s">
        <v>73</v>
      </c>
      <c r="D81" s="10" t="s">
        <v>5</v>
      </c>
      <c r="E81" s="10"/>
      <c r="F81" s="5" t="e">
        <f>IF(DataExtraction="Manual",SUMIF('[1]TrialBalance (YTD)'!$C:$C,B81,'[1]TrialBalance (YTD)'!$E:$E),SUMIF('[1]TrialBalance (YTD)'!$G:$G,B81,'[1]TrialBalance (YTD)'!$I:$I))</f>
        <v>#VALUE!</v>
      </c>
      <c r="G81" s="5">
        <f>IFERROR(INDEX('[1]TrialBalance (YTD)'!$G:$S,MATCH([1]TBMapping!$C83,'[1]TrialBalance (YTD)'!G:G,0),MATCH([1]TBMapping!H$3,'[1]TrialBalance (YTD)'!$G$7:$Z$7,0)),0)</f>
        <v>0</v>
      </c>
      <c r="H81" s="5" t="e">
        <f>SUMIF('[1]TrialBalance (YTD)'!G:G,B81,'[1]TrialBalance (YTD)'!H:H)</f>
        <v>#VALUE!</v>
      </c>
      <c r="I81" s="5">
        <f>IFERROR(INDEX('[1]TrialBalance (YTD)'!$G:$S,MATCH([1]TBMapping!$C83,'[1]TrialBalance (YTD)'!G:G,0),MATCH([1]TBMapping!J$3,'[1]TrialBalance (YTD)'!$G$7:$Z$7,0)),0)</f>
        <v>0</v>
      </c>
      <c r="K81" s="5" t="e">
        <f>SUMIF('[1]TrialBalance (Quarter)'!$A:$A,B81,'[1]TrialBalance (Quarter)'!$B:$B)</f>
        <v>#VALUE!</v>
      </c>
      <c r="L81" s="5">
        <f>IFERROR(INDEX('[1]TrialBalance (Quarter)'!$A:$L,MATCH([1]TBMapping!$C83,'[1]TrialBalance (Quarter)'!A:A,0),MATCH([1]TBMapping!M$3,'[1]TrialBalance (Quarter)'!$7:$7,0)),0)</f>
        <v>0</v>
      </c>
      <c r="M81" s="5">
        <f>IFERROR(INDEX('[1]TrialBalance (Quarter)'!$A:$L,MATCH([1]TBMapping!$C83,'[1]TrialBalance (Quarter)'!A:A,0),MATCH([1]TBMapping!N$3,'[1]TrialBalance (Quarter)'!$7:$7,0)),0)</f>
        <v>0</v>
      </c>
      <c r="N81" s="5">
        <f>IFERROR(INDEX('[1]TrialBalance (Quarter)'!$A:$L,MATCH([1]TBMapping!$C83,'[1]TrialBalance (Quarter)'!A:A,0),MATCH([1]TBMapping!O$3,'[1]TrialBalance (Quarter)'!$7:$7,0)),0)</f>
        <v>0</v>
      </c>
    </row>
    <row r="82" spans="1:14">
      <c r="B82" s="3">
        <v>103201</v>
      </c>
      <c r="C82" s="10" t="s">
        <v>74</v>
      </c>
      <c r="D82" s="10" t="s">
        <v>5</v>
      </c>
      <c r="E82" s="10"/>
      <c r="F82" s="5" t="e">
        <f>IF(DataExtraction="Manual",SUMIF('[1]TrialBalance (YTD)'!$C:$C,B82,'[1]TrialBalance (YTD)'!$E:$E),SUMIF('[1]TrialBalance (YTD)'!$G:$G,B82,'[1]TrialBalance (YTD)'!$I:$I))</f>
        <v>#VALUE!</v>
      </c>
      <c r="G82" s="5">
        <f>IFERROR(INDEX('[1]TrialBalance (YTD)'!$G:$S,MATCH([1]TBMapping!$C84,'[1]TrialBalance (YTD)'!G:G,0),MATCH([1]TBMapping!H$3,'[1]TrialBalance (YTD)'!$G$7:$Z$7,0)),0)</f>
        <v>0</v>
      </c>
      <c r="H82" s="5" t="e">
        <f>SUMIF('[1]TrialBalance (YTD)'!G:G,B82,'[1]TrialBalance (YTD)'!H:H)</f>
        <v>#VALUE!</v>
      </c>
      <c r="I82" s="5">
        <f>IFERROR(INDEX('[1]TrialBalance (YTD)'!$G:$S,MATCH([1]TBMapping!$C84,'[1]TrialBalance (YTD)'!G:G,0),MATCH([1]TBMapping!J$3,'[1]TrialBalance (YTD)'!$G$7:$Z$7,0)),0)</f>
        <v>0</v>
      </c>
      <c r="K82" s="5" t="e">
        <f>SUMIF('[1]TrialBalance (Quarter)'!$A:$A,B82,'[1]TrialBalance (Quarter)'!$B:$B)</f>
        <v>#VALUE!</v>
      </c>
      <c r="L82" s="5">
        <f>IFERROR(INDEX('[1]TrialBalance (Quarter)'!$A:$L,MATCH([1]TBMapping!$C84,'[1]TrialBalance (Quarter)'!A:A,0),MATCH([1]TBMapping!M$3,'[1]TrialBalance (Quarter)'!$7:$7,0)),0)</f>
        <v>0</v>
      </c>
      <c r="M82" s="5">
        <f>IFERROR(INDEX('[1]TrialBalance (Quarter)'!$A:$L,MATCH([1]TBMapping!$C84,'[1]TrialBalance (Quarter)'!A:A,0),MATCH([1]TBMapping!N$3,'[1]TrialBalance (Quarter)'!$7:$7,0)),0)</f>
        <v>0</v>
      </c>
      <c r="N82" s="5">
        <f>IFERROR(INDEX('[1]TrialBalance (Quarter)'!$A:$L,MATCH([1]TBMapping!$C84,'[1]TrialBalance (Quarter)'!A:A,0),MATCH([1]TBMapping!O$3,'[1]TrialBalance (Quarter)'!$7:$7,0)),0)</f>
        <v>0</v>
      </c>
    </row>
    <row r="83" spans="1:14">
      <c r="A83" s="2">
        <v>101</v>
      </c>
      <c r="B83" s="3">
        <v>103210</v>
      </c>
      <c r="C83" s="11" t="s">
        <v>75</v>
      </c>
      <c r="D83" s="11" t="s">
        <v>11</v>
      </c>
      <c r="E83" s="11"/>
      <c r="F83" s="5" t="e">
        <f>IF(DataExtraction="Manual",SUMIF('[1]TrialBalance (YTD)'!$C:$C,B83,'[1]TrialBalance (YTD)'!$E:$E),SUMIF('[1]TrialBalance (YTD)'!$G:$G,B83,'[1]TrialBalance (YTD)'!$I:$I))</f>
        <v>#VALUE!</v>
      </c>
      <c r="G83" s="5">
        <f>IFERROR(INDEX('[1]TrialBalance (YTD)'!$G:$S,MATCH([1]TBMapping!$C85,'[1]TrialBalance (YTD)'!G:G,0),MATCH([1]TBMapping!H$3,'[1]TrialBalance (YTD)'!$G$7:$Z$7,0)),0)</f>
        <v>0</v>
      </c>
      <c r="H83" s="5" t="e">
        <f>SUMIF('[1]TrialBalance (YTD)'!G:G,B83,'[1]TrialBalance (YTD)'!H:H)</f>
        <v>#VALUE!</v>
      </c>
      <c r="I83" s="5">
        <f>IFERROR(INDEX('[1]TrialBalance (YTD)'!$G:$S,MATCH([1]TBMapping!$C85,'[1]TrialBalance (YTD)'!G:G,0),MATCH([1]TBMapping!J$3,'[1]TrialBalance (YTD)'!$G$7:$Z$7,0)),0)</f>
        <v>0</v>
      </c>
      <c r="K83" s="5" t="e">
        <f>SUMIF('[1]TrialBalance (Quarter)'!$A:$A,B83,'[1]TrialBalance (Quarter)'!$B:$B)</f>
        <v>#VALUE!</v>
      </c>
      <c r="L83" s="5">
        <f>IFERROR(INDEX('[1]TrialBalance (Quarter)'!$A:$L,MATCH([1]TBMapping!$C85,'[1]TrialBalance (Quarter)'!A:A,0),MATCH([1]TBMapping!M$3,'[1]TrialBalance (Quarter)'!$7:$7,0)),0)</f>
        <v>0</v>
      </c>
      <c r="M83" s="5">
        <f>IFERROR(INDEX('[1]TrialBalance (Quarter)'!$A:$L,MATCH([1]TBMapping!$C85,'[1]TrialBalance (Quarter)'!A:A,0),MATCH([1]TBMapping!N$3,'[1]TrialBalance (Quarter)'!$7:$7,0)),0)</f>
        <v>0</v>
      </c>
      <c r="N83" s="5">
        <f>IFERROR(INDEX('[1]TrialBalance (Quarter)'!$A:$L,MATCH([1]TBMapping!$C85,'[1]TrialBalance (Quarter)'!A:A,0),MATCH([1]TBMapping!O$3,'[1]TrialBalance (Quarter)'!$7:$7,0)),0)</f>
        <v>0</v>
      </c>
    </row>
    <row r="84" spans="1:14">
      <c r="B84" s="3">
        <v>103299</v>
      </c>
      <c r="C84" s="10" t="s">
        <v>76</v>
      </c>
      <c r="D84" s="10" t="s">
        <v>16</v>
      </c>
      <c r="E84" s="10"/>
      <c r="F84" s="5" t="e">
        <f>IF(DataExtraction="Manual",SUMIF('[1]TrialBalance (YTD)'!$C:$C,B84,'[1]TrialBalance (YTD)'!$E:$E),SUMIF('[1]TrialBalance (YTD)'!$G:$G,B84,'[1]TrialBalance (YTD)'!$I:$I))</f>
        <v>#VALUE!</v>
      </c>
      <c r="G84" s="5">
        <f>IFERROR(INDEX('[1]TrialBalance (YTD)'!$G:$S,MATCH([1]TBMapping!$C86,'[1]TrialBalance (YTD)'!G:G,0),MATCH([1]TBMapping!H$3,'[1]TrialBalance (YTD)'!$G$7:$Z$7,0)),0)</f>
        <v>0</v>
      </c>
      <c r="H84" s="5" t="e">
        <f>SUMIF('[1]TrialBalance (YTD)'!G:G,B84,'[1]TrialBalance (YTD)'!H:H)</f>
        <v>#VALUE!</v>
      </c>
      <c r="I84" s="5">
        <f>IFERROR(INDEX('[1]TrialBalance (YTD)'!$G:$S,MATCH([1]TBMapping!$C86,'[1]TrialBalance (YTD)'!G:G,0),MATCH([1]TBMapping!J$3,'[1]TrialBalance (YTD)'!$G$7:$Z$7,0)),0)</f>
        <v>0</v>
      </c>
      <c r="K84" s="5" t="e">
        <f>SUMIF('[1]TrialBalance (Quarter)'!$A:$A,B84,'[1]TrialBalance (Quarter)'!$B:$B)</f>
        <v>#VALUE!</v>
      </c>
      <c r="L84" s="5">
        <f>IFERROR(INDEX('[1]TrialBalance (Quarter)'!$A:$L,MATCH([1]TBMapping!$C86,'[1]TrialBalance (Quarter)'!A:A,0),MATCH([1]TBMapping!M$3,'[1]TrialBalance (Quarter)'!$7:$7,0)),0)</f>
        <v>0</v>
      </c>
      <c r="M84" s="5">
        <f>IFERROR(INDEX('[1]TrialBalance (Quarter)'!$A:$L,MATCH([1]TBMapping!$C86,'[1]TrialBalance (Quarter)'!A:A,0),MATCH([1]TBMapping!N$3,'[1]TrialBalance (Quarter)'!$7:$7,0)),0)</f>
        <v>0</v>
      </c>
      <c r="N84" s="5">
        <f>IFERROR(INDEX('[1]TrialBalance (Quarter)'!$A:$L,MATCH([1]TBMapping!$C86,'[1]TrialBalance (Quarter)'!A:A,0),MATCH([1]TBMapping!O$3,'[1]TrialBalance (Quarter)'!$7:$7,0)),0)</f>
        <v>0</v>
      </c>
    </row>
    <row r="85" spans="1:14">
      <c r="B85" s="3">
        <v>103300</v>
      </c>
      <c r="C85" s="11" t="s">
        <v>77</v>
      </c>
      <c r="D85" s="11" t="s">
        <v>5</v>
      </c>
      <c r="E85" s="11"/>
      <c r="F85" s="5" t="e">
        <f>IF(DataExtraction="Manual",SUMIF('[1]TrialBalance (YTD)'!$C:$C,B85,'[1]TrialBalance (YTD)'!$E:$E),SUMIF('[1]TrialBalance (YTD)'!$G:$G,B85,'[1]TrialBalance (YTD)'!$I:$I))</f>
        <v>#VALUE!</v>
      </c>
      <c r="G85" s="5">
        <f>IFERROR(INDEX('[1]TrialBalance (YTD)'!$G:$S,MATCH([1]TBMapping!$C87,'[1]TrialBalance (YTD)'!G:G,0),MATCH([1]TBMapping!H$3,'[1]TrialBalance (YTD)'!$G$7:$Z$7,0)),0)</f>
        <v>0</v>
      </c>
      <c r="H85" s="5" t="e">
        <f>SUMIF('[1]TrialBalance (YTD)'!G:G,B85,'[1]TrialBalance (YTD)'!H:H)</f>
        <v>#VALUE!</v>
      </c>
      <c r="I85" s="5">
        <f>IFERROR(INDEX('[1]TrialBalance (YTD)'!$G:$S,MATCH([1]TBMapping!$C87,'[1]TrialBalance (YTD)'!G:G,0),MATCH([1]TBMapping!J$3,'[1]TrialBalance (YTD)'!$G$7:$Z$7,0)),0)</f>
        <v>0</v>
      </c>
      <c r="K85" s="5" t="e">
        <f>SUMIF('[1]TrialBalance (Quarter)'!$A:$A,B85,'[1]TrialBalance (Quarter)'!$B:$B)</f>
        <v>#VALUE!</v>
      </c>
      <c r="L85" s="5">
        <f>IFERROR(INDEX('[1]TrialBalance (Quarter)'!$A:$L,MATCH([1]TBMapping!$C87,'[1]TrialBalance (Quarter)'!A:A,0),MATCH([1]TBMapping!M$3,'[1]TrialBalance (Quarter)'!$7:$7,0)),0)</f>
        <v>0</v>
      </c>
      <c r="M85" s="5">
        <f>IFERROR(INDEX('[1]TrialBalance (Quarter)'!$A:$L,MATCH([1]TBMapping!$C87,'[1]TrialBalance (Quarter)'!A:A,0),MATCH([1]TBMapping!N$3,'[1]TrialBalance (Quarter)'!$7:$7,0)),0)</f>
        <v>0</v>
      </c>
      <c r="N85" s="5">
        <f>IFERROR(INDEX('[1]TrialBalance (Quarter)'!$A:$L,MATCH([1]TBMapping!$C87,'[1]TrialBalance (Quarter)'!A:A,0),MATCH([1]TBMapping!O$3,'[1]TrialBalance (Quarter)'!$7:$7,0)),0)</f>
        <v>0</v>
      </c>
    </row>
    <row r="86" spans="1:14">
      <c r="A86" s="2">
        <v>104</v>
      </c>
      <c r="B86" s="3">
        <v>103310</v>
      </c>
      <c r="C86" s="10" t="s">
        <v>78</v>
      </c>
      <c r="D86" s="10" t="s">
        <v>11</v>
      </c>
      <c r="E86" s="10"/>
      <c r="F86" s="5" t="e">
        <f>IF(DataExtraction="Manual",SUMIF('[1]TrialBalance (YTD)'!$C:$C,B86,'[1]TrialBalance (YTD)'!$E:$E),SUMIF('[1]TrialBalance (YTD)'!$G:$G,B86,'[1]TrialBalance (YTD)'!$I:$I))</f>
        <v>#VALUE!</v>
      </c>
      <c r="G86" s="5">
        <f>IFERROR(INDEX('[1]TrialBalance (YTD)'!$G:$S,MATCH([1]TBMapping!$C88,'[1]TrialBalance (YTD)'!G:G,0),MATCH([1]TBMapping!H$3,'[1]TrialBalance (YTD)'!$G$7:$Z$7,0)),0)</f>
        <v>0</v>
      </c>
      <c r="H86" s="5" t="e">
        <f>SUMIF('[1]TrialBalance (YTD)'!G:G,B86,'[1]TrialBalance (YTD)'!H:H)</f>
        <v>#VALUE!</v>
      </c>
      <c r="I86" s="5">
        <f>IFERROR(INDEX('[1]TrialBalance (YTD)'!$G:$S,MATCH([1]TBMapping!$C88,'[1]TrialBalance (YTD)'!G:G,0),MATCH([1]TBMapping!J$3,'[1]TrialBalance (YTD)'!$G$7:$Z$7,0)),0)</f>
        <v>0</v>
      </c>
      <c r="K86" s="5" t="e">
        <f>SUMIF('[1]TrialBalance (Quarter)'!$A:$A,B86,'[1]TrialBalance (Quarter)'!$B:$B)</f>
        <v>#VALUE!</v>
      </c>
      <c r="L86" s="5">
        <f>IFERROR(INDEX('[1]TrialBalance (Quarter)'!$A:$L,MATCH([1]TBMapping!$C88,'[1]TrialBalance (Quarter)'!A:A,0),MATCH([1]TBMapping!M$3,'[1]TrialBalance (Quarter)'!$7:$7,0)),0)</f>
        <v>0</v>
      </c>
      <c r="M86" s="5">
        <f>IFERROR(INDEX('[1]TrialBalance (Quarter)'!$A:$L,MATCH([1]TBMapping!$C88,'[1]TrialBalance (Quarter)'!A:A,0),MATCH([1]TBMapping!N$3,'[1]TrialBalance (Quarter)'!$7:$7,0)),0)</f>
        <v>0</v>
      </c>
      <c r="N86" s="5">
        <f>IFERROR(INDEX('[1]TrialBalance (Quarter)'!$A:$L,MATCH([1]TBMapping!$C88,'[1]TrialBalance (Quarter)'!A:A,0),MATCH([1]TBMapping!O$3,'[1]TrialBalance (Quarter)'!$7:$7,0)),0)</f>
        <v>0</v>
      </c>
    </row>
    <row r="87" spans="1:14">
      <c r="A87" s="2">
        <v>104</v>
      </c>
      <c r="B87" s="3">
        <v>103340</v>
      </c>
      <c r="C87" s="11" t="s">
        <v>79</v>
      </c>
      <c r="D87" s="11" t="s">
        <v>11</v>
      </c>
      <c r="E87" s="11"/>
      <c r="F87" s="5" t="e">
        <f>IF(DataExtraction="Manual",SUMIF('[1]TrialBalance (YTD)'!$C:$C,B87,'[1]TrialBalance (YTD)'!$E:$E),SUMIF('[1]TrialBalance (YTD)'!$G:$G,B87,'[1]TrialBalance (YTD)'!$I:$I))</f>
        <v>#VALUE!</v>
      </c>
      <c r="G87" s="5">
        <f>IFERROR(INDEX('[1]TrialBalance (YTD)'!$G:$S,MATCH([1]TBMapping!$C89,'[1]TrialBalance (YTD)'!G:G,0),MATCH([1]TBMapping!H$3,'[1]TrialBalance (YTD)'!$G$7:$Z$7,0)),0)</f>
        <v>0</v>
      </c>
      <c r="H87" s="5" t="e">
        <f>SUMIF('[1]TrialBalance (YTD)'!G:G,B87,'[1]TrialBalance (YTD)'!H:H)</f>
        <v>#VALUE!</v>
      </c>
      <c r="I87" s="5">
        <f>IFERROR(INDEX('[1]TrialBalance (YTD)'!$G:$S,MATCH([1]TBMapping!$C89,'[1]TrialBalance (YTD)'!G:G,0),MATCH([1]TBMapping!J$3,'[1]TrialBalance (YTD)'!$G$7:$Z$7,0)),0)</f>
        <v>0</v>
      </c>
      <c r="K87" s="5" t="e">
        <f>SUMIF('[1]TrialBalance (Quarter)'!$A:$A,B87,'[1]TrialBalance (Quarter)'!$B:$B)</f>
        <v>#VALUE!</v>
      </c>
      <c r="L87" s="5">
        <f>IFERROR(INDEX('[1]TrialBalance (Quarter)'!$A:$L,MATCH([1]TBMapping!$C89,'[1]TrialBalance (Quarter)'!A:A,0),MATCH([1]TBMapping!M$3,'[1]TrialBalance (Quarter)'!$7:$7,0)),0)</f>
        <v>0</v>
      </c>
      <c r="M87" s="5">
        <f>IFERROR(INDEX('[1]TrialBalance (Quarter)'!$A:$L,MATCH([1]TBMapping!$C89,'[1]TrialBalance (Quarter)'!A:A,0),MATCH([1]TBMapping!N$3,'[1]TrialBalance (Quarter)'!$7:$7,0)),0)</f>
        <v>0</v>
      </c>
      <c r="N87" s="5">
        <f>IFERROR(INDEX('[1]TrialBalance (Quarter)'!$A:$L,MATCH([1]TBMapping!$C89,'[1]TrialBalance (Quarter)'!A:A,0),MATCH([1]TBMapping!O$3,'[1]TrialBalance (Quarter)'!$7:$7,0)),0)</f>
        <v>0</v>
      </c>
    </row>
    <row r="88" spans="1:14">
      <c r="A88" s="2">
        <v>104</v>
      </c>
      <c r="B88" s="3">
        <v>103345</v>
      </c>
      <c r="C88" s="10" t="s">
        <v>80</v>
      </c>
      <c r="D88" s="10" t="s">
        <v>11</v>
      </c>
      <c r="E88" s="10"/>
      <c r="F88" s="5" t="e">
        <f>IF(DataExtraction="Manual",SUMIF('[1]TrialBalance (YTD)'!$C:$C,B88,'[1]TrialBalance (YTD)'!$E:$E),SUMIF('[1]TrialBalance (YTD)'!$G:$G,B88,'[1]TrialBalance (YTD)'!$I:$I))</f>
        <v>#VALUE!</v>
      </c>
      <c r="G88" s="5">
        <f>IFERROR(INDEX('[1]TrialBalance (YTD)'!$G:$S,MATCH([1]TBMapping!$C90,'[1]TrialBalance (YTD)'!G:G,0),MATCH([1]TBMapping!H$3,'[1]TrialBalance (YTD)'!$G$7:$Z$7,0)),0)</f>
        <v>0</v>
      </c>
      <c r="H88" s="5" t="e">
        <f>SUMIF('[1]TrialBalance (YTD)'!G:G,B88,'[1]TrialBalance (YTD)'!H:H)</f>
        <v>#VALUE!</v>
      </c>
      <c r="I88" s="5">
        <f>IFERROR(INDEX('[1]TrialBalance (YTD)'!$G:$S,MATCH([1]TBMapping!$C90,'[1]TrialBalance (YTD)'!G:G,0),MATCH([1]TBMapping!J$3,'[1]TrialBalance (YTD)'!$G$7:$Z$7,0)),0)</f>
        <v>0</v>
      </c>
      <c r="K88" s="5" t="e">
        <f>SUMIF('[1]TrialBalance (Quarter)'!$A:$A,B88,'[1]TrialBalance (Quarter)'!$B:$B)</f>
        <v>#VALUE!</v>
      </c>
      <c r="L88" s="5">
        <f>IFERROR(INDEX('[1]TrialBalance (Quarter)'!$A:$L,MATCH([1]TBMapping!$C90,'[1]TrialBalance (Quarter)'!A:A,0),MATCH([1]TBMapping!M$3,'[1]TrialBalance (Quarter)'!$7:$7,0)),0)</f>
        <v>0</v>
      </c>
      <c r="M88" s="5">
        <f>IFERROR(INDEX('[1]TrialBalance (Quarter)'!$A:$L,MATCH([1]TBMapping!$C90,'[1]TrialBalance (Quarter)'!A:A,0),MATCH([1]TBMapping!N$3,'[1]TrialBalance (Quarter)'!$7:$7,0)),0)</f>
        <v>0</v>
      </c>
      <c r="N88" s="5">
        <f>IFERROR(INDEX('[1]TrialBalance (Quarter)'!$A:$L,MATCH([1]TBMapping!$C90,'[1]TrialBalance (Quarter)'!A:A,0),MATCH([1]TBMapping!O$3,'[1]TrialBalance (Quarter)'!$7:$7,0)),0)</f>
        <v>0</v>
      </c>
    </row>
    <row r="89" spans="1:14">
      <c r="A89" s="2">
        <v>104</v>
      </c>
      <c r="B89" s="3">
        <v>103346</v>
      </c>
      <c r="C89" s="11" t="s">
        <v>81</v>
      </c>
      <c r="D89" s="11" t="s">
        <v>11</v>
      </c>
      <c r="E89" s="11"/>
      <c r="F89" s="5" t="e">
        <f>IF(DataExtraction="Manual",SUMIF('[1]TrialBalance (YTD)'!$C:$C,B89,'[1]TrialBalance (YTD)'!$E:$E),SUMIF('[1]TrialBalance (YTD)'!$G:$G,B89,'[1]TrialBalance (YTD)'!$I:$I))</f>
        <v>#VALUE!</v>
      </c>
      <c r="G89" s="5">
        <f>IFERROR(INDEX('[1]TrialBalance (YTD)'!$G:$S,MATCH([1]TBMapping!$C91,'[1]TrialBalance (YTD)'!G:G,0),MATCH([1]TBMapping!H$3,'[1]TrialBalance (YTD)'!$G$7:$Z$7,0)),0)</f>
        <v>0</v>
      </c>
      <c r="H89" s="5" t="e">
        <f>SUMIF('[1]TrialBalance (YTD)'!G:G,B89,'[1]TrialBalance (YTD)'!H:H)</f>
        <v>#VALUE!</v>
      </c>
      <c r="I89" s="5">
        <f>IFERROR(INDEX('[1]TrialBalance (YTD)'!$G:$S,MATCH([1]TBMapping!$C91,'[1]TrialBalance (YTD)'!G:G,0),MATCH([1]TBMapping!J$3,'[1]TrialBalance (YTD)'!$G$7:$Z$7,0)),0)</f>
        <v>0</v>
      </c>
      <c r="K89" s="5" t="e">
        <f>SUMIF('[1]TrialBalance (Quarter)'!$A:$A,B89,'[1]TrialBalance (Quarter)'!$B:$B)</f>
        <v>#VALUE!</v>
      </c>
      <c r="L89" s="5">
        <f>IFERROR(INDEX('[1]TrialBalance (Quarter)'!$A:$L,MATCH([1]TBMapping!$C91,'[1]TrialBalance (Quarter)'!A:A,0),MATCH([1]TBMapping!M$3,'[1]TrialBalance (Quarter)'!$7:$7,0)),0)</f>
        <v>0</v>
      </c>
      <c r="M89" s="5">
        <f>IFERROR(INDEX('[1]TrialBalance (Quarter)'!$A:$L,MATCH([1]TBMapping!$C91,'[1]TrialBalance (Quarter)'!A:A,0),MATCH([1]TBMapping!N$3,'[1]TrialBalance (Quarter)'!$7:$7,0)),0)</f>
        <v>0</v>
      </c>
      <c r="N89" s="5">
        <f>IFERROR(INDEX('[1]TrialBalance (Quarter)'!$A:$L,MATCH([1]TBMapping!$C91,'[1]TrialBalance (Quarter)'!A:A,0),MATCH([1]TBMapping!O$3,'[1]TrialBalance (Quarter)'!$7:$7,0)),0)</f>
        <v>0</v>
      </c>
    </row>
    <row r="90" spans="1:14">
      <c r="A90" s="2">
        <v>104</v>
      </c>
      <c r="B90" s="3">
        <v>103347</v>
      </c>
      <c r="C90" s="10" t="s">
        <v>82</v>
      </c>
      <c r="D90" s="10" t="s">
        <v>11</v>
      </c>
      <c r="E90" s="10"/>
      <c r="F90" s="5" t="e">
        <f>IF(DataExtraction="Manual",SUMIF('[1]TrialBalance (YTD)'!$C:$C,B90,'[1]TrialBalance (YTD)'!$E:$E),SUMIF('[1]TrialBalance (YTD)'!$G:$G,B90,'[1]TrialBalance (YTD)'!$I:$I))</f>
        <v>#VALUE!</v>
      </c>
      <c r="G90" s="5">
        <f>IFERROR(INDEX('[1]TrialBalance (YTD)'!$G:$S,MATCH([1]TBMapping!$C92,'[1]TrialBalance (YTD)'!G:G,0),MATCH([1]TBMapping!H$3,'[1]TrialBalance (YTD)'!$G$7:$Z$7,0)),0)</f>
        <v>0</v>
      </c>
      <c r="H90" s="5" t="e">
        <f>SUMIF('[1]TrialBalance (YTD)'!G:G,B90,'[1]TrialBalance (YTD)'!H:H)</f>
        <v>#VALUE!</v>
      </c>
      <c r="I90" s="5">
        <f>IFERROR(INDEX('[1]TrialBalance (YTD)'!$G:$S,MATCH([1]TBMapping!$C92,'[1]TrialBalance (YTD)'!G:G,0),MATCH([1]TBMapping!J$3,'[1]TrialBalance (YTD)'!$G$7:$Z$7,0)),0)</f>
        <v>0</v>
      </c>
      <c r="K90" s="5" t="e">
        <f>SUMIF('[1]TrialBalance (Quarter)'!$A:$A,B90,'[1]TrialBalance (Quarter)'!$B:$B)</f>
        <v>#VALUE!</v>
      </c>
      <c r="L90" s="5">
        <f>IFERROR(INDEX('[1]TrialBalance (Quarter)'!$A:$L,MATCH([1]TBMapping!$C92,'[1]TrialBalance (Quarter)'!A:A,0),MATCH([1]TBMapping!M$3,'[1]TrialBalance (Quarter)'!$7:$7,0)),0)</f>
        <v>0</v>
      </c>
      <c r="M90" s="5">
        <f>IFERROR(INDEX('[1]TrialBalance (Quarter)'!$A:$L,MATCH([1]TBMapping!$C92,'[1]TrialBalance (Quarter)'!A:A,0),MATCH([1]TBMapping!N$3,'[1]TrialBalance (Quarter)'!$7:$7,0)),0)</f>
        <v>0</v>
      </c>
      <c r="N90" s="5">
        <f>IFERROR(INDEX('[1]TrialBalance (Quarter)'!$A:$L,MATCH([1]TBMapping!$C92,'[1]TrialBalance (Quarter)'!A:A,0),MATCH([1]TBMapping!O$3,'[1]TrialBalance (Quarter)'!$7:$7,0)),0)</f>
        <v>0</v>
      </c>
    </row>
    <row r="91" spans="1:14">
      <c r="A91" s="2">
        <v>104</v>
      </c>
      <c r="B91" s="3">
        <v>103350</v>
      </c>
      <c r="C91" s="11" t="s">
        <v>83</v>
      </c>
      <c r="D91" s="11" t="s">
        <v>11</v>
      </c>
      <c r="E91" s="11"/>
      <c r="F91" s="5" t="e">
        <f>IF(DataExtraction="Manual",SUMIF('[1]TrialBalance (YTD)'!$C:$C,B91,'[1]TrialBalance (YTD)'!$E:$E),SUMIF('[1]TrialBalance (YTD)'!$G:$G,B91,'[1]TrialBalance (YTD)'!$I:$I))</f>
        <v>#VALUE!</v>
      </c>
      <c r="G91" s="5">
        <f>IFERROR(INDEX('[1]TrialBalance (YTD)'!$G:$S,MATCH([1]TBMapping!$C93,'[1]TrialBalance (YTD)'!G:G,0),MATCH([1]TBMapping!H$3,'[1]TrialBalance (YTD)'!$G$7:$Z$7,0)),0)</f>
        <v>0</v>
      </c>
      <c r="H91" s="5" t="e">
        <f>SUMIF('[1]TrialBalance (YTD)'!G:G,B91,'[1]TrialBalance (YTD)'!H:H)</f>
        <v>#VALUE!</v>
      </c>
      <c r="I91" s="5">
        <f>IFERROR(INDEX('[1]TrialBalance (YTD)'!$G:$S,MATCH([1]TBMapping!$C93,'[1]TrialBalance (YTD)'!G:G,0),MATCH([1]TBMapping!J$3,'[1]TrialBalance (YTD)'!$G$7:$Z$7,0)),0)</f>
        <v>0</v>
      </c>
      <c r="K91" s="5" t="e">
        <f>SUMIF('[1]TrialBalance (Quarter)'!$A:$A,B91,'[1]TrialBalance (Quarter)'!$B:$B)</f>
        <v>#VALUE!</v>
      </c>
      <c r="L91" s="5">
        <f>IFERROR(INDEX('[1]TrialBalance (Quarter)'!$A:$L,MATCH([1]TBMapping!$C93,'[1]TrialBalance (Quarter)'!A:A,0),MATCH([1]TBMapping!M$3,'[1]TrialBalance (Quarter)'!$7:$7,0)),0)</f>
        <v>0</v>
      </c>
      <c r="M91" s="5">
        <f>IFERROR(INDEX('[1]TrialBalance (Quarter)'!$A:$L,MATCH([1]TBMapping!$C93,'[1]TrialBalance (Quarter)'!A:A,0),MATCH([1]TBMapping!N$3,'[1]TrialBalance (Quarter)'!$7:$7,0)),0)</f>
        <v>0</v>
      </c>
      <c r="N91" s="5">
        <f>IFERROR(INDEX('[1]TrialBalance (Quarter)'!$A:$L,MATCH([1]TBMapping!$C93,'[1]TrialBalance (Quarter)'!A:A,0),MATCH([1]TBMapping!O$3,'[1]TrialBalance (Quarter)'!$7:$7,0)),0)</f>
        <v>0</v>
      </c>
    </row>
    <row r="92" spans="1:14">
      <c r="A92" s="2">
        <v>104</v>
      </c>
      <c r="B92" s="3">
        <v>103360</v>
      </c>
      <c r="C92" s="10" t="s">
        <v>84</v>
      </c>
      <c r="D92" s="10" t="s">
        <v>11</v>
      </c>
      <c r="E92" s="10"/>
      <c r="F92" s="5" t="e">
        <f>IF(DataExtraction="Manual",SUMIF('[1]TrialBalance (YTD)'!$C:$C,B92,'[1]TrialBalance (YTD)'!$E:$E),SUMIF('[1]TrialBalance (YTD)'!$G:$G,B92,'[1]TrialBalance (YTD)'!$I:$I))</f>
        <v>#VALUE!</v>
      </c>
      <c r="G92" s="5">
        <f>IFERROR(INDEX('[1]TrialBalance (YTD)'!$G:$S,MATCH([1]TBMapping!$C94,'[1]TrialBalance (YTD)'!G:G,0),MATCH([1]TBMapping!H$3,'[1]TrialBalance (YTD)'!$G$7:$Z$7,0)),0)</f>
        <v>0</v>
      </c>
      <c r="H92" s="5" t="e">
        <f>SUMIF('[1]TrialBalance (YTD)'!G:G,B92,'[1]TrialBalance (YTD)'!H:H)</f>
        <v>#VALUE!</v>
      </c>
      <c r="I92" s="5">
        <f>IFERROR(INDEX('[1]TrialBalance (YTD)'!$G:$S,MATCH([1]TBMapping!$C94,'[1]TrialBalance (YTD)'!G:G,0),MATCH([1]TBMapping!J$3,'[1]TrialBalance (YTD)'!$G$7:$Z$7,0)),0)</f>
        <v>0</v>
      </c>
      <c r="K92" s="5" t="e">
        <f>SUMIF('[1]TrialBalance (Quarter)'!$A:$A,B92,'[1]TrialBalance (Quarter)'!$B:$B)</f>
        <v>#VALUE!</v>
      </c>
      <c r="L92" s="5">
        <f>IFERROR(INDEX('[1]TrialBalance (Quarter)'!$A:$L,MATCH([1]TBMapping!$C94,'[1]TrialBalance (Quarter)'!A:A,0),MATCH([1]TBMapping!M$3,'[1]TrialBalance (Quarter)'!$7:$7,0)),0)</f>
        <v>0</v>
      </c>
      <c r="M92" s="5">
        <f>IFERROR(INDEX('[1]TrialBalance (Quarter)'!$A:$L,MATCH([1]TBMapping!$C94,'[1]TrialBalance (Quarter)'!A:A,0),MATCH([1]TBMapping!N$3,'[1]TrialBalance (Quarter)'!$7:$7,0)),0)</f>
        <v>0</v>
      </c>
      <c r="N92" s="5">
        <f>IFERROR(INDEX('[1]TrialBalance (Quarter)'!$A:$L,MATCH([1]TBMapping!$C94,'[1]TrialBalance (Quarter)'!A:A,0),MATCH([1]TBMapping!O$3,'[1]TrialBalance (Quarter)'!$7:$7,0)),0)</f>
        <v>0</v>
      </c>
    </row>
    <row r="93" spans="1:14">
      <c r="A93" s="2">
        <v>104</v>
      </c>
      <c r="B93" s="3">
        <v>103361</v>
      </c>
      <c r="C93" s="11" t="s">
        <v>85</v>
      </c>
      <c r="D93" s="11" t="s">
        <v>11</v>
      </c>
      <c r="E93" s="11"/>
      <c r="F93" s="5" t="e">
        <f>IF(DataExtraction="Manual",SUMIF('[1]TrialBalance (YTD)'!$C:$C,B93,'[1]TrialBalance (YTD)'!$E:$E),SUMIF('[1]TrialBalance (YTD)'!$G:$G,B93,'[1]TrialBalance (YTD)'!$I:$I))</f>
        <v>#VALUE!</v>
      </c>
      <c r="G93" s="5">
        <f>IFERROR(INDEX('[1]TrialBalance (YTD)'!$G:$S,MATCH([1]TBMapping!$C95,'[1]TrialBalance (YTD)'!G:G,0),MATCH([1]TBMapping!H$3,'[1]TrialBalance (YTD)'!$G$7:$Z$7,0)),0)</f>
        <v>0</v>
      </c>
      <c r="H93" s="5" t="e">
        <f>SUMIF('[1]TrialBalance (YTD)'!G:G,B93,'[1]TrialBalance (YTD)'!H:H)</f>
        <v>#VALUE!</v>
      </c>
      <c r="I93" s="5">
        <f>IFERROR(INDEX('[1]TrialBalance (YTD)'!$G:$S,MATCH([1]TBMapping!$C95,'[1]TrialBalance (YTD)'!G:G,0),MATCH([1]TBMapping!J$3,'[1]TrialBalance (YTD)'!$G$7:$Z$7,0)),0)</f>
        <v>0</v>
      </c>
      <c r="K93" s="5" t="e">
        <f>SUMIF('[1]TrialBalance (Quarter)'!$A:$A,B93,'[1]TrialBalance (Quarter)'!$B:$B)</f>
        <v>#VALUE!</v>
      </c>
      <c r="L93" s="5">
        <f>IFERROR(INDEX('[1]TrialBalance (Quarter)'!$A:$L,MATCH([1]TBMapping!$C95,'[1]TrialBalance (Quarter)'!A:A,0),MATCH([1]TBMapping!M$3,'[1]TrialBalance (Quarter)'!$7:$7,0)),0)</f>
        <v>0</v>
      </c>
      <c r="M93" s="5">
        <f>IFERROR(INDEX('[1]TrialBalance (Quarter)'!$A:$L,MATCH([1]TBMapping!$C95,'[1]TrialBalance (Quarter)'!A:A,0),MATCH([1]TBMapping!N$3,'[1]TrialBalance (Quarter)'!$7:$7,0)),0)</f>
        <v>0</v>
      </c>
      <c r="N93" s="5">
        <f>IFERROR(INDEX('[1]TrialBalance (Quarter)'!$A:$L,MATCH([1]TBMapping!$C95,'[1]TrialBalance (Quarter)'!A:A,0),MATCH([1]TBMapping!O$3,'[1]TrialBalance (Quarter)'!$7:$7,0)),0)</f>
        <v>0</v>
      </c>
    </row>
    <row r="94" spans="1:14">
      <c r="B94" s="3">
        <v>103399</v>
      </c>
      <c r="C94" s="10" t="s">
        <v>86</v>
      </c>
      <c r="D94" s="10" t="s">
        <v>16</v>
      </c>
      <c r="E94" s="10"/>
      <c r="F94" s="5" t="e">
        <f>IF(DataExtraction="Manual",SUMIF('[1]TrialBalance (YTD)'!$C:$C,B94,'[1]TrialBalance (YTD)'!$E:$E),SUMIF('[1]TrialBalance (YTD)'!$G:$G,B94,'[1]TrialBalance (YTD)'!$I:$I))</f>
        <v>#VALUE!</v>
      </c>
      <c r="G94" s="5">
        <f>IFERROR(INDEX('[1]TrialBalance (YTD)'!$G:$S,MATCH([1]TBMapping!$C96,'[1]TrialBalance (YTD)'!G:G,0),MATCH([1]TBMapping!H$3,'[1]TrialBalance (YTD)'!$G$7:$Z$7,0)),0)</f>
        <v>0</v>
      </c>
      <c r="H94" s="5" t="e">
        <f>SUMIF('[1]TrialBalance (YTD)'!G:G,B94,'[1]TrialBalance (YTD)'!H:H)</f>
        <v>#VALUE!</v>
      </c>
      <c r="I94" s="5">
        <f>IFERROR(INDEX('[1]TrialBalance (YTD)'!$G:$S,MATCH([1]TBMapping!$C96,'[1]TrialBalance (YTD)'!G:G,0),MATCH([1]TBMapping!J$3,'[1]TrialBalance (YTD)'!$G$7:$Z$7,0)),0)</f>
        <v>0</v>
      </c>
      <c r="K94" s="5" t="e">
        <f>SUMIF('[1]TrialBalance (Quarter)'!$A:$A,B94,'[1]TrialBalance (Quarter)'!$B:$B)</f>
        <v>#VALUE!</v>
      </c>
      <c r="L94" s="5">
        <f>IFERROR(INDEX('[1]TrialBalance (Quarter)'!$A:$L,MATCH([1]TBMapping!$C96,'[1]TrialBalance (Quarter)'!A:A,0),MATCH([1]TBMapping!M$3,'[1]TrialBalance (Quarter)'!$7:$7,0)),0)</f>
        <v>0</v>
      </c>
      <c r="M94" s="5">
        <f>IFERROR(INDEX('[1]TrialBalance (Quarter)'!$A:$L,MATCH([1]TBMapping!$C96,'[1]TrialBalance (Quarter)'!A:A,0),MATCH([1]TBMapping!N$3,'[1]TrialBalance (Quarter)'!$7:$7,0)),0)</f>
        <v>0</v>
      </c>
      <c r="N94" s="5">
        <f>IFERROR(INDEX('[1]TrialBalance (Quarter)'!$A:$L,MATCH([1]TBMapping!$C96,'[1]TrialBalance (Quarter)'!A:A,0),MATCH([1]TBMapping!O$3,'[1]TrialBalance (Quarter)'!$7:$7,0)),0)</f>
        <v>0</v>
      </c>
    </row>
    <row r="95" spans="1:14">
      <c r="B95" s="3">
        <v>103400</v>
      </c>
      <c r="C95" s="11" t="s">
        <v>87</v>
      </c>
      <c r="D95" s="11" t="s">
        <v>5</v>
      </c>
      <c r="E95" s="11"/>
      <c r="F95" s="5" t="e">
        <f>IF(DataExtraction="Manual",SUMIF('[1]TrialBalance (YTD)'!$C:$C,B95,'[1]TrialBalance (YTD)'!$E:$E),SUMIF('[1]TrialBalance (YTD)'!$G:$G,B95,'[1]TrialBalance (YTD)'!$I:$I))</f>
        <v>#VALUE!</v>
      </c>
      <c r="G95" s="5">
        <f>IFERROR(INDEX('[1]TrialBalance (YTD)'!$G:$S,MATCH([1]TBMapping!$C97,'[1]TrialBalance (YTD)'!G:G,0),MATCH([1]TBMapping!H$3,'[1]TrialBalance (YTD)'!$G$7:$Z$7,0)),0)</f>
        <v>0</v>
      </c>
      <c r="H95" s="5" t="e">
        <f>SUMIF('[1]TrialBalance (YTD)'!G:G,B95,'[1]TrialBalance (YTD)'!H:H)</f>
        <v>#VALUE!</v>
      </c>
      <c r="I95" s="5">
        <f>IFERROR(INDEX('[1]TrialBalance (YTD)'!$G:$S,MATCH([1]TBMapping!$C97,'[1]TrialBalance (YTD)'!G:G,0),MATCH([1]TBMapping!J$3,'[1]TrialBalance (YTD)'!$G$7:$Z$7,0)),0)</f>
        <v>0</v>
      </c>
      <c r="K95" s="5" t="e">
        <f>SUMIF('[1]TrialBalance (Quarter)'!$A:$A,B95,'[1]TrialBalance (Quarter)'!$B:$B)</f>
        <v>#VALUE!</v>
      </c>
      <c r="L95" s="5">
        <f>IFERROR(INDEX('[1]TrialBalance (Quarter)'!$A:$L,MATCH([1]TBMapping!$C97,'[1]TrialBalance (Quarter)'!A:A,0),MATCH([1]TBMapping!M$3,'[1]TrialBalance (Quarter)'!$7:$7,0)),0)</f>
        <v>0</v>
      </c>
      <c r="M95" s="5">
        <f>IFERROR(INDEX('[1]TrialBalance (Quarter)'!$A:$L,MATCH([1]TBMapping!$C97,'[1]TrialBalance (Quarter)'!A:A,0),MATCH([1]TBMapping!N$3,'[1]TrialBalance (Quarter)'!$7:$7,0)),0)</f>
        <v>0</v>
      </c>
      <c r="N95" s="5">
        <f>IFERROR(INDEX('[1]TrialBalance (Quarter)'!$A:$L,MATCH([1]TBMapping!$C97,'[1]TrialBalance (Quarter)'!A:A,0),MATCH([1]TBMapping!O$3,'[1]TrialBalance (Quarter)'!$7:$7,0)),0)</f>
        <v>0</v>
      </c>
    </row>
    <row r="96" spans="1:14">
      <c r="A96" s="2">
        <v>104</v>
      </c>
      <c r="B96" s="3">
        <v>103410</v>
      </c>
      <c r="C96" s="10" t="s">
        <v>88</v>
      </c>
      <c r="D96" s="10" t="s">
        <v>11</v>
      </c>
      <c r="E96" s="10"/>
      <c r="F96" s="5" t="e">
        <f>IF(DataExtraction="Manual",SUMIF('[1]TrialBalance (YTD)'!$C:$C,B96,'[1]TrialBalance (YTD)'!$E:$E),SUMIF('[1]TrialBalance (YTD)'!$G:$G,B96,'[1]TrialBalance (YTD)'!$I:$I))</f>
        <v>#VALUE!</v>
      </c>
      <c r="G96" s="5">
        <f>IFERROR(INDEX('[1]TrialBalance (YTD)'!$G:$S,MATCH([1]TBMapping!$C98,'[1]TrialBalance (YTD)'!G:G,0),MATCH([1]TBMapping!H$3,'[1]TrialBalance (YTD)'!$G$7:$Z$7,0)),0)</f>
        <v>0</v>
      </c>
      <c r="H96" s="5" t="e">
        <f>SUMIF('[1]TrialBalance (YTD)'!G:G,B96,'[1]TrialBalance (YTD)'!H:H)</f>
        <v>#VALUE!</v>
      </c>
      <c r="I96" s="5">
        <f>IFERROR(INDEX('[1]TrialBalance (YTD)'!$G:$S,MATCH([1]TBMapping!$C98,'[1]TrialBalance (YTD)'!G:G,0),MATCH([1]TBMapping!J$3,'[1]TrialBalance (YTD)'!$G$7:$Z$7,0)),0)</f>
        <v>0</v>
      </c>
      <c r="K96" s="5" t="e">
        <f>SUMIF('[1]TrialBalance (Quarter)'!$A:$A,B96,'[1]TrialBalance (Quarter)'!$B:$B)</f>
        <v>#VALUE!</v>
      </c>
      <c r="L96" s="5">
        <f>IFERROR(INDEX('[1]TrialBalance (Quarter)'!$A:$L,MATCH([1]TBMapping!$C98,'[1]TrialBalance (Quarter)'!A:A,0),MATCH([1]TBMapping!M$3,'[1]TrialBalance (Quarter)'!$7:$7,0)),0)</f>
        <v>0</v>
      </c>
      <c r="M96" s="5">
        <f>IFERROR(INDEX('[1]TrialBalance (Quarter)'!$A:$L,MATCH([1]TBMapping!$C98,'[1]TrialBalance (Quarter)'!A:A,0),MATCH([1]TBMapping!N$3,'[1]TrialBalance (Quarter)'!$7:$7,0)),0)</f>
        <v>0</v>
      </c>
      <c r="N96" s="5">
        <f>IFERROR(INDEX('[1]TrialBalance (Quarter)'!$A:$L,MATCH([1]TBMapping!$C98,'[1]TrialBalance (Quarter)'!A:A,0),MATCH([1]TBMapping!O$3,'[1]TrialBalance (Quarter)'!$7:$7,0)),0)</f>
        <v>0</v>
      </c>
    </row>
    <row r="97" spans="1:14">
      <c r="A97" s="2">
        <v>104</v>
      </c>
      <c r="B97" s="3">
        <v>103411</v>
      </c>
      <c r="C97" s="11" t="s">
        <v>89</v>
      </c>
      <c r="D97" s="11" t="s">
        <v>11</v>
      </c>
      <c r="E97" s="11"/>
      <c r="F97" s="5" t="e">
        <f>IF(DataExtraction="Manual",SUMIF('[1]TrialBalance (YTD)'!$C:$C,B97,'[1]TrialBalance (YTD)'!$E:$E),SUMIF('[1]TrialBalance (YTD)'!$G:$G,B97,'[1]TrialBalance (YTD)'!$I:$I))</f>
        <v>#VALUE!</v>
      </c>
      <c r="G97" s="5">
        <f>IFERROR(INDEX('[1]TrialBalance (YTD)'!$G:$S,MATCH([1]TBMapping!$C99,'[1]TrialBalance (YTD)'!G:G,0),MATCH([1]TBMapping!H$3,'[1]TrialBalance (YTD)'!$G$7:$Z$7,0)),0)</f>
        <v>0</v>
      </c>
      <c r="H97" s="5" t="e">
        <f>SUMIF('[1]TrialBalance (YTD)'!G:G,B97,'[1]TrialBalance (YTD)'!H:H)</f>
        <v>#VALUE!</v>
      </c>
      <c r="I97" s="5">
        <f>IFERROR(INDEX('[1]TrialBalance (YTD)'!$G:$S,MATCH([1]TBMapping!$C99,'[1]TrialBalance (YTD)'!G:G,0),MATCH([1]TBMapping!J$3,'[1]TrialBalance (YTD)'!$G$7:$Z$7,0)),0)</f>
        <v>0</v>
      </c>
      <c r="K97" s="5" t="e">
        <f>SUMIF('[1]TrialBalance (Quarter)'!$A:$A,B97,'[1]TrialBalance (Quarter)'!$B:$B)</f>
        <v>#VALUE!</v>
      </c>
      <c r="L97" s="5">
        <f>IFERROR(INDEX('[1]TrialBalance (Quarter)'!$A:$L,MATCH([1]TBMapping!$C99,'[1]TrialBalance (Quarter)'!A:A,0),MATCH([1]TBMapping!M$3,'[1]TrialBalance (Quarter)'!$7:$7,0)),0)</f>
        <v>0</v>
      </c>
      <c r="M97" s="5">
        <f>IFERROR(INDEX('[1]TrialBalance (Quarter)'!$A:$L,MATCH([1]TBMapping!$C99,'[1]TrialBalance (Quarter)'!A:A,0),MATCH([1]TBMapping!N$3,'[1]TrialBalance (Quarter)'!$7:$7,0)),0)</f>
        <v>0</v>
      </c>
      <c r="N97" s="5">
        <f>IFERROR(INDEX('[1]TrialBalance (Quarter)'!$A:$L,MATCH([1]TBMapping!$C99,'[1]TrialBalance (Quarter)'!A:A,0),MATCH([1]TBMapping!O$3,'[1]TrialBalance (Quarter)'!$7:$7,0)),0)</f>
        <v>0</v>
      </c>
    </row>
    <row r="98" spans="1:14">
      <c r="A98" s="2">
        <v>104</v>
      </c>
      <c r="B98" s="3">
        <v>103412</v>
      </c>
      <c r="C98" s="10" t="s">
        <v>90</v>
      </c>
      <c r="D98" s="10" t="s">
        <v>11</v>
      </c>
      <c r="E98" s="10"/>
      <c r="F98" s="5" t="e">
        <f>IF(DataExtraction="Manual",SUMIF('[1]TrialBalance (YTD)'!$C:$C,B98,'[1]TrialBalance (YTD)'!$E:$E),SUMIF('[1]TrialBalance (YTD)'!$G:$G,B98,'[1]TrialBalance (YTD)'!$I:$I))</f>
        <v>#VALUE!</v>
      </c>
      <c r="G98" s="5">
        <f>IFERROR(INDEX('[1]TrialBalance (YTD)'!$G:$S,MATCH([1]TBMapping!$C100,'[1]TrialBalance (YTD)'!G:G,0),MATCH([1]TBMapping!H$3,'[1]TrialBalance (YTD)'!$G$7:$Z$7,0)),0)</f>
        <v>0</v>
      </c>
      <c r="H98" s="5" t="e">
        <f>SUMIF('[1]TrialBalance (YTD)'!G:G,B98,'[1]TrialBalance (YTD)'!H:H)</f>
        <v>#VALUE!</v>
      </c>
      <c r="I98" s="5">
        <f>IFERROR(INDEX('[1]TrialBalance (YTD)'!$G:$S,MATCH([1]TBMapping!$C100,'[1]TrialBalance (YTD)'!G:G,0),MATCH([1]TBMapping!J$3,'[1]TrialBalance (YTD)'!$G$7:$Z$7,0)),0)</f>
        <v>0</v>
      </c>
      <c r="K98" s="5" t="e">
        <f>SUMIF('[1]TrialBalance (Quarter)'!$A:$A,B98,'[1]TrialBalance (Quarter)'!$B:$B)</f>
        <v>#VALUE!</v>
      </c>
      <c r="L98" s="5">
        <f>IFERROR(INDEX('[1]TrialBalance (Quarter)'!$A:$L,MATCH([1]TBMapping!$C100,'[1]TrialBalance (Quarter)'!A:A,0),MATCH([1]TBMapping!M$3,'[1]TrialBalance (Quarter)'!$7:$7,0)),0)</f>
        <v>0</v>
      </c>
      <c r="M98" s="5">
        <f>IFERROR(INDEX('[1]TrialBalance (Quarter)'!$A:$L,MATCH([1]TBMapping!$C100,'[1]TrialBalance (Quarter)'!A:A,0),MATCH([1]TBMapping!N$3,'[1]TrialBalance (Quarter)'!$7:$7,0)),0)</f>
        <v>0</v>
      </c>
      <c r="N98" s="5">
        <f>IFERROR(INDEX('[1]TrialBalance (Quarter)'!$A:$L,MATCH([1]TBMapping!$C100,'[1]TrialBalance (Quarter)'!A:A,0),MATCH([1]TBMapping!O$3,'[1]TrialBalance (Quarter)'!$7:$7,0)),0)</f>
        <v>0</v>
      </c>
    </row>
    <row r="99" spans="1:14">
      <c r="A99" s="2">
        <v>104</v>
      </c>
      <c r="B99" s="3">
        <v>103419</v>
      </c>
      <c r="C99" s="10" t="s">
        <v>91</v>
      </c>
      <c r="D99" s="10" t="s">
        <v>11</v>
      </c>
      <c r="E99" s="10"/>
      <c r="F99" s="5" t="e">
        <f>IF(DataExtraction="Manual",SUMIF('[1]TrialBalance (YTD)'!$C:$C,B99,'[1]TrialBalance (YTD)'!$E:$E),SUMIF('[1]TrialBalance (YTD)'!$G:$G,B99,'[1]TrialBalance (YTD)'!$I:$I))</f>
        <v>#VALUE!</v>
      </c>
      <c r="G99" s="5">
        <f>IFERROR(INDEX('[1]TrialBalance (YTD)'!$G:$S,MATCH([1]TBMapping!$C101,'[1]TrialBalance (YTD)'!G:G,0),MATCH([1]TBMapping!H$3,'[1]TrialBalance (YTD)'!$G$7:$Z$7,0)),0)</f>
        <v>0</v>
      </c>
      <c r="H99" s="5" t="e">
        <f>SUMIF('[1]TrialBalance (YTD)'!G:G,B99,'[1]TrialBalance (YTD)'!H:H)</f>
        <v>#VALUE!</v>
      </c>
      <c r="I99" s="5">
        <f>IFERROR(INDEX('[1]TrialBalance (YTD)'!$G:$S,MATCH([1]TBMapping!$C101,'[1]TrialBalance (YTD)'!G:G,0),MATCH([1]TBMapping!J$3,'[1]TrialBalance (YTD)'!$G$7:$Z$7,0)),0)</f>
        <v>0</v>
      </c>
      <c r="K99" s="5" t="e">
        <f>SUMIF('[1]TrialBalance (Quarter)'!$A:$A,B99,'[1]TrialBalance (Quarter)'!$B:$B)</f>
        <v>#VALUE!</v>
      </c>
      <c r="L99" s="5">
        <f>IFERROR(INDEX('[1]TrialBalance (Quarter)'!$A:$L,MATCH([1]TBMapping!$C101,'[1]TrialBalance (Quarter)'!A:A,0),MATCH([1]TBMapping!M$3,'[1]TrialBalance (Quarter)'!$7:$7,0)),0)</f>
        <v>0</v>
      </c>
      <c r="M99" s="5">
        <f>IFERROR(INDEX('[1]TrialBalance (Quarter)'!$A:$L,MATCH([1]TBMapping!$C101,'[1]TrialBalance (Quarter)'!A:A,0),MATCH([1]TBMapping!N$3,'[1]TrialBalance (Quarter)'!$7:$7,0)),0)</f>
        <v>0</v>
      </c>
      <c r="N99" s="5">
        <f>IFERROR(INDEX('[1]TrialBalance (Quarter)'!$A:$L,MATCH([1]TBMapping!$C101,'[1]TrialBalance (Quarter)'!A:A,0),MATCH([1]TBMapping!O$3,'[1]TrialBalance (Quarter)'!$7:$7,0)),0)</f>
        <v>0</v>
      </c>
    </row>
    <row r="100" spans="1:14">
      <c r="B100" s="3">
        <v>103499</v>
      </c>
      <c r="C100" s="11" t="s">
        <v>92</v>
      </c>
      <c r="D100" s="11" t="s">
        <v>16</v>
      </c>
      <c r="E100" s="11"/>
      <c r="F100" s="5" t="e">
        <f>IF(DataExtraction="Manual",SUMIF('[1]TrialBalance (YTD)'!$C:$C,B100,'[1]TrialBalance (YTD)'!$E:$E),SUMIF('[1]TrialBalance (YTD)'!$G:$G,B100,'[1]TrialBalance (YTD)'!$I:$I))</f>
        <v>#VALUE!</v>
      </c>
      <c r="G100" s="5">
        <f>IFERROR(INDEX('[1]TrialBalance (YTD)'!$G:$S,MATCH([1]TBMapping!$C102,'[1]TrialBalance (YTD)'!G:G,0),MATCH([1]TBMapping!H$3,'[1]TrialBalance (YTD)'!$G$7:$Z$7,0)),0)</f>
        <v>0</v>
      </c>
      <c r="H100" s="5" t="e">
        <f>SUMIF('[1]TrialBalance (YTD)'!G:G,B100,'[1]TrialBalance (YTD)'!H:H)</f>
        <v>#VALUE!</v>
      </c>
      <c r="I100" s="5">
        <f>IFERROR(INDEX('[1]TrialBalance (YTD)'!$G:$S,MATCH([1]TBMapping!$C102,'[1]TrialBalance (YTD)'!G:G,0),MATCH([1]TBMapping!J$3,'[1]TrialBalance (YTD)'!$G$7:$Z$7,0)),0)</f>
        <v>0</v>
      </c>
      <c r="K100" s="5" t="e">
        <f>SUMIF('[1]TrialBalance (Quarter)'!$A:$A,B100,'[1]TrialBalance (Quarter)'!$B:$B)</f>
        <v>#VALUE!</v>
      </c>
      <c r="L100" s="5">
        <f>IFERROR(INDEX('[1]TrialBalance (Quarter)'!$A:$L,MATCH([1]TBMapping!$C102,'[1]TrialBalance (Quarter)'!A:A,0),MATCH([1]TBMapping!M$3,'[1]TrialBalance (Quarter)'!$7:$7,0)),0)</f>
        <v>0</v>
      </c>
      <c r="M100" s="5">
        <f>IFERROR(INDEX('[1]TrialBalance (Quarter)'!$A:$L,MATCH([1]TBMapping!$C102,'[1]TrialBalance (Quarter)'!A:A,0),MATCH([1]TBMapping!N$3,'[1]TrialBalance (Quarter)'!$7:$7,0)),0)</f>
        <v>0</v>
      </c>
      <c r="N100" s="5">
        <f>IFERROR(INDEX('[1]TrialBalance (Quarter)'!$A:$L,MATCH([1]TBMapping!$C102,'[1]TrialBalance (Quarter)'!A:A,0),MATCH([1]TBMapping!O$3,'[1]TrialBalance (Quarter)'!$7:$7,0)),0)</f>
        <v>0</v>
      </c>
    </row>
    <row r="101" spans="1:14">
      <c r="B101" s="3">
        <v>103999</v>
      </c>
      <c r="C101" s="10" t="s">
        <v>93</v>
      </c>
      <c r="D101" s="10" t="s">
        <v>16</v>
      </c>
      <c r="E101" s="10"/>
      <c r="F101" s="5" t="e">
        <f>IF(DataExtraction="Manual",SUMIF('[1]TrialBalance (YTD)'!$C:$C,B101,'[1]TrialBalance (YTD)'!$E:$E),SUMIF('[1]TrialBalance (YTD)'!$G:$G,B101,'[1]TrialBalance (YTD)'!$I:$I))</f>
        <v>#VALUE!</v>
      </c>
      <c r="G101" s="5">
        <f>IFERROR(INDEX('[1]TrialBalance (YTD)'!$G:$S,MATCH([1]TBMapping!$C103,'[1]TrialBalance (YTD)'!G:G,0),MATCH([1]TBMapping!H$3,'[1]TrialBalance (YTD)'!$G$7:$Z$7,0)),0)</f>
        <v>0</v>
      </c>
      <c r="H101" s="5" t="e">
        <f>SUMIF('[1]TrialBalance (YTD)'!G:G,B101,'[1]TrialBalance (YTD)'!H:H)</f>
        <v>#VALUE!</v>
      </c>
      <c r="I101" s="5">
        <f>IFERROR(INDEX('[1]TrialBalance (YTD)'!$G:$S,MATCH([1]TBMapping!$C103,'[1]TrialBalance (YTD)'!G:G,0),MATCH([1]TBMapping!J$3,'[1]TrialBalance (YTD)'!$G$7:$Z$7,0)),0)</f>
        <v>0</v>
      </c>
      <c r="K101" s="5" t="e">
        <f>SUMIF('[1]TrialBalance (Quarter)'!$A:$A,B101,'[1]TrialBalance (Quarter)'!$B:$B)</f>
        <v>#VALUE!</v>
      </c>
      <c r="L101" s="5">
        <f>IFERROR(INDEX('[1]TrialBalance (Quarter)'!$A:$L,MATCH([1]TBMapping!$C103,'[1]TrialBalance (Quarter)'!A:A,0),MATCH([1]TBMapping!M$3,'[1]TrialBalance (Quarter)'!$7:$7,0)),0)</f>
        <v>0</v>
      </c>
      <c r="M101" s="5">
        <f>IFERROR(INDEX('[1]TrialBalance (Quarter)'!$A:$L,MATCH([1]TBMapping!$C103,'[1]TrialBalance (Quarter)'!A:A,0),MATCH([1]TBMapping!N$3,'[1]TrialBalance (Quarter)'!$7:$7,0)),0)</f>
        <v>0</v>
      </c>
      <c r="N101" s="5">
        <f>IFERROR(INDEX('[1]TrialBalance (Quarter)'!$A:$L,MATCH([1]TBMapping!$C103,'[1]TrialBalance (Quarter)'!A:A,0),MATCH([1]TBMapping!O$3,'[1]TrialBalance (Quarter)'!$7:$7,0)),0)</f>
        <v>0</v>
      </c>
    </row>
    <row r="102" spans="1:14">
      <c r="B102" s="3">
        <v>109999</v>
      </c>
      <c r="C102" s="11" t="s">
        <v>94</v>
      </c>
      <c r="D102" s="11" t="s">
        <v>16</v>
      </c>
      <c r="E102" s="11"/>
      <c r="F102" s="5" t="e">
        <f>IF(DataExtraction="Manual",SUMIF('[1]TrialBalance (YTD)'!$C:$C,B102,'[1]TrialBalance (YTD)'!$E:$E),SUMIF('[1]TrialBalance (YTD)'!$G:$G,B102,'[1]TrialBalance (YTD)'!$I:$I))</f>
        <v>#VALUE!</v>
      </c>
      <c r="G102" s="5">
        <f>IFERROR(INDEX('[1]TrialBalance (YTD)'!$G:$S,MATCH([1]TBMapping!$C104,'[1]TrialBalance (YTD)'!G:G,0),MATCH([1]TBMapping!H$3,'[1]TrialBalance (YTD)'!$G$7:$Z$7,0)),0)</f>
        <v>0</v>
      </c>
      <c r="H102" s="5" t="e">
        <f>SUMIF('[1]TrialBalance (YTD)'!G:G,B102,'[1]TrialBalance (YTD)'!H:H)</f>
        <v>#VALUE!</v>
      </c>
      <c r="I102" s="5">
        <f>IFERROR(INDEX('[1]TrialBalance (YTD)'!$G:$S,MATCH([1]TBMapping!$C104,'[1]TrialBalance (YTD)'!G:G,0),MATCH([1]TBMapping!J$3,'[1]TrialBalance (YTD)'!$G$7:$Z$7,0)),0)</f>
        <v>0</v>
      </c>
      <c r="K102" s="5" t="e">
        <f>SUMIF('[1]TrialBalance (Quarter)'!$A:$A,B102,'[1]TrialBalance (Quarter)'!$B:$B)</f>
        <v>#VALUE!</v>
      </c>
      <c r="L102" s="5">
        <f>IFERROR(INDEX('[1]TrialBalance (Quarter)'!$A:$L,MATCH([1]TBMapping!$C104,'[1]TrialBalance (Quarter)'!A:A,0),MATCH([1]TBMapping!M$3,'[1]TrialBalance (Quarter)'!$7:$7,0)),0)</f>
        <v>0</v>
      </c>
      <c r="M102" s="5">
        <f>IFERROR(INDEX('[1]TrialBalance (Quarter)'!$A:$L,MATCH([1]TBMapping!$C104,'[1]TrialBalance (Quarter)'!A:A,0),MATCH([1]TBMapping!N$3,'[1]TrialBalance (Quarter)'!$7:$7,0)),0)</f>
        <v>0</v>
      </c>
      <c r="N102" s="5">
        <f>IFERROR(INDEX('[1]TrialBalance (Quarter)'!$A:$L,MATCH([1]TBMapping!$C104,'[1]TrialBalance (Quarter)'!A:A,0),MATCH([1]TBMapping!O$3,'[1]TrialBalance (Quarter)'!$7:$7,0)),0)</f>
        <v>0</v>
      </c>
    </row>
    <row r="103" spans="1:14">
      <c r="B103" s="3">
        <v>110000</v>
      </c>
      <c r="C103" s="10" t="s">
        <v>95</v>
      </c>
      <c r="D103" s="10" t="s">
        <v>5</v>
      </c>
      <c r="E103" s="10"/>
      <c r="F103" s="5" t="e">
        <f>IF(DataExtraction="Manual",SUMIF('[1]TrialBalance (YTD)'!$C:$C,B103,'[1]TrialBalance (YTD)'!$E:$E),SUMIF('[1]TrialBalance (YTD)'!$G:$G,B103,'[1]TrialBalance (YTD)'!$I:$I))</f>
        <v>#VALUE!</v>
      </c>
      <c r="G103" s="5">
        <f>IFERROR(INDEX('[1]TrialBalance (YTD)'!$G:$S,MATCH([1]TBMapping!$C105,'[1]TrialBalance (YTD)'!G:G,0),MATCH([1]TBMapping!H$3,'[1]TrialBalance (YTD)'!$G$7:$Z$7,0)),0)</f>
        <v>0</v>
      </c>
      <c r="H103" s="5" t="e">
        <f>SUMIF('[1]TrialBalance (YTD)'!G:G,B103,'[1]TrialBalance (YTD)'!H:H)</f>
        <v>#VALUE!</v>
      </c>
      <c r="I103" s="5">
        <f>IFERROR(INDEX('[1]TrialBalance (YTD)'!$G:$S,MATCH([1]TBMapping!$C105,'[1]TrialBalance (YTD)'!G:G,0),MATCH([1]TBMapping!J$3,'[1]TrialBalance (YTD)'!$G$7:$Z$7,0)),0)</f>
        <v>0</v>
      </c>
      <c r="K103" s="5" t="e">
        <f>SUMIF('[1]TrialBalance (Quarter)'!$A:$A,B103,'[1]TrialBalance (Quarter)'!$B:$B)</f>
        <v>#VALUE!</v>
      </c>
      <c r="L103" s="5">
        <f>IFERROR(INDEX('[1]TrialBalance (Quarter)'!$A:$L,MATCH([1]TBMapping!$C105,'[1]TrialBalance (Quarter)'!A:A,0),MATCH([1]TBMapping!M$3,'[1]TrialBalance (Quarter)'!$7:$7,0)),0)</f>
        <v>0</v>
      </c>
      <c r="M103" s="5">
        <f>IFERROR(INDEX('[1]TrialBalance (Quarter)'!$A:$L,MATCH([1]TBMapping!$C105,'[1]TrialBalance (Quarter)'!A:A,0),MATCH([1]TBMapping!N$3,'[1]TrialBalance (Quarter)'!$7:$7,0)),0)</f>
        <v>0</v>
      </c>
      <c r="N103" s="5">
        <f>IFERROR(INDEX('[1]TrialBalance (Quarter)'!$A:$L,MATCH([1]TBMapping!$C105,'[1]TrialBalance (Quarter)'!A:A,0),MATCH([1]TBMapping!O$3,'[1]TrialBalance (Quarter)'!$7:$7,0)),0)</f>
        <v>0</v>
      </c>
    </row>
    <row r="104" spans="1:14">
      <c r="B104" s="3">
        <v>111000</v>
      </c>
      <c r="C104" s="11" t="s">
        <v>96</v>
      </c>
      <c r="D104" s="11" t="s">
        <v>5</v>
      </c>
      <c r="E104" s="11"/>
      <c r="F104" s="5" t="e">
        <f>IF(DataExtraction="Manual",SUMIF('[1]TrialBalance (YTD)'!$C:$C,B104,'[1]TrialBalance (YTD)'!$E:$E),SUMIF('[1]TrialBalance (YTD)'!$G:$G,B104,'[1]TrialBalance (YTD)'!$I:$I))</f>
        <v>#VALUE!</v>
      </c>
      <c r="G104" s="5">
        <f>IFERROR(INDEX('[1]TrialBalance (YTD)'!$G:$S,MATCH([1]TBMapping!$C106,'[1]TrialBalance (YTD)'!G:G,0),MATCH([1]TBMapping!H$3,'[1]TrialBalance (YTD)'!$G$7:$Z$7,0)),0)</f>
        <v>0</v>
      </c>
      <c r="H104" s="5" t="e">
        <f>SUMIF('[1]TrialBalance (YTD)'!G:G,B104,'[1]TrialBalance (YTD)'!H:H)</f>
        <v>#VALUE!</v>
      </c>
      <c r="I104" s="5">
        <f>IFERROR(INDEX('[1]TrialBalance (YTD)'!$G:$S,MATCH([1]TBMapping!$C106,'[1]TrialBalance (YTD)'!G:G,0),MATCH([1]TBMapping!J$3,'[1]TrialBalance (YTD)'!$G$7:$Z$7,0)),0)</f>
        <v>0</v>
      </c>
      <c r="K104" s="5" t="e">
        <f>SUMIF('[1]TrialBalance (Quarter)'!$A:$A,B104,'[1]TrialBalance (Quarter)'!$B:$B)</f>
        <v>#VALUE!</v>
      </c>
      <c r="L104" s="5">
        <f>IFERROR(INDEX('[1]TrialBalance (Quarter)'!$A:$L,MATCH([1]TBMapping!$C106,'[1]TrialBalance (Quarter)'!A:A,0),MATCH([1]TBMapping!M$3,'[1]TrialBalance (Quarter)'!$7:$7,0)),0)</f>
        <v>0</v>
      </c>
      <c r="M104" s="5">
        <f>IFERROR(INDEX('[1]TrialBalance (Quarter)'!$A:$L,MATCH([1]TBMapping!$C106,'[1]TrialBalance (Quarter)'!A:A,0),MATCH([1]TBMapping!N$3,'[1]TrialBalance (Quarter)'!$7:$7,0)),0)</f>
        <v>0</v>
      </c>
      <c r="N104" s="5">
        <f>IFERROR(INDEX('[1]TrialBalance (Quarter)'!$A:$L,MATCH([1]TBMapping!$C106,'[1]TrialBalance (Quarter)'!A:A,0),MATCH([1]TBMapping!O$3,'[1]TrialBalance (Quarter)'!$7:$7,0)),0)</f>
        <v>0</v>
      </c>
    </row>
    <row r="105" spans="1:14">
      <c r="B105" s="3">
        <v>111110</v>
      </c>
      <c r="C105" s="10" t="s">
        <v>97</v>
      </c>
      <c r="D105" s="10" t="s">
        <v>11</v>
      </c>
      <c r="E105" s="10"/>
      <c r="F105" s="5" t="e">
        <f>IF(DataExtraction="Manual",SUMIF('[1]TrialBalance (YTD)'!$C:$C,B105,'[1]TrialBalance (YTD)'!$E:$E),SUMIF('[1]TrialBalance (YTD)'!$G:$G,B105,'[1]TrialBalance (YTD)'!$I:$I))</f>
        <v>#VALUE!</v>
      </c>
      <c r="G105" s="5">
        <f>IFERROR(INDEX('[1]TrialBalance (YTD)'!$G:$S,MATCH([1]TBMapping!$C107,'[1]TrialBalance (YTD)'!G:G,0),MATCH([1]TBMapping!H$3,'[1]TrialBalance (YTD)'!$G$7:$Z$7,0)),0)</f>
        <v>0</v>
      </c>
      <c r="H105" s="5" t="e">
        <f>SUMIF('[1]TrialBalance (YTD)'!G:G,B105,'[1]TrialBalance (YTD)'!H:H)</f>
        <v>#VALUE!</v>
      </c>
      <c r="I105" s="5">
        <f>IFERROR(INDEX('[1]TrialBalance (YTD)'!$G:$S,MATCH([1]TBMapping!$C107,'[1]TrialBalance (YTD)'!G:G,0),MATCH([1]TBMapping!J$3,'[1]TrialBalance (YTD)'!$G$7:$Z$7,0)),0)</f>
        <v>0</v>
      </c>
      <c r="K105" s="5" t="e">
        <f>SUMIF('[1]TrialBalance (Quarter)'!$A:$A,B105,'[1]TrialBalance (Quarter)'!$B:$B)</f>
        <v>#VALUE!</v>
      </c>
      <c r="L105" s="5">
        <f>IFERROR(INDEX('[1]TrialBalance (Quarter)'!$A:$L,MATCH([1]TBMapping!$C107,'[1]TrialBalance (Quarter)'!A:A,0),MATCH([1]TBMapping!M$3,'[1]TrialBalance (Quarter)'!$7:$7,0)),0)</f>
        <v>0</v>
      </c>
      <c r="M105" s="5">
        <f>IFERROR(INDEX('[1]TrialBalance (Quarter)'!$A:$L,MATCH([1]TBMapping!$C107,'[1]TrialBalance (Quarter)'!A:A,0),MATCH([1]TBMapping!N$3,'[1]TrialBalance (Quarter)'!$7:$7,0)),0)</f>
        <v>0</v>
      </c>
      <c r="N105" s="5">
        <f>IFERROR(INDEX('[1]TrialBalance (Quarter)'!$A:$L,MATCH([1]TBMapping!$C107,'[1]TrialBalance (Quarter)'!A:A,0),MATCH([1]TBMapping!O$3,'[1]TrialBalance (Quarter)'!$7:$7,0)),0)</f>
        <v>0</v>
      </c>
    </row>
    <row r="106" spans="1:14">
      <c r="B106" s="3">
        <v>111115</v>
      </c>
      <c r="C106" s="11" t="s">
        <v>98</v>
      </c>
      <c r="D106" s="11" t="s">
        <v>11</v>
      </c>
      <c r="E106" s="11"/>
      <c r="F106" s="5" t="e">
        <f>IF(DataExtraction="Manual",SUMIF('[1]TrialBalance (YTD)'!$C:$C,B106,'[1]TrialBalance (YTD)'!$E:$E),SUMIF('[1]TrialBalance (YTD)'!$G:$G,B106,'[1]TrialBalance (YTD)'!$I:$I))</f>
        <v>#VALUE!</v>
      </c>
      <c r="G106" s="5">
        <f>IFERROR(INDEX('[1]TrialBalance (YTD)'!$G:$S,MATCH([1]TBMapping!$C108,'[1]TrialBalance (YTD)'!G:G,0),MATCH([1]TBMapping!H$3,'[1]TrialBalance (YTD)'!$G$7:$Z$7,0)),0)</f>
        <v>0</v>
      </c>
      <c r="H106" s="5" t="e">
        <f>SUMIF('[1]TrialBalance (YTD)'!G:G,B106,'[1]TrialBalance (YTD)'!H:H)</f>
        <v>#VALUE!</v>
      </c>
      <c r="I106" s="5">
        <f>IFERROR(INDEX('[1]TrialBalance (YTD)'!$G:$S,MATCH([1]TBMapping!$C108,'[1]TrialBalance (YTD)'!G:G,0),MATCH([1]TBMapping!J$3,'[1]TrialBalance (YTD)'!$G$7:$Z$7,0)),0)</f>
        <v>0</v>
      </c>
      <c r="K106" s="5" t="e">
        <f>SUMIF('[1]TrialBalance (Quarter)'!$A:$A,B106,'[1]TrialBalance (Quarter)'!$B:$B)</f>
        <v>#VALUE!</v>
      </c>
      <c r="L106" s="5">
        <f>IFERROR(INDEX('[1]TrialBalance (Quarter)'!$A:$L,MATCH([1]TBMapping!$C108,'[1]TrialBalance (Quarter)'!A:A,0),MATCH([1]TBMapping!M$3,'[1]TrialBalance (Quarter)'!$7:$7,0)),0)</f>
        <v>0</v>
      </c>
      <c r="M106" s="5">
        <f>IFERROR(INDEX('[1]TrialBalance (Quarter)'!$A:$L,MATCH([1]TBMapping!$C108,'[1]TrialBalance (Quarter)'!A:A,0),MATCH([1]TBMapping!N$3,'[1]TrialBalance (Quarter)'!$7:$7,0)),0)</f>
        <v>0</v>
      </c>
      <c r="N106" s="5">
        <f>IFERROR(INDEX('[1]TrialBalance (Quarter)'!$A:$L,MATCH([1]TBMapping!$C108,'[1]TrialBalance (Quarter)'!A:A,0),MATCH([1]TBMapping!O$3,'[1]TrialBalance (Quarter)'!$7:$7,0)),0)</f>
        <v>0</v>
      </c>
    </row>
    <row r="107" spans="1:14">
      <c r="B107" s="3">
        <v>111120</v>
      </c>
      <c r="C107" s="10" t="s">
        <v>99</v>
      </c>
      <c r="D107" s="10" t="s">
        <v>11</v>
      </c>
      <c r="E107" s="10"/>
      <c r="F107" s="5" t="e">
        <f>IF(DataExtraction="Manual",SUMIF('[1]TrialBalance (YTD)'!$C:$C,B107,'[1]TrialBalance (YTD)'!$E:$E),SUMIF('[1]TrialBalance (YTD)'!$G:$G,B107,'[1]TrialBalance (YTD)'!$I:$I))</f>
        <v>#VALUE!</v>
      </c>
      <c r="G107" s="5">
        <f>IFERROR(INDEX('[1]TrialBalance (YTD)'!$G:$S,MATCH([1]TBMapping!$C109,'[1]TrialBalance (YTD)'!G:G,0),MATCH([1]TBMapping!H$3,'[1]TrialBalance (YTD)'!$G$7:$Z$7,0)),0)</f>
        <v>0</v>
      </c>
      <c r="H107" s="5" t="e">
        <f>SUMIF('[1]TrialBalance (YTD)'!G:G,B107,'[1]TrialBalance (YTD)'!H:H)</f>
        <v>#VALUE!</v>
      </c>
      <c r="I107" s="5">
        <f>IFERROR(INDEX('[1]TrialBalance (YTD)'!$G:$S,MATCH([1]TBMapping!$C109,'[1]TrialBalance (YTD)'!G:G,0),MATCH([1]TBMapping!J$3,'[1]TrialBalance (YTD)'!$G$7:$Z$7,0)),0)</f>
        <v>0</v>
      </c>
      <c r="K107" s="5" t="e">
        <f>SUMIF('[1]TrialBalance (Quarter)'!$A:$A,B107,'[1]TrialBalance (Quarter)'!$B:$B)</f>
        <v>#VALUE!</v>
      </c>
      <c r="L107" s="5">
        <f>IFERROR(INDEX('[1]TrialBalance (Quarter)'!$A:$L,MATCH([1]TBMapping!$C109,'[1]TrialBalance (Quarter)'!A:A,0),MATCH([1]TBMapping!M$3,'[1]TrialBalance (Quarter)'!$7:$7,0)),0)</f>
        <v>0</v>
      </c>
      <c r="M107" s="5">
        <f>IFERROR(INDEX('[1]TrialBalance (Quarter)'!$A:$L,MATCH([1]TBMapping!$C109,'[1]TrialBalance (Quarter)'!A:A,0),MATCH([1]TBMapping!N$3,'[1]TrialBalance (Quarter)'!$7:$7,0)),0)</f>
        <v>0</v>
      </c>
      <c r="N107" s="5">
        <f>IFERROR(INDEX('[1]TrialBalance (Quarter)'!$A:$L,MATCH([1]TBMapping!$C109,'[1]TrialBalance (Quarter)'!A:A,0),MATCH([1]TBMapping!O$3,'[1]TrialBalance (Quarter)'!$7:$7,0)),0)</f>
        <v>0</v>
      </c>
    </row>
    <row r="108" spans="1:14">
      <c r="B108" s="3">
        <v>111125</v>
      </c>
      <c r="C108" s="11" t="s">
        <v>100</v>
      </c>
      <c r="D108" s="11" t="s">
        <v>11</v>
      </c>
      <c r="E108" s="11"/>
      <c r="F108" s="5" t="e">
        <f>IF(DataExtraction="Manual",SUMIF('[1]TrialBalance (YTD)'!$C:$C,B108,'[1]TrialBalance (YTD)'!$E:$E),SUMIF('[1]TrialBalance (YTD)'!$G:$G,B108,'[1]TrialBalance (YTD)'!$I:$I))</f>
        <v>#VALUE!</v>
      </c>
      <c r="G108" s="5">
        <f>IFERROR(INDEX('[1]TrialBalance (YTD)'!$G:$S,MATCH([1]TBMapping!$C110,'[1]TrialBalance (YTD)'!G:G,0),MATCH([1]TBMapping!H$3,'[1]TrialBalance (YTD)'!$G$7:$Z$7,0)),0)</f>
        <v>0</v>
      </c>
      <c r="H108" s="5" t="e">
        <f>SUMIF('[1]TrialBalance (YTD)'!G:G,B108,'[1]TrialBalance (YTD)'!H:H)</f>
        <v>#VALUE!</v>
      </c>
      <c r="I108" s="5">
        <f>IFERROR(INDEX('[1]TrialBalance (YTD)'!$G:$S,MATCH([1]TBMapping!$C110,'[1]TrialBalance (YTD)'!G:G,0),MATCH([1]TBMapping!J$3,'[1]TrialBalance (YTD)'!$G$7:$Z$7,0)),0)</f>
        <v>0</v>
      </c>
      <c r="K108" s="5" t="e">
        <f>SUMIF('[1]TrialBalance (Quarter)'!$A:$A,B108,'[1]TrialBalance (Quarter)'!$B:$B)</f>
        <v>#VALUE!</v>
      </c>
      <c r="L108" s="5">
        <f>IFERROR(INDEX('[1]TrialBalance (Quarter)'!$A:$L,MATCH([1]TBMapping!$C110,'[1]TrialBalance (Quarter)'!A:A,0),MATCH([1]TBMapping!M$3,'[1]TrialBalance (Quarter)'!$7:$7,0)),0)</f>
        <v>0</v>
      </c>
      <c r="M108" s="5">
        <f>IFERROR(INDEX('[1]TrialBalance (Quarter)'!$A:$L,MATCH([1]TBMapping!$C110,'[1]TrialBalance (Quarter)'!A:A,0),MATCH([1]TBMapping!N$3,'[1]TrialBalance (Quarter)'!$7:$7,0)),0)</f>
        <v>0</v>
      </c>
      <c r="N108" s="5">
        <f>IFERROR(INDEX('[1]TrialBalance (Quarter)'!$A:$L,MATCH([1]TBMapping!$C110,'[1]TrialBalance (Quarter)'!A:A,0),MATCH([1]TBMapping!O$3,'[1]TrialBalance (Quarter)'!$7:$7,0)),0)</f>
        <v>0</v>
      </c>
    </row>
    <row r="109" spans="1:14">
      <c r="B109" s="3">
        <v>111130</v>
      </c>
      <c r="C109" s="10" t="s">
        <v>101</v>
      </c>
      <c r="D109" s="10" t="s">
        <v>11</v>
      </c>
      <c r="E109" s="10"/>
      <c r="F109" s="5" t="e">
        <f>IF(DataExtraction="Manual",SUMIF('[1]TrialBalance (YTD)'!$C:$C,B109,'[1]TrialBalance (YTD)'!$E:$E),SUMIF('[1]TrialBalance (YTD)'!$G:$G,B109,'[1]TrialBalance (YTD)'!$I:$I))</f>
        <v>#VALUE!</v>
      </c>
      <c r="G109" s="5">
        <f>IFERROR(INDEX('[1]TrialBalance (YTD)'!$G:$S,MATCH([1]TBMapping!$C111,'[1]TrialBalance (YTD)'!G:G,0),MATCH([1]TBMapping!H$3,'[1]TrialBalance (YTD)'!$G$7:$Z$7,0)),0)</f>
        <v>0</v>
      </c>
      <c r="H109" s="5" t="e">
        <f>SUMIF('[1]TrialBalance (YTD)'!G:G,B109,'[1]TrialBalance (YTD)'!H:H)</f>
        <v>#VALUE!</v>
      </c>
      <c r="I109" s="5">
        <f>IFERROR(INDEX('[1]TrialBalance (YTD)'!$G:$S,MATCH([1]TBMapping!$C111,'[1]TrialBalance (YTD)'!G:G,0),MATCH([1]TBMapping!J$3,'[1]TrialBalance (YTD)'!$G$7:$Z$7,0)),0)</f>
        <v>0</v>
      </c>
      <c r="K109" s="5" t="e">
        <f>SUMIF('[1]TrialBalance (Quarter)'!$A:$A,B109,'[1]TrialBalance (Quarter)'!$B:$B)</f>
        <v>#VALUE!</v>
      </c>
      <c r="L109" s="5">
        <f>IFERROR(INDEX('[1]TrialBalance (Quarter)'!$A:$L,MATCH([1]TBMapping!$C111,'[1]TrialBalance (Quarter)'!A:A,0),MATCH([1]TBMapping!M$3,'[1]TrialBalance (Quarter)'!$7:$7,0)),0)</f>
        <v>0</v>
      </c>
      <c r="M109" s="5">
        <f>IFERROR(INDEX('[1]TrialBalance (Quarter)'!$A:$L,MATCH([1]TBMapping!$C111,'[1]TrialBalance (Quarter)'!A:A,0),MATCH([1]TBMapping!N$3,'[1]TrialBalance (Quarter)'!$7:$7,0)),0)</f>
        <v>0</v>
      </c>
      <c r="N109" s="5">
        <f>IFERROR(INDEX('[1]TrialBalance (Quarter)'!$A:$L,MATCH([1]TBMapping!$C111,'[1]TrialBalance (Quarter)'!A:A,0),MATCH([1]TBMapping!O$3,'[1]TrialBalance (Quarter)'!$7:$7,0)),0)</f>
        <v>0</v>
      </c>
    </row>
    <row r="110" spans="1:14">
      <c r="B110" s="3">
        <v>111135</v>
      </c>
      <c r="C110" s="11" t="s">
        <v>102</v>
      </c>
      <c r="D110" s="11" t="s">
        <v>11</v>
      </c>
      <c r="E110" s="11"/>
      <c r="F110" s="5" t="e">
        <f>IF(DataExtraction="Manual",SUMIF('[1]TrialBalance (YTD)'!$C:$C,B110,'[1]TrialBalance (YTD)'!$E:$E),SUMIF('[1]TrialBalance (YTD)'!$G:$G,B110,'[1]TrialBalance (YTD)'!$I:$I))</f>
        <v>#VALUE!</v>
      </c>
      <c r="G110" s="5">
        <f>IFERROR(INDEX('[1]TrialBalance (YTD)'!$G:$S,MATCH([1]TBMapping!$C112,'[1]TrialBalance (YTD)'!G:G,0),MATCH([1]TBMapping!H$3,'[1]TrialBalance (YTD)'!$G$7:$Z$7,0)),0)</f>
        <v>0</v>
      </c>
      <c r="H110" s="5" t="e">
        <f>SUMIF('[1]TrialBalance (YTD)'!G:G,B110,'[1]TrialBalance (YTD)'!H:H)</f>
        <v>#VALUE!</v>
      </c>
      <c r="I110" s="5">
        <f>IFERROR(INDEX('[1]TrialBalance (YTD)'!$G:$S,MATCH([1]TBMapping!$C112,'[1]TrialBalance (YTD)'!G:G,0),MATCH([1]TBMapping!J$3,'[1]TrialBalance (YTD)'!$G$7:$Z$7,0)),0)</f>
        <v>0</v>
      </c>
      <c r="K110" s="5" t="e">
        <f>SUMIF('[1]TrialBalance (Quarter)'!$A:$A,B110,'[1]TrialBalance (Quarter)'!$B:$B)</f>
        <v>#VALUE!</v>
      </c>
      <c r="L110" s="5">
        <f>IFERROR(INDEX('[1]TrialBalance (Quarter)'!$A:$L,MATCH([1]TBMapping!$C112,'[1]TrialBalance (Quarter)'!A:A,0),MATCH([1]TBMapping!M$3,'[1]TrialBalance (Quarter)'!$7:$7,0)),0)</f>
        <v>0</v>
      </c>
      <c r="M110" s="5">
        <f>IFERROR(INDEX('[1]TrialBalance (Quarter)'!$A:$L,MATCH([1]TBMapping!$C112,'[1]TrialBalance (Quarter)'!A:A,0),MATCH([1]TBMapping!N$3,'[1]TrialBalance (Quarter)'!$7:$7,0)),0)</f>
        <v>0</v>
      </c>
      <c r="N110" s="5">
        <f>IFERROR(INDEX('[1]TrialBalance (Quarter)'!$A:$L,MATCH([1]TBMapping!$C112,'[1]TrialBalance (Quarter)'!A:A,0),MATCH([1]TBMapping!O$3,'[1]TrialBalance (Quarter)'!$7:$7,0)),0)</f>
        <v>0</v>
      </c>
    </row>
    <row r="111" spans="1:14">
      <c r="A111" s="2">
        <v>105</v>
      </c>
      <c r="B111" s="3">
        <v>111140</v>
      </c>
      <c r="C111" s="10" t="s">
        <v>103</v>
      </c>
      <c r="D111" s="10" t="s">
        <v>11</v>
      </c>
      <c r="E111" s="10"/>
      <c r="F111" s="5" t="e">
        <f>IF(DataExtraction="Manual",SUMIF('[1]TrialBalance (YTD)'!$C:$C,B111,'[1]TrialBalance (YTD)'!$E:$E),SUMIF('[1]TrialBalance (YTD)'!$G:$G,B111,'[1]TrialBalance (YTD)'!$I:$I))</f>
        <v>#VALUE!</v>
      </c>
      <c r="G111" s="5">
        <f>IFERROR(INDEX('[1]TrialBalance (YTD)'!$G:$S,MATCH([1]TBMapping!$C113,'[1]TrialBalance (YTD)'!G:G,0),MATCH([1]TBMapping!H$3,'[1]TrialBalance (YTD)'!$G$7:$Z$7,0)),0)</f>
        <v>0</v>
      </c>
      <c r="H111" s="5" t="e">
        <f>SUMIF('[1]TrialBalance (YTD)'!G:G,B111,'[1]TrialBalance (YTD)'!H:H)</f>
        <v>#VALUE!</v>
      </c>
      <c r="I111" s="5">
        <f>IFERROR(INDEX('[1]TrialBalance (YTD)'!$G:$S,MATCH([1]TBMapping!$C113,'[1]TrialBalance (YTD)'!G:G,0),MATCH([1]TBMapping!J$3,'[1]TrialBalance (YTD)'!$G$7:$Z$7,0)),0)</f>
        <v>0</v>
      </c>
      <c r="K111" s="5" t="e">
        <f>SUMIF('[1]TrialBalance (Quarter)'!$A:$A,B111,'[1]TrialBalance (Quarter)'!$B:$B)</f>
        <v>#VALUE!</v>
      </c>
      <c r="L111" s="5">
        <f>IFERROR(INDEX('[1]TrialBalance (Quarter)'!$A:$L,MATCH([1]TBMapping!$C113,'[1]TrialBalance (Quarter)'!A:A,0),MATCH([1]TBMapping!M$3,'[1]TrialBalance (Quarter)'!$7:$7,0)),0)</f>
        <v>0</v>
      </c>
      <c r="M111" s="5">
        <f>IFERROR(INDEX('[1]TrialBalance (Quarter)'!$A:$L,MATCH([1]TBMapping!$C113,'[1]TrialBalance (Quarter)'!A:A,0),MATCH([1]TBMapping!N$3,'[1]TrialBalance (Quarter)'!$7:$7,0)),0)</f>
        <v>0</v>
      </c>
      <c r="N111" s="5">
        <f>IFERROR(INDEX('[1]TrialBalance (Quarter)'!$A:$L,MATCH([1]TBMapping!$C113,'[1]TrialBalance (Quarter)'!A:A,0),MATCH([1]TBMapping!O$3,'[1]TrialBalance (Quarter)'!$7:$7,0)),0)</f>
        <v>0</v>
      </c>
    </row>
    <row r="112" spans="1:14">
      <c r="A112" s="2">
        <v>105</v>
      </c>
      <c r="B112" s="3">
        <v>111141</v>
      </c>
      <c r="C112" s="11" t="s">
        <v>104</v>
      </c>
      <c r="D112" s="11" t="s">
        <v>11</v>
      </c>
      <c r="E112" s="11"/>
      <c r="F112" s="5" t="e">
        <f>IF(DataExtraction="Manual",SUMIF('[1]TrialBalance (YTD)'!$C:$C,B112,'[1]TrialBalance (YTD)'!$E:$E),SUMIF('[1]TrialBalance (YTD)'!$G:$G,B112,'[1]TrialBalance (YTD)'!$I:$I))</f>
        <v>#VALUE!</v>
      </c>
      <c r="G112" s="5">
        <f>IFERROR(INDEX('[1]TrialBalance (YTD)'!$G:$S,MATCH([1]TBMapping!$C114,'[1]TrialBalance (YTD)'!G:G,0),MATCH([1]TBMapping!H$3,'[1]TrialBalance (YTD)'!$G$7:$Z$7,0)),0)</f>
        <v>0</v>
      </c>
      <c r="H112" s="5" t="e">
        <f>SUMIF('[1]TrialBalance (YTD)'!G:G,B112,'[1]TrialBalance (YTD)'!H:H)</f>
        <v>#VALUE!</v>
      </c>
      <c r="I112" s="5">
        <f>IFERROR(INDEX('[1]TrialBalance (YTD)'!$G:$S,MATCH([1]TBMapping!$C114,'[1]TrialBalance (YTD)'!G:G,0),MATCH([1]TBMapping!J$3,'[1]TrialBalance (YTD)'!$G$7:$Z$7,0)),0)</f>
        <v>0</v>
      </c>
      <c r="K112" s="5" t="e">
        <f>SUMIF('[1]TrialBalance (Quarter)'!$A:$A,B112,'[1]TrialBalance (Quarter)'!$B:$B)</f>
        <v>#VALUE!</v>
      </c>
      <c r="L112" s="5">
        <f>IFERROR(INDEX('[1]TrialBalance (Quarter)'!$A:$L,MATCH([1]TBMapping!$C114,'[1]TrialBalance (Quarter)'!A:A,0),MATCH([1]TBMapping!M$3,'[1]TrialBalance (Quarter)'!$7:$7,0)),0)</f>
        <v>0</v>
      </c>
      <c r="M112" s="5">
        <f>IFERROR(INDEX('[1]TrialBalance (Quarter)'!$A:$L,MATCH([1]TBMapping!$C114,'[1]TrialBalance (Quarter)'!A:A,0),MATCH([1]TBMapping!N$3,'[1]TrialBalance (Quarter)'!$7:$7,0)),0)</f>
        <v>0</v>
      </c>
      <c r="N112" s="5">
        <f>IFERROR(INDEX('[1]TrialBalance (Quarter)'!$A:$L,MATCH([1]TBMapping!$C114,'[1]TrialBalance (Quarter)'!A:A,0),MATCH([1]TBMapping!O$3,'[1]TrialBalance (Quarter)'!$7:$7,0)),0)</f>
        <v>0</v>
      </c>
    </row>
    <row r="113" spans="1:14">
      <c r="A113" s="2">
        <v>105</v>
      </c>
      <c r="B113" s="3">
        <v>111145</v>
      </c>
      <c r="C113" s="10" t="s">
        <v>35</v>
      </c>
      <c r="D113" s="10" t="s">
        <v>11</v>
      </c>
      <c r="E113" s="10"/>
      <c r="F113" s="5" t="e">
        <f>IF(DataExtraction="Manual",SUMIF('[1]TrialBalance (YTD)'!$C:$C,B113,'[1]TrialBalance (YTD)'!$E:$E),SUMIF('[1]TrialBalance (YTD)'!$G:$G,B113,'[1]TrialBalance (YTD)'!$I:$I))</f>
        <v>#VALUE!</v>
      </c>
      <c r="G113" s="5">
        <f>IFERROR(INDEX('[1]TrialBalance (YTD)'!$G:$S,MATCH([1]TBMapping!$C115,'[1]TrialBalance (YTD)'!G:G,0),MATCH([1]TBMapping!H$3,'[1]TrialBalance (YTD)'!$G$7:$Z$7,0)),0)</f>
        <v>0</v>
      </c>
      <c r="H113" s="5" t="e">
        <f>SUMIF('[1]TrialBalance (YTD)'!G:G,B113,'[1]TrialBalance (YTD)'!H:H)</f>
        <v>#VALUE!</v>
      </c>
      <c r="I113" s="5">
        <f>IFERROR(INDEX('[1]TrialBalance (YTD)'!$G:$S,MATCH([1]TBMapping!$C115,'[1]TrialBalance (YTD)'!G:G,0),MATCH([1]TBMapping!J$3,'[1]TrialBalance (YTD)'!$G$7:$Z$7,0)),0)</f>
        <v>0</v>
      </c>
      <c r="K113" s="5" t="e">
        <f>SUMIF('[1]TrialBalance (Quarter)'!$A:$A,B113,'[1]TrialBalance (Quarter)'!$B:$B)</f>
        <v>#VALUE!</v>
      </c>
      <c r="L113" s="5">
        <f>IFERROR(INDEX('[1]TrialBalance (Quarter)'!$A:$L,MATCH([1]TBMapping!$C115,'[1]TrialBalance (Quarter)'!A:A,0),MATCH([1]TBMapping!M$3,'[1]TrialBalance (Quarter)'!$7:$7,0)),0)</f>
        <v>0</v>
      </c>
      <c r="M113" s="5">
        <f>IFERROR(INDEX('[1]TrialBalance (Quarter)'!$A:$L,MATCH([1]TBMapping!$C115,'[1]TrialBalance (Quarter)'!A:A,0),MATCH([1]TBMapping!N$3,'[1]TrialBalance (Quarter)'!$7:$7,0)),0)</f>
        <v>0</v>
      </c>
      <c r="N113" s="5">
        <f>IFERROR(INDEX('[1]TrialBalance (Quarter)'!$A:$L,MATCH([1]TBMapping!$C115,'[1]TrialBalance (Quarter)'!A:A,0),MATCH([1]TBMapping!O$3,'[1]TrialBalance (Quarter)'!$7:$7,0)),0)</f>
        <v>0</v>
      </c>
    </row>
    <row r="114" spans="1:14">
      <c r="A114" s="2">
        <v>105</v>
      </c>
      <c r="B114" s="3">
        <v>111150</v>
      </c>
      <c r="C114" s="11" t="s">
        <v>105</v>
      </c>
      <c r="D114" s="11" t="s">
        <v>11</v>
      </c>
      <c r="E114" s="11"/>
      <c r="F114" s="5" t="e">
        <f>IF(DataExtraction="Manual",SUMIF('[1]TrialBalance (YTD)'!$C:$C,B114,'[1]TrialBalance (YTD)'!$E:$E),SUMIF('[1]TrialBalance (YTD)'!$G:$G,B114,'[1]TrialBalance (YTD)'!$I:$I))</f>
        <v>#VALUE!</v>
      </c>
      <c r="G114" s="5">
        <f>IFERROR(INDEX('[1]TrialBalance (YTD)'!$G:$S,MATCH([1]TBMapping!$C116,'[1]TrialBalance (YTD)'!G:G,0),MATCH([1]TBMapping!H$3,'[1]TrialBalance (YTD)'!$G$7:$Z$7,0)),0)</f>
        <v>0</v>
      </c>
      <c r="H114" s="5" t="e">
        <f>SUMIF('[1]TrialBalance (YTD)'!G:G,B114,'[1]TrialBalance (YTD)'!H:H)</f>
        <v>#VALUE!</v>
      </c>
      <c r="I114" s="5">
        <f>IFERROR(INDEX('[1]TrialBalance (YTD)'!$G:$S,MATCH([1]TBMapping!$C116,'[1]TrialBalance (YTD)'!G:G,0),MATCH([1]TBMapping!J$3,'[1]TrialBalance (YTD)'!$G$7:$Z$7,0)),0)</f>
        <v>0</v>
      </c>
      <c r="K114" s="5" t="e">
        <f>SUMIF('[1]TrialBalance (Quarter)'!$A:$A,B114,'[1]TrialBalance (Quarter)'!$B:$B)</f>
        <v>#VALUE!</v>
      </c>
      <c r="L114" s="5">
        <f>IFERROR(INDEX('[1]TrialBalance (Quarter)'!$A:$L,MATCH([1]TBMapping!$C116,'[1]TrialBalance (Quarter)'!A:A,0),MATCH([1]TBMapping!M$3,'[1]TrialBalance (Quarter)'!$7:$7,0)),0)</f>
        <v>0</v>
      </c>
      <c r="M114" s="5">
        <f>IFERROR(INDEX('[1]TrialBalance (Quarter)'!$A:$L,MATCH([1]TBMapping!$C116,'[1]TrialBalance (Quarter)'!A:A,0),MATCH([1]TBMapping!N$3,'[1]TrialBalance (Quarter)'!$7:$7,0)),0)</f>
        <v>0</v>
      </c>
      <c r="N114" s="5">
        <f>IFERROR(INDEX('[1]TrialBalance (Quarter)'!$A:$L,MATCH([1]TBMapping!$C116,'[1]TrialBalance (Quarter)'!A:A,0),MATCH([1]TBMapping!O$3,'[1]TrialBalance (Quarter)'!$7:$7,0)),0)</f>
        <v>0</v>
      </c>
    </row>
    <row r="115" spans="1:14">
      <c r="A115" s="2">
        <v>105</v>
      </c>
      <c r="B115" s="3">
        <v>111155</v>
      </c>
      <c r="C115" s="10" t="s">
        <v>106</v>
      </c>
      <c r="D115" s="10" t="s">
        <v>11</v>
      </c>
      <c r="E115" s="10"/>
      <c r="F115" s="5" t="e">
        <f>IF(DataExtraction="Manual",SUMIF('[1]TrialBalance (YTD)'!$C:$C,B115,'[1]TrialBalance (YTD)'!$E:$E),SUMIF('[1]TrialBalance (YTD)'!$G:$G,B115,'[1]TrialBalance (YTD)'!$I:$I))</f>
        <v>#VALUE!</v>
      </c>
      <c r="G115" s="5">
        <f>IFERROR(INDEX('[1]TrialBalance (YTD)'!$G:$S,MATCH([1]TBMapping!$C117,'[1]TrialBalance (YTD)'!G:G,0),MATCH([1]TBMapping!H$3,'[1]TrialBalance (YTD)'!$G$7:$Z$7,0)),0)</f>
        <v>0</v>
      </c>
      <c r="H115" s="5" t="e">
        <f>SUMIF('[1]TrialBalance (YTD)'!G:G,B115,'[1]TrialBalance (YTD)'!H:H)</f>
        <v>#VALUE!</v>
      </c>
      <c r="I115" s="5">
        <f>IFERROR(INDEX('[1]TrialBalance (YTD)'!$G:$S,MATCH([1]TBMapping!$C117,'[1]TrialBalance (YTD)'!G:G,0),MATCH([1]TBMapping!J$3,'[1]TrialBalance (YTD)'!$G$7:$Z$7,0)),0)</f>
        <v>0</v>
      </c>
      <c r="K115" s="5" t="e">
        <f>SUMIF('[1]TrialBalance (Quarter)'!$A:$A,B115,'[1]TrialBalance (Quarter)'!$B:$B)</f>
        <v>#VALUE!</v>
      </c>
      <c r="L115" s="5">
        <f>IFERROR(INDEX('[1]TrialBalance (Quarter)'!$A:$L,MATCH([1]TBMapping!$C117,'[1]TrialBalance (Quarter)'!A:A,0),MATCH([1]TBMapping!M$3,'[1]TrialBalance (Quarter)'!$7:$7,0)),0)</f>
        <v>0</v>
      </c>
      <c r="M115" s="5">
        <f>IFERROR(INDEX('[1]TrialBalance (Quarter)'!$A:$L,MATCH([1]TBMapping!$C117,'[1]TrialBalance (Quarter)'!A:A,0),MATCH([1]TBMapping!N$3,'[1]TrialBalance (Quarter)'!$7:$7,0)),0)</f>
        <v>0</v>
      </c>
      <c r="N115" s="5">
        <f>IFERROR(INDEX('[1]TrialBalance (Quarter)'!$A:$L,MATCH([1]TBMapping!$C117,'[1]TrialBalance (Quarter)'!A:A,0),MATCH([1]TBMapping!O$3,'[1]TrialBalance (Quarter)'!$7:$7,0)),0)</f>
        <v>0</v>
      </c>
    </row>
    <row r="116" spans="1:14">
      <c r="A116" s="2">
        <v>105</v>
      </c>
      <c r="B116" s="3">
        <v>111157</v>
      </c>
      <c r="C116" s="11" t="s">
        <v>107</v>
      </c>
      <c r="D116" s="11" t="s">
        <v>11</v>
      </c>
      <c r="E116" s="11"/>
      <c r="F116" s="5" t="e">
        <f>IF(DataExtraction="Manual",SUMIF('[1]TrialBalance (YTD)'!$C:$C,B116,'[1]TrialBalance (YTD)'!$E:$E),SUMIF('[1]TrialBalance (YTD)'!$G:$G,B116,'[1]TrialBalance (YTD)'!$I:$I))</f>
        <v>#VALUE!</v>
      </c>
      <c r="G116" s="5">
        <f>IFERROR(INDEX('[1]TrialBalance (YTD)'!$G:$S,MATCH([1]TBMapping!$C118,'[1]TrialBalance (YTD)'!G:G,0),MATCH([1]TBMapping!H$3,'[1]TrialBalance (YTD)'!$G$7:$Z$7,0)),0)</f>
        <v>0</v>
      </c>
      <c r="H116" s="5" t="e">
        <f>SUMIF('[1]TrialBalance (YTD)'!G:G,B116,'[1]TrialBalance (YTD)'!H:H)</f>
        <v>#VALUE!</v>
      </c>
      <c r="I116" s="5">
        <f>IFERROR(INDEX('[1]TrialBalance (YTD)'!$G:$S,MATCH([1]TBMapping!$C118,'[1]TrialBalance (YTD)'!G:G,0),MATCH([1]TBMapping!J$3,'[1]TrialBalance (YTD)'!$G$7:$Z$7,0)),0)</f>
        <v>0</v>
      </c>
      <c r="K116" s="5" t="e">
        <f>SUMIF('[1]TrialBalance (Quarter)'!$A:$A,B116,'[1]TrialBalance (Quarter)'!$B:$B)</f>
        <v>#VALUE!</v>
      </c>
      <c r="L116" s="5">
        <f>IFERROR(INDEX('[1]TrialBalance (Quarter)'!$A:$L,MATCH([1]TBMapping!$C118,'[1]TrialBalance (Quarter)'!A:A,0),MATCH([1]TBMapping!M$3,'[1]TrialBalance (Quarter)'!$7:$7,0)),0)</f>
        <v>0</v>
      </c>
      <c r="M116" s="5">
        <f>IFERROR(INDEX('[1]TrialBalance (Quarter)'!$A:$L,MATCH([1]TBMapping!$C118,'[1]TrialBalance (Quarter)'!A:A,0),MATCH([1]TBMapping!N$3,'[1]TrialBalance (Quarter)'!$7:$7,0)),0)</f>
        <v>0</v>
      </c>
      <c r="N116" s="5">
        <f>IFERROR(INDEX('[1]TrialBalance (Quarter)'!$A:$L,MATCH([1]TBMapping!$C118,'[1]TrialBalance (Quarter)'!A:A,0),MATCH([1]TBMapping!O$3,'[1]TrialBalance (Quarter)'!$7:$7,0)),0)</f>
        <v>0</v>
      </c>
    </row>
    <row r="117" spans="1:14">
      <c r="A117" s="2">
        <v>105</v>
      </c>
      <c r="B117" s="3">
        <v>111160</v>
      </c>
      <c r="C117" s="10" t="s">
        <v>108</v>
      </c>
      <c r="D117" s="10" t="s">
        <v>11</v>
      </c>
      <c r="E117" s="10"/>
      <c r="F117" s="5" t="e">
        <f>IF(DataExtraction="Manual",SUMIF('[1]TrialBalance (YTD)'!$C:$C,B117,'[1]TrialBalance (YTD)'!$E:$E),SUMIF('[1]TrialBalance (YTD)'!$G:$G,B117,'[1]TrialBalance (YTD)'!$I:$I))</f>
        <v>#VALUE!</v>
      </c>
      <c r="G117" s="5">
        <f>IFERROR(INDEX('[1]TrialBalance (YTD)'!$G:$S,MATCH([1]TBMapping!$C119,'[1]TrialBalance (YTD)'!G:G,0),MATCH([1]TBMapping!H$3,'[1]TrialBalance (YTD)'!$G$7:$Z$7,0)),0)</f>
        <v>0</v>
      </c>
      <c r="H117" s="5" t="e">
        <f>SUMIF('[1]TrialBalance (YTD)'!G:G,B117,'[1]TrialBalance (YTD)'!H:H)</f>
        <v>#VALUE!</v>
      </c>
      <c r="I117" s="5">
        <f>IFERROR(INDEX('[1]TrialBalance (YTD)'!$G:$S,MATCH([1]TBMapping!$C119,'[1]TrialBalance (YTD)'!G:G,0),MATCH([1]TBMapping!J$3,'[1]TrialBalance (YTD)'!$G$7:$Z$7,0)),0)</f>
        <v>0</v>
      </c>
      <c r="K117" s="5" t="e">
        <f>SUMIF('[1]TrialBalance (Quarter)'!$A:$A,B117,'[1]TrialBalance (Quarter)'!$B:$B)</f>
        <v>#VALUE!</v>
      </c>
      <c r="L117" s="5">
        <f>IFERROR(INDEX('[1]TrialBalance (Quarter)'!$A:$L,MATCH([1]TBMapping!$C119,'[1]TrialBalance (Quarter)'!A:A,0),MATCH([1]TBMapping!M$3,'[1]TrialBalance (Quarter)'!$7:$7,0)),0)</f>
        <v>0</v>
      </c>
      <c r="M117" s="5">
        <f>IFERROR(INDEX('[1]TrialBalance (Quarter)'!$A:$L,MATCH([1]TBMapping!$C119,'[1]TrialBalance (Quarter)'!A:A,0),MATCH([1]TBMapping!N$3,'[1]TrialBalance (Quarter)'!$7:$7,0)),0)</f>
        <v>0</v>
      </c>
      <c r="N117" s="5">
        <f>IFERROR(INDEX('[1]TrialBalance (Quarter)'!$A:$L,MATCH([1]TBMapping!$C119,'[1]TrialBalance (Quarter)'!A:A,0),MATCH([1]TBMapping!O$3,'[1]TrialBalance (Quarter)'!$7:$7,0)),0)</f>
        <v>0</v>
      </c>
    </row>
    <row r="118" spans="1:14">
      <c r="A118" s="2">
        <v>105</v>
      </c>
      <c r="B118" s="3">
        <v>111162</v>
      </c>
      <c r="C118" s="11" t="s">
        <v>109</v>
      </c>
      <c r="D118" s="11" t="s">
        <v>11</v>
      </c>
      <c r="E118" s="11"/>
      <c r="F118" s="5" t="e">
        <f>IF(DataExtraction="Manual",SUMIF('[1]TrialBalance (YTD)'!$C:$C,B118,'[1]TrialBalance (YTD)'!$E:$E),SUMIF('[1]TrialBalance (YTD)'!$G:$G,B118,'[1]TrialBalance (YTD)'!$I:$I))</f>
        <v>#VALUE!</v>
      </c>
      <c r="G118" s="5">
        <f>IFERROR(INDEX('[1]TrialBalance (YTD)'!$G:$S,MATCH([1]TBMapping!$C120,'[1]TrialBalance (YTD)'!G:G,0),MATCH([1]TBMapping!H$3,'[1]TrialBalance (YTD)'!$G$7:$Z$7,0)),0)</f>
        <v>0</v>
      </c>
      <c r="H118" s="5" t="e">
        <f>SUMIF('[1]TrialBalance (YTD)'!G:G,B118,'[1]TrialBalance (YTD)'!H:H)</f>
        <v>#VALUE!</v>
      </c>
      <c r="I118" s="5">
        <f>IFERROR(INDEX('[1]TrialBalance (YTD)'!$G:$S,MATCH([1]TBMapping!$C120,'[1]TrialBalance (YTD)'!G:G,0),MATCH([1]TBMapping!J$3,'[1]TrialBalance (YTD)'!$G$7:$Z$7,0)),0)</f>
        <v>0</v>
      </c>
      <c r="K118" s="5" t="e">
        <f>SUMIF('[1]TrialBalance (Quarter)'!$A:$A,B118,'[1]TrialBalance (Quarter)'!$B:$B)</f>
        <v>#VALUE!</v>
      </c>
      <c r="L118" s="5">
        <f>IFERROR(INDEX('[1]TrialBalance (Quarter)'!$A:$L,MATCH([1]TBMapping!$C120,'[1]TrialBalance (Quarter)'!A:A,0),MATCH([1]TBMapping!M$3,'[1]TrialBalance (Quarter)'!$7:$7,0)),0)</f>
        <v>0</v>
      </c>
      <c r="M118" s="5">
        <f>IFERROR(INDEX('[1]TrialBalance (Quarter)'!$A:$L,MATCH([1]TBMapping!$C120,'[1]TrialBalance (Quarter)'!A:A,0),MATCH([1]TBMapping!N$3,'[1]TrialBalance (Quarter)'!$7:$7,0)),0)</f>
        <v>0</v>
      </c>
      <c r="N118" s="5">
        <f>IFERROR(INDEX('[1]TrialBalance (Quarter)'!$A:$L,MATCH([1]TBMapping!$C120,'[1]TrialBalance (Quarter)'!A:A,0),MATCH([1]TBMapping!O$3,'[1]TrialBalance (Quarter)'!$7:$7,0)),0)</f>
        <v>0</v>
      </c>
    </row>
    <row r="119" spans="1:14">
      <c r="A119" s="2">
        <v>105</v>
      </c>
      <c r="B119" s="3">
        <v>111165</v>
      </c>
      <c r="C119" s="10" t="s">
        <v>110</v>
      </c>
      <c r="D119" s="10" t="s">
        <v>11</v>
      </c>
      <c r="E119" s="10"/>
      <c r="F119" s="5" t="e">
        <f>IF(DataExtraction="Manual",SUMIF('[1]TrialBalance (YTD)'!$C:$C,B119,'[1]TrialBalance (YTD)'!$E:$E),SUMIF('[1]TrialBalance (YTD)'!$G:$G,B119,'[1]TrialBalance (YTD)'!$I:$I))</f>
        <v>#VALUE!</v>
      </c>
      <c r="G119" s="5">
        <f>IFERROR(INDEX('[1]TrialBalance (YTD)'!$G:$S,MATCH([1]TBMapping!$C121,'[1]TrialBalance (YTD)'!G:G,0),MATCH([1]TBMapping!H$3,'[1]TrialBalance (YTD)'!$G$7:$Z$7,0)),0)</f>
        <v>0</v>
      </c>
      <c r="H119" s="5" t="e">
        <f>SUMIF('[1]TrialBalance (YTD)'!G:G,B119,'[1]TrialBalance (YTD)'!H:H)</f>
        <v>#VALUE!</v>
      </c>
      <c r="I119" s="5">
        <f>IFERROR(INDEX('[1]TrialBalance (YTD)'!$G:$S,MATCH([1]TBMapping!$C121,'[1]TrialBalance (YTD)'!G:G,0),MATCH([1]TBMapping!J$3,'[1]TrialBalance (YTD)'!$G$7:$Z$7,0)),0)</f>
        <v>0</v>
      </c>
      <c r="K119" s="5" t="e">
        <f>SUMIF('[1]TrialBalance (Quarter)'!$A:$A,B119,'[1]TrialBalance (Quarter)'!$B:$B)</f>
        <v>#VALUE!</v>
      </c>
      <c r="L119" s="5">
        <f>IFERROR(INDEX('[1]TrialBalance (Quarter)'!$A:$L,MATCH([1]TBMapping!$C121,'[1]TrialBalance (Quarter)'!A:A,0),MATCH([1]TBMapping!M$3,'[1]TrialBalance (Quarter)'!$7:$7,0)),0)</f>
        <v>0</v>
      </c>
      <c r="M119" s="5">
        <f>IFERROR(INDEX('[1]TrialBalance (Quarter)'!$A:$L,MATCH([1]TBMapping!$C121,'[1]TrialBalance (Quarter)'!A:A,0),MATCH([1]TBMapping!N$3,'[1]TrialBalance (Quarter)'!$7:$7,0)),0)</f>
        <v>0</v>
      </c>
      <c r="N119" s="5">
        <f>IFERROR(INDEX('[1]TrialBalance (Quarter)'!$A:$L,MATCH([1]TBMapping!$C121,'[1]TrialBalance (Quarter)'!A:A,0),MATCH([1]TBMapping!O$3,'[1]TrialBalance (Quarter)'!$7:$7,0)),0)</f>
        <v>0</v>
      </c>
    </row>
    <row r="120" spans="1:14">
      <c r="A120" s="2">
        <v>105</v>
      </c>
      <c r="B120" s="3">
        <v>111170</v>
      </c>
      <c r="C120" s="11" t="s">
        <v>111</v>
      </c>
      <c r="D120" s="11" t="s">
        <v>11</v>
      </c>
      <c r="E120" s="11"/>
      <c r="F120" s="5" t="e">
        <f>IF(DataExtraction="Manual",SUMIF('[1]TrialBalance (YTD)'!$C:$C,B120,'[1]TrialBalance (YTD)'!$E:$E),SUMIF('[1]TrialBalance (YTD)'!$G:$G,B120,'[1]TrialBalance (YTD)'!$I:$I))</f>
        <v>#VALUE!</v>
      </c>
      <c r="G120" s="5">
        <f>IFERROR(INDEX('[1]TrialBalance (YTD)'!$G:$S,MATCH([1]TBMapping!$C122,'[1]TrialBalance (YTD)'!G:G,0),MATCH([1]TBMapping!H$3,'[1]TrialBalance (YTD)'!$G$7:$Z$7,0)),0)</f>
        <v>0</v>
      </c>
      <c r="H120" s="5" t="e">
        <f>SUMIF('[1]TrialBalance (YTD)'!G:G,B120,'[1]TrialBalance (YTD)'!H:H)</f>
        <v>#VALUE!</v>
      </c>
      <c r="I120" s="5">
        <f>IFERROR(INDEX('[1]TrialBalance (YTD)'!$G:$S,MATCH([1]TBMapping!$C122,'[1]TrialBalance (YTD)'!G:G,0),MATCH([1]TBMapping!J$3,'[1]TrialBalance (YTD)'!$G$7:$Z$7,0)),0)</f>
        <v>0</v>
      </c>
      <c r="K120" s="5" t="e">
        <f>SUMIF('[1]TrialBalance (Quarter)'!$A:$A,B120,'[1]TrialBalance (Quarter)'!$B:$B)</f>
        <v>#VALUE!</v>
      </c>
      <c r="L120" s="5">
        <f>IFERROR(INDEX('[1]TrialBalance (Quarter)'!$A:$L,MATCH([1]TBMapping!$C122,'[1]TrialBalance (Quarter)'!A:A,0),MATCH([1]TBMapping!M$3,'[1]TrialBalance (Quarter)'!$7:$7,0)),0)</f>
        <v>0</v>
      </c>
      <c r="M120" s="5">
        <f>IFERROR(INDEX('[1]TrialBalance (Quarter)'!$A:$L,MATCH([1]TBMapping!$C122,'[1]TrialBalance (Quarter)'!A:A,0),MATCH([1]TBMapping!N$3,'[1]TrialBalance (Quarter)'!$7:$7,0)),0)</f>
        <v>0</v>
      </c>
      <c r="N120" s="5">
        <f>IFERROR(INDEX('[1]TrialBalance (Quarter)'!$A:$L,MATCH([1]TBMapping!$C122,'[1]TrialBalance (Quarter)'!A:A,0),MATCH([1]TBMapping!O$3,'[1]TrialBalance (Quarter)'!$7:$7,0)),0)</f>
        <v>0</v>
      </c>
    </row>
    <row r="121" spans="1:14">
      <c r="A121" s="2">
        <v>105</v>
      </c>
      <c r="B121" s="3">
        <v>111175</v>
      </c>
      <c r="C121" s="10" t="s">
        <v>112</v>
      </c>
      <c r="D121" s="10" t="s">
        <v>11</v>
      </c>
      <c r="E121" s="10"/>
      <c r="F121" s="5" t="e">
        <f>IF(DataExtraction="Manual",SUMIF('[1]TrialBalance (YTD)'!$C:$C,B121,'[1]TrialBalance (YTD)'!$E:$E),SUMIF('[1]TrialBalance (YTD)'!$G:$G,B121,'[1]TrialBalance (YTD)'!$I:$I))</f>
        <v>#VALUE!</v>
      </c>
      <c r="G121" s="5">
        <f>IFERROR(INDEX('[1]TrialBalance (YTD)'!$G:$S,MATCH([1]TBMapping!$C123,'[1]TrialBalance (YTD)'!G:G,0),MATCH([1]TBMapping!H$3,'[1]TrialBalance (YTD)'!$G$7:$Z$7,0)),0)</f>
        <v>0</v>
      </c>
      <c r="H121" s="5" t="e">
        <f>SUMIF('[1]TrialBalance (YTD)'!G:G,B121,'[1]TrialBalance (YTD)'!H:H)</f>
        <v>#VALUE!</v>
      </c>
      <c r="I121" s="5">
        <f>IFERROR(INDEX('[1]TrialBalance (YTD)'!$G:$S,MATCH([1]TBMapping!$C123,'[1]TrialBalance (YTD)'!G:G,0),MATCH([1]TBMapping!J$3,'[1]TrialBalance (YTD)'!$G$7:$Z$7,0)),0)</f>
        <v>0</v>
      </c>
      <c r="K121" s="5" t="e">
        <f>SUMIF('[1]TrialBalance (Quarter)'!$A:$A,B121,'[1]TrialBalance (Quarter)'!$B:$B)</f>
        <v>#VALUE!</v>
      </c>
      <c r="L121" s="5">
        <f>IFERROR(INDEX('[1]TrialBalance (Quarter)'!$A:$L,MATCH([1]TBMapping!$C123,'[1]TrialBalance (Quarter)'!A:A,0),MATCH([1]TBMapping!M$3,'[1]TrialBalance (Quarter)'!$7:$7,0)),0)</f>
        <v>0</v>
      </c>
      <c r="M121" s="5">
        <f>IFERROR(INDEX('[1]TrialBalance (Quarter)'!$A:$L,MATCH([1]TBMapping!$C123,'[1]TrialBalance (Quarter)'!A:A,0),MATCH([1]TBMapping!N$3,'[1]TrialBalance (Quarter)'!$7:$7,0)),0)</f>
        <v>0</v>
      </c>
      <c r="N121" s="5">
        <f>IFERROR(INDEX('[1]TrialBalance (Quarter)'!$A:$L,MATCH([1]TBMapping!$C123,'[1]TrialBalance (Quarter)'!A:A,0),MATCH([1]TBMapping!O$3,'[1]TrialBalance (Quarter)'!$7:$7,0)),0)</f>
        <v>0</v>
      </c>
    </row>
    <row r="122" spans="1:14">
      <c r="A122" s="2">
        <v>105</v>
      </c>
      <c r="B122" s="3">
        <v>111176</v>
      </c>
      <c r="C122" s="11" t="s">
        <v>113</v>
      </c>
      <c r="D122" s="11" t="s">
        <v>11</v>
      </c>
      <c r="E122" s="11"/>
      <c r="F122" s="5" t="e">
        <f>IF(DataExtraction="Manual",SUMIF('[1]TrialBalance (YTD)'!$C:$C,B122,'[1]TrialBalance (YTD)'!$E:$E),SUMIF('[1]TrialBalance (YTD)'!$G:$G,B122,'[1]TrialBalance (YTD)'!$I:$I))</f>
        <v>#VALUE!</v>
      </c>
      <c r="G122" s="5">
        <f>IFERROR(INDEX('[1]TrialBalance (YTD)'!$G:$S,MATCH([1]TBMapping!$C124,'[1]TrialBalance (YTD)'!G:G,0),MATCH([1]TBMapping!H$3,'[1]TrialBalance (YTD)'!$G$7:$Z$7,0)),0)</f>
        <v>0</v>
      </c>
      <c r="H122" s="5" t="e">
        <f>SUMIF('[1]TrialBalance (YTD)'!G:G,B122,'[1]TrialBalance (YTD)'!H:H)</f>
        <v>#VALUE!</v>
      </c>
      <c r="I122" s="5">
        <f>IFERROR(INDEX('[1]TrialBalance (YTD)'!$G:$S,MATCH([1]TBMapping!$C124,'[1]TrialBalance (YTD)'!G:G,0),MATCH([1]TBMapping!J$3,'[1]TrialBalance (YTD)'!$G$7:$Z$7,0)),0)</f>
        <v>0</v>
      </c>
      <c r="K122" s="5" t="e">
        <f>SUMIF('[1]TrialBalance (Quarter)'!$A:$A,B122,'[1]TrialBalance (Quarter)'!$B:$B)</f>
        <v>#VALUE!</v>
      </c>
      <c r="L122" s="5">
        <f>IFERROR(INDEX('[1]TrialBalance (Quarter)'!$A:$L,MATCH([1]TBMapping!$C124,'[1]TrialBalance (Quarter)'!A:A,0),MATCH([1]TBMapping!M$3,'[1]TrialBalance (Quarter)'!$7:$7,0)),0)</f>
        <v>0</v>
      </c>
      <c r="M122" s="5">
        <f>IFERROR(INDEX('[1]TrialBalance (Quarter)'!$A:$L,MATCH([1]TBMapping!$C124,'[1]TrialBalance (Quarter)'!A:A,0),MATCH([1]TBMapping!N$3,'[1]TrialBalance (Quarter)'!$7:$7,0)),0)</f>
        <v>0</v>
      </c>
      <c r="N122" s="5">
        <f>IFERROR(INDEX('[1]TrialBalance (Quarter)'!$A:$L,MATCH([1]TBMapping!$C124,'[1]TrialBalance (Quarter)'!A:A,0),MATCH([1]TBMapping!O$3,'[1]TrialBalance (Quarter)'!$7:$7,0)),0)</f>
        <v>0</v>
      </c>
    </row>
    <row r="123" spans="1:14">
      <c r="A123" s="2">
        <v>105</v>
      </c>
      <c r="B123" s="3">
        <v>111177</v>
      </c>
      <c r="C123" s="10" t="s">
        <v>114</v>
      </c>
      <c r="D123" s="10" t="s">
        <v>11</v>
      </c>
      <c r="E123" s="10"/>
      <c r="F123" s="5" t="e">
        <f>IF(DataExtraction="Manual",SUMIF('[1]TrialBalance (YTD)'!$C:$C,B123,'[1]TrialBalance (YTD)'!$E:$E),SUMIF('[1]TrialBalance (YTD)'!$G:$G,B123,'[1]TrialBalance (YTD)'!$I:$I))</f>
        <v>#VALUE!</v>
      </c>
      <c r="G123" s="5">
        <f>IFERROR(INDEX('[1]TrialBalance (YTD)'!$G:$S,MATCH([1]TBMapping!$C125,'[1]TrialBalance (YTD)'!G:G,0),MATCH([1]TBMapping!H$3,'[1]TrialBalance (YTD)'!$G$7:$Z$7,0)),0)</f>
        <v>0</v>
      </c>
      <c r="H123" s="5" t="e">
        <f>SUMIF('[1]TrialBalance (YTD)'!G:G,B123,'[1]TrialBalance (YTD)'!H:H)</f>
        <v>#VALUE!</v>
      </c>
      <c r="I123" s="5">
        <f>IFERROR(INDEX('[1]TrialBalance (YTD)'!$G:$S,MATCH([1]TBMapping!$C125,'[1]TrialBalance (YTD)'!G:G,0),MATCH([1]TBMapping!J$3,'[1]TrialBalance (YTD)'!$G$7:$Z$7,0)),0)</f>
        <v>0</v>
      </c>
      <c r="K123" s="5" t="e">
        <f>SUMIF('[1]TrialBalance (Quarter)'!$A:$A,B123,'[1]TrialBalance (Quarter)'!$B:$B)</f>
        <v>#VALUE!</v>
      </c>
      <c r="L123" s="5">
        <f>IFERROR(INDEX('[1]TrialBalance (Quarter)'!$A:$L,MATCH([1]TBMapping!$C125,'[1]TrialBalance (Quarter)'!A:A,0),MATCH([1]TBMapping!M$3,'[1]TrialBalance (Quarter)'!$7:$7,0)),0)</f>
        <v>0</v>
      </c>
      <c r="M123" s="5">
        <f>IFERROR(INDEX('[1]TrialBalance (Quarter)'!$A:$L,MATCH([1]TBMapping!$C125,'[1]TrialBalance (Quarter)'!A:A,0),MATCH([1]TBMapping!N$3,'[1]TrialBalance (Quarter)'!$7:$7,0)),0)</f>
        <v>0</v>
      </c>
      <c r="N123" s="5">
        <f>IFERROR(INDEX('[1]TrialBalance (Quarter)'!$A:$L,MATCH([1]TBMapping!$C125,'[1]TrialBalance (Quarter)'!A:A,0),MATCH([1]TBMapping!O$3,'[1]TrialBalance (Quarter)'!$7:$7,0)),0)</f>
        <v>0</v>
      </c>
    </row>
    <row r="124" spans="1:14">
      <c r="A124" s="2">
        <v>105</v>
      </c>
      <c r="B124" s="3">
        <v>111180</v>
      </c>
      <c r="C124" s="11" t="s">
        <v>115</v>
      </c>
      <c r="D124" s="11" t="s">
        <v>11</v>
      </c>
      <c r="E124" s="11"/>
      <c r="F124" s="5" t="e">
        <f>IF(DataExtraction="Manual",SUMIF('[1]TrialBalance (YTD)'!$C:$C,B124,'[1]TrialBalance (YTD)'!$E:$E),SUMIF('[1]TrialBalance (YTD)'!$G:$G,B124,'[1]TrialBalance (YTD)'!$I:$I))</f>
        <v>#VALUE!</v>
      </c>
      <c r="G124" s="5">
        <f>IFERROR(INDEX('[1]TrialBalance (YTD)'!$G:$S,MATCH([1]TBMapping!$C126,'[1]TrialBalance (YTD)'!G:G,0),MATCH([1]TBMapping!H$3,'[1]TrialBalance (YTD)'!$G$7:$Z$7,0)),0)</f>
        <v>0</v>
      </c>
      <c r="H124" s="5" t="e">
        <f>SUMIF('[1]TrialBalance (YTD)'!G:G,B124,'[1]TrialBalance (YTD)'!H:H)</f>
        <v>#VALUE!</v>
      </c>
      <c r="I124" s="5">
        <f>IFERROR(INDEX('[1]TrialBalance (YTD)'!$G:$S,MATCH([1]TBMapping!$C126,'[1]TrialBalance (YTD)'!G:G,0),MATCH([1]TBMapping!J$3,'[1]TrialBalance (YTD)'!$G$7:$Z$7,0)),0)</f>
        <v>0</v>
      </c>
      <c r="K124" s="5" t="e">
        <f>SUMIF('[1]TrialBalance (Quarter)'!$A:$A,B124,'[1]TrialBalance (Quarter)'!$B:$B)</f>
        <v>#VALUE!</v>
      </c>
      <c r="L124" s="5">
        <f>IFERROR(INDEX('[1]TrialBalance (Quarter)'!$A:$L,MATCH([1]TBMapping!$C126,'[1]TrialBalance (Quarter)'!A:A,0),MATCH([1]TBMapping!M$3,'[1]TrialBalance (Quarter)'!$7:$7,0)),0)</f>
        <v>0</v>
      </c>
      <c r="M124" s="5">
        <f>IFERROR(INDEX('[1]TrialBalance (Quarter)'!$A:$L,MATCH([1]TBMapping!$C126,'[1]TrialBalance (Quarter)'!A:A,0),MATCH([1]TBMapping!N$3,'[1]TrialBalance (Quarter)'!$7:$7,0)),0)</f>
        <v>0</v>
      </c>
      <c r="N124" s="5">
        <f>IFERROR(INDEX('[1]TrialBalance (Quarter)'!$A:$L,MATCH([1]TBMapping!$C126,'[1]TrialBalance (Quarter)'!A:A,0),MATCH([1]TBMapping!O$3,'[1]TrialBalance (Quarter)'!$7:$7,0)),0)</f>
        <v>0</v>
      </c>
    </row>
    <row r="125" spans="1:14">
      <c r="A125" s="2">
        <v>105</v>
      </c>
      <c r="B125" s="3">
        <v>111190</v>
      </c>
      <c r="C125" s="10" t="s">
        <v>116</v>
      </c>
      <c r="D125" s="10" t="s">
        <v>11</v>
      </c>
      <c r="E125" s="10"/>
      <c r="F125" s="5" t="e">
        <f>IF(DataExtraction="Manual",SUMIF('[1]TrialBalance (YTD)'!$C:$C,B125,'[1]TrialBalance (YTD)'!$E:$E),SUMIF('[1]TrialBalance (YTD)'!$G:$G,B125,'[1]TrialBalance (YTD)'!$I:$I))</f>
        <v>#VALUE!</v>
      </c>
      <c r="G125" s="5">
        <f>IFERROR(INDEX('[1]TrialBalance (YTD)'!$G:$S,MATCH([1]TBMapping!$C127,'[1]TrialBalance (YTD)'!G:G,0),MATCH([1]TBMapping!H$3,'[1]TrialBalance (YTD)'!$G$7:$Z$7,0)),0)</f>
        <v>0</v>
      </c>
      <c r="H125" s="5" t="e">
        <f>SUMIF('[1]TrialBalance (YTD)'!G:G,B125,'[1]TrialBalance (YTD)'!H:H)</f>
        <v>#VALUE!</v>
      </c>
      <c r="I125" s="5">
        <f>IFERROR(INDEX('[1]TrialBalance (YTD)'!$G:$S,MATCH([1]TBMapping!$C127,'[1]TrialBalance (YTD)'!G:G,0),MATCH([1]TBMapping!J$3,'[1]TrialBalance (YTD)'!$G$7:$Z$7,0)),0)</f>
        <v>0</v>
      </c>
      <c r="K125" s="5" t="e">
        <f>SUMIF('[1]TrialBalance (Quarter)'!$A:$A,B125,'[1]TrialBalance (Quarter)'!$B:$B)</f>
        <v>#VALUE!</v>
      </c>
      <c r="L125" s="5">
        <f>IFERROR(INDEX('[1]TrialBalance (Quarter)'!$A:$L,MATCH([1]TBMapping!$C127,'[1]TrialBalance (Quarter)'!A:A,0),MATCH([1]TBMapping!M$3,'[1]TrialBalance (Quarter)'!$7:$7,0)),0)</f>
        <v>0</v>
      </c>
      <c r="M125" s="5">
        <f>IFERROR(INDEX('[1]TrialBalance (Quarter)'!$A:$L,MATCH([1]TBMapping!$C127,'[1]TrialBalance (Quarter)'!A:A,0),MATCH([1]TBMapping!N$3,'[1]TrialBalance (Quarter)'!$7:$7,0)),0)</f>
        <v>0</v>
      </c>
      <c r="N125" s="5">
        <f>IFERROR(INDEX('[1]TrialBalance (Quarter)'!$A:$L,MATCH([1]TBMapping!$C127,'[1]TrialBalance (Quarter)'!A:A,0),MATCH([1]TBMapping!O$3,'[1]TrialBalance (Quarter)'!$7:$7,0)),0)</f>
        <v>0</v>
      </c>
    </row>
    <row r="126" spans="1:14">
      <c r="B126" s="3">
        <v>111199</v>
      </c>
      <c r="C126" s="10" t="s">
        <v>117</v>
      </c>
      <c r="D126" s="10" t="s">
        <v>16</v>
      </c>
      <c r="E126" s="10"/>
      <c r="F126" s="5" t="e">
        <f>IF(DataExtraction="Manual",SUMIF('[1]TrialBalance (YTD)'!$C:$C,B126,'[1]TrialBalance (YTD)'!$E:$E),SUMIF('[1]TrialBalance (YTD)'!$G:$G,B126,'[1]TrialBalance (YTD)'!$I:$I))</f>
        <v>#VALUE!</v>
      </c>
      <c r="G126" s="5">
        <f>IFERROR(INDEX('[1]TrialBalance (YTD)'!$G:$S,MATCH([1]TBMapping!$C128,'[1]TrialBalance (YTD)'!G:G,0),MATCH([1]TBMapping!H$3,'[1]TrialBalance (YTD)'!$G$7:$Z$7,0)),0)</f>
        <v>0</v>
      </c>
      <c r="H126" s="5" t="e">
        <f>SUMIF('[1]TrialBalance (YTD)'!G:G,B126,'[1]TrialBalance (YTD)'!H:H)</f>
        <v>#VALUE!</v>
      </c>
      <c r="I126" s="5">
        <f>IFERROR(INDEX('[1]TrialBalance (YTD)'!$G:$S,MATCH([1]TBMapping!$C128,'[1]TrialBalance (YTD)'!G:G,0),MATCH([1]TBMapping!J$3,'[1]TrialBalance (YTD)'!$G$7:$Z$7,0)),0)</f>
        <v>0</v>
      </c>
      <c r="K126" s="5" t="e">
        <f>SUMIF('[1]TrialBalance (Quarter)'!$A:$A,B126,'[1]TrialBalance (Quarter)'!$B:$B)</f>
        <v>#VALUE!</v>
      </c>
      <c r="L126" s="5">
        <f>IFERROR(INDEX('[1]TrialBalance (Quarter)'!$A:$L,MATCH([1]TBMapping!$C128,'[1]TrialBalance (Quarter)'!A:A,0),MATCH([1]TBMapping!M$3,'[1]TrialBalance (Quarter)'!$7:$7,0)),0)</f>
        <v>0</v>
      </c>
      <c r="M126" s="5">
        <f>IFERROR(INDEX('[1]TrialBalance (Quarter)'!$A:$L,MATCH([1]TBMapping!$C128,'[1]TrialBalance (Quarter)'!A:A,0),MATCH([1]TBMapping!N$3,'[1]TrialBalance (Quarter)'!$7:$7,0)),0)</f>
        <v>0</v>
      </c>
      <c r="N126" s="5">
        <f>IFERROR(INDEX('[1]TrialBalance (Quarter)'!$A:$L,MATCH([1]TBMapping!$C128,'[1]TrialBalance (Quarter)'!A:A,0),MATCH([1]TBMapping!O$3,'[1]TrialBalance (Quarter)'!$7:$7,0)),0)</f>
        <v>0</v>
      </c>
    </row>
    <row r="127" spans="1:14">
      <c r="A127" s="2">
        <v>105</v>
      </c>
      <c r="B127" s="3">
        <v>111299</v>
      </c>
      <c r="C127" s="10" t="s">
        <v>118</v>
      </c>
      <c r="D127" s="10" t="s">
        <v>11</v>
      </c>
      <c r="E127" s="10"/>
      <c r="F127" s="5" t="e">
        <f>IF(DataExtraction="Manual",SUMIF('[1]TrialBalance (YTD)'!$C:$C,B127,'[1]TrialBalance (YTD)'!$E:$E),SUMIF('[1]TrialBalance (YTD)'!$G:$G,B127,'[1]TrialBalance (YTD)'!$I:$I))</f>
        <v>#VALUE!</v>
      </c>
      <c r="G127" s="5">
        <f>IFERROR(INDEX('[1]TrialBalance (YTD)'!$G:$S,MATCH([1]TBMapping!$C129,'[1]TrialBalance (YTD)'!G:G,0),MATCH([1]TBMapping!H$3,'[1]TrialBalance (YTD)'!$G$7:$Z$7,0)),0)</f>
        <v>0</v>
      </c>
      <c r="H127" s="5" t="e">
        <f>SUMIF('[1]TrialBalance (YTD)'!G:G,B127,'[1]TrialBalance (YTD)'!H:H)</f>
        <v>#VALUE!</v>
      </c>
      <c r="I127" s="5">
        <f>IFERROR(INDEX('[1]TrialBalance (YTD)'!$G:$S,MATCH([1]TBMapping!$C129,'[1]TrialBalance (YTD)'!G:G,0),MATCH([1]TBMapping!J$3,'[1]TrialBalance (YTD)'!$G$7:$Z$7,0)),0)</f>
        <v>0</v>
      </c>
      <c r="K127" s="5" t="e">
        <f>SUMIF('[1]TrialBalance (Quarter)'!$A:$A,B127,'[1]TrialBalance (Quarter)'!$B:$B)</f>
        <v>#VALUE!</v>
      </c>
      <c r="L127" s="5">
        <f>IFERROR(INDEX('[1]TrialBalance (Quarter)'!$A:$L,MATCH([1]TBMapping!$C129,'[1]TrialBalance (Quarter)'!A:A,0),MATCH([1]TBMapping!M$3,'[1]TrialBalance (Quarter)'!$7:$7,0)),0)</f>
        <v>0</v>
      </c>
      <c r="M127" s="5">
        <f>IFERROR(INDEX('[1]TrialBalance (Quarter)'!$A:$L,MATCH([1]TBMapping!$C129,'[1]TrialBalance (Quarter)'!A:A,0),MATCH([1]TBMapping!N$3,'[1]TrialBalance (Quarter)'!$7:$7,0)),0)</f>
        <v>0</v>
      </c>
      <c r="N127" s="5">
        <f>IFERROR(INDEX('[1]TrialBalance (Quarter)'!$A:$L,MATCH([1]TBMapping!$C129,'[1]TrialBalance (Quarter)'!A:A,0),MATCH([1]TBMapping!O$3,'[1]TrialBalance (Quarter)'!$7:$7,0)),0)</f>
        <v>0</v>
      </c>
    </row>
    <row r="128" spans="1:14">
      <c r="B128" s="3">
        <v>112000</v>
      </c>
      <c r="C128" s="11" t="s">
        <v>119</v>
      </c>
      <c r="D128" s="11" t="s">
        <v>5</v>
      </c>
      <c r="E128" s="11"/>
      <c r="F128" s="5" t="e">
        <f>IF(DataExtraction="Manual",SUMIF('[1]TrialBalance (YTD)'!$C:$C,B128,'[1]TrialBalance (YTD)'!$E:$E),SUMIF('[1]TrialBalance (YTD)'!$G:$G,B128,'[1]TrialBalance (YTD)'!$I:$I))</f>
        <v>#VALUE!</v>
      </c>
      <c r="G128" s="5">
        <f>IFERROR(INDEX('[1]TrialBalance (YTD)'!$G:$S,MATCH([1]TBMapping!$C130,'[1]TrialBalance (YTD)'!G:G,0),MATCH([1]TBMapping!H$3,'[1]TrialBalance (YTD)'!$G$7:$Z$7,0)),0)</f>
        <v>0</v>
      </c>
      <c r="H128" s="5" t="e">
        <f>SUMIF('[1]TrialBalance (YTD)'!G:G,B128,'[1]TrialBalance (YTD)'!H:H)</f>
        <v>#VALUE!</v>
      </c>
      <c r="I128" s="5">
        <f>IFERROR(INDEX('[1]TrialBalance (YTD)'!$G:$S,MATCH([1]TBMapping!$C130,'[1]TrialBalance (YTD)'!G:G,0),MATCH([1]TBMapping!J$3,'[1]TrialBalance (YTD)'!$G$7:$Z$7,0)),0)</f>
        <v>0</v>
      </c>
      <c r="K128" s="5" t="e">
        <f>SUMIF('[1]TrialBalance (Quarter)'!$A:$A,B128,'[1]TrialBalance (Quarter)'!$B:$B)</f>
        <v>#VALUE!</v>
      </c>
      <c r="L128" s="5">
        <f>IFERROR(INDEX('[1]TrialBalance (Quarter)'!$A:$L,MATCH([1]TBMapping!$C130,'[1]TrialBalance (Quarter)'!A:A,0),MATCH([1]TBMapping!M$3,'[1]TrialBalance (Quarter)'!$7:$7,0)),0)</f>
        <v>0</v>
      </c>
      <c r="M128" s="5">
        <f>IFERROR(INDEX('[1]TrialBalance (Quarter)'!$A:$L,MATCH([1]TBMapping!$C130,'[1]TrialBalance (Quarter)'!A:A,0),MATCH([1]TBMapping!N$3,'[1]TrialBalance (Quarter)'!$7:$7,0)),0)</f>
        <v>0</v>
      </c>
      <c r="N128" s="5">
        <f>IFERROR(INDEX('[1]TrialBalance (Quarter)'!$A:$L,MATCH([1]TBMapping!$C130,'[1]TrialBalance (Quarter)'!A:A,0),MATCH([1]TBMapping!O$3,'[1]TrialBalance (Quarter)'!$7:$7,0)),0)</f>
        <v>0</v>
      </c>
    </row>
    <row r="129" spans="1:14">
      <c r="B129" s="3">
        <v>112100</v>
      </c>
      <c r="C129" s="10" t="s">
        <v>120</v>
      </c>
      <c r="D129" s="10" t="s">
        <v>5</v>
      </c>
      <c r="E129" s="10"/>
      <c r="F129" s="5" t="e">
        <f>IF(DataExtraction="Manual",SUMIF('[1]TrialBalance (YTD)'!$C:$C,B129,'[1]TrialBalance (YTD)'!$E:$E),SUMIF('[1]TrialBalance (YTD)'!$G:$G,B129,'[1]TrialBalance (YTD)'!$I:$I))</f>
        <v>#VALUE!</v>
      </c>
      <c r="G129" s="5">
        <f>IFERROR(INDEX('[1]TrialBalance (YTD)'!$G:$S,MATCH([1]TBMapping!$C131,'[1]TrialBalance (YTD)'!G:G,0),MATCH([1]TBMapping!H$3,'[1]TrialBalance (YTD)'!$G$7:$Z$7,0)),0)</f>
        <v>0</v>
      </c>
      <c r="H129" s="5" t="e">
        <f>SUMIF('[1]TrialBalance (YTD)'!G:G,B129,'[1]TrialBalance (YTD)'!H:H)</f>
        <v>#VALUE!</v>
      </c>
      <c r="I129" s="5">
        <f>IFERROR(INDEX('[1]TrialBalance (YTD)'!$G:$S,MATCH([1]TBMapping!$C131,'[1]TrialBalance (YTD)'!G:G,0),MATCH([1]TBMapping!J$3,'[1]TrialBalance (YTD)'!$G$7:$Z$7,0)),0)</f>
        <v>0</v>
      </c>
      <c r="K129" s="5" t="e">
        <f>SUMIF('[1]TrialBalance (Quarter)'!$A:$A,B129,'[1]TrialBalance (Quarter)'!$B:$B)</f>
        <v>#VALUE!</v>
      </c>
      <c r="L129" s="5">
        <f>IFERROR(INDEX('[1]TrialBalance (Quarter)'!$A:$L,MATCH([1]TBMapping!$C131,'[1]TrialBalance (Quarter)'!A:A,0),MATCH([1]TBMapping!M$3,'[1]TrialBalance (Quarter)'!$7:$7,0)),0)</f>
        <v>0</v>
      </c>
      <c r="M129" s="5">
        <f>IFERROR(INDEX('[1]TrialBalance (Quarter)'!$A:$L,MATCH([1]TBMapping!$C131,'[1]TrialBalance (Quarter)'!A:A,0),MATCH([1]TBMapping!N$3,'[1]TrialBalance (Quarter)'!$7:$7,0)),0)</f>
        <v>0</v>
      </c>
      <c r="N129" s="5">
        <f>IFERROR(INDEX('[1]TrialBalance (Quarter)'!$A:$L,MATCH([1]TBMapping!$C131,'[1]TrialBalance (Quarter)'!A:A,0),MATCH([1]TBMapping!O$3,'[1]TrialBalance (Quarter)'!$7:$7,0)),0)</f>
        <v>0</v>
      </c>
    </row>
    <row r="130" spans="1:14">
      <c r="A130" s="2">
        <v>105</v>
      </c>
      <c r="B130" s="3">
        <v>112110</v>
      </c>
      <c r="C130" s="11" t="s">
        <v>121</v>
      </c>
      <c r="D130" s="11" t="s">
        <v>11</v>
      </c>
      <c r="E130" s="11"/>
      <c r="F130" s="5" t="e">
        <f>IF(DataExtraction="Manual",SUMIF('[1]TrialBalance (YTD)'!$C:$C,B130,'[1]TrialBalance (YTD)'!$E:$E),SUMIF('[1]TrialBalance (YTD)'!$G:$G,B130,'[1]TrialBalance (YTD)'!$I:$I))</f>
        <v>#VALUE!</v>
      </c>
      <c r="G130" s="5">
        <f>IFERROR(INDEX('[1]TrialBalance (YTD)'!$G:$S,MATCH([1]TBMapping!$C132,'[1]TrialBalance (YTD)'!G:G,0),MATCH([1]TBMapping!H$3,'[1]TrialBalance (YTD)'!$G$7:$Z$7,0)),0)</f>
        <v>0</v>
      </c>
      <c r="H130" s="5" t="e">
        <f>SUMIF('[1]TrialBalance (YTD)'!G:G,B130,'[1]TrialBalance (YTD)'!H:H)</f>
        <v>#VALUE!</v>
      </c>
      <c r="I130" s="5">
        <f>IFERROR(INDEX('[1]TrialBalance (YTD)'!$G:$S,MATCH([1]TBMapping!$C132,'[1]TrialBalance (YTD)'!G:G,0),MATCH([1]TBMapping!J$3,'[1]TrialBalance (YTD)'!$G$7:$Z$7,0)),0)</f>
        <v>0</v>
      </c>
      <c r="K130" s="5" t="e">
        <f>SUMIF('[1]TrialBalance (Quarter)'!$A:$A,B130,'[1]TrialBalance (Quarter)'!$B:$B)</f>
        <v>#VALUE!</v>
      </c>
      <c r="L130" s="5">
        <f>IFERROR(INDEX('[1]TrialBalance (Quarter)'!$A:$L,MATCH([1]TBMapping!$C132,'[1]TrialBalance (Quarter)'!A:A,0),MATCH([1]TBMapping!M$3,'[1]TrialBalance (Quarter)'!$7:$7,0)),0)</f>
        <v>0</v>
      </c>
      <c r="M130" s="5">
        <f>IFERROR(INDEX('[1]TrialBalance (Quarter)'!$A:$L,MATCH([1]TBMapping!$C132,'[1]TrialBalance (Quarter)'!A:A,0),MATCH([1]TBMapping!N$3,'[1]TrialBalance (Quarter)'!$7:$7,0)),0)</f>
        <v>0</v>
      </c>
      <c r="N130" s="5">
        <f>IFERROR(INDEX('[1]TrialBalance (Quarter)'!$A:$L,MATCH([1]TBMapping!$C132,'[1]TrialBalance (Quarter)'!A:A,0),MATCH([1]TBMapping!O$3,'[1]TrialBalance (Quarter)'!$7:$7,0)),0)</f>
        <v>0</v>
      </c>
    </row>
    <row r="131" spans="1:14">
      <c r="A131" s="2">
        <v>105</v>
      </c>
      <c r="B131" s="3">
        <v>112120</v>
      </c>
      <c r="C131" s="10" t="s">
        <v>122</v>
      </c>
      <c r="D131" s="10" t="s">
        <v>11</v>
      </c>
      <c r="E131" s="10"/>
      <c r="F131" s="5" t="e">
        <f>IF(DataExtraction="Manual",SUMIF('[1]TrialBalance (YTD)'!$C:$C,B131,'[1]TrialBalance (YTD)'!$E:$E),SUMIF('[1]TrialBalance (YTD)'!$G:$G,B131,'[1]TrialBalance (YTD)'!$I:$I))</f>
        <v>#VALUE!</v>
      </c>
      <c r="G131" s="5">
        <f>IFERROR(INDEX('[1]TrialBalance (YTD)'!$G:$S,MATCH([1]TBMapping!$C133,'[1]TrialBalance (YTD)'!G:G,0),MATCH([1]TBMapping!H$3,'[1]TrialBalance (YTD)'!$G$7:$Z$7,0)),0)</f>
        <v>0</v>
      </c>
      <c r="H131" s="5" t="e">
        <f>SUMIF('[1]TrialBalance (YTD)'!G:G,B131,'[1]TrialBalance (YTD)'!H:H)</f>
        <v>#VALUE!</v>
      </c>
      <c r="I131" s="5">
        <f>IFERROR(INDEX('[1]TrialBalance (YTD)'!$G:$S,MATCH([1]TBMapping!$C133,'[1]TrialBalance (YTD)'!G:G,0),MATCH([1]TBMapping!J$3,'[1]TrialBalance (YTD)'!$G$7:$Z$7,0)),0)</f>
        <v>883807.45</v>
      </c>
      <c r="K131" s="5" t="e">
        <f>SUMIF('[1]TrialBalance (Quarter)'!$A:$A,B131,'[1]TrialBalance (Quarter)'!$B:$B)</f>
        <v>#VALUE!</v>
      </c>
      <c r="L131" s="5">
        <f>IFERROR(INDEX('[1]TrialBalance (Quarter)'!$A:$L,MATCH([1]TBMapping!$C133,'[1]TrialBalance (Quarter)'!A:A,0),MATCH([1]TBMapping!M$3,'[1]TrialBalance (Quarter)'!$7:$7,0)),0)</f>
        <v>0</v>
      </c>
      <c r="M131" s="5">
        <f>IFERROR(INDEX('[1]TrialBalance (Quarter)'!$A:$L,MATCH([1]TBMapping!$C133,'[1]TrialBalance (Quarter)'!A:A,0),MATCH([1]TBMapping!N$3,'[1]TrialBalance (Quarter)'!$7:$7,0)),0)</f>
        <v>0</v>
      </c>
      <c r="N131" s="5">
        <f>IFERROR(INDEX('[1]TrialBalance (Quarter)'!$A:$L,MATCH([1]TBMapping!$C133,'[1]TrialBalance (Quarter)'!A:A,0),MATCH([1]TBMapping!O$3,'[1]TrialBalance (Quarter)'!$7:$7,0)),0)</f>
        <v>-97933.01</v>
      </c>
    </row>
    <row r="132" spans="1:14">
      <c r="A132" s="2">
        <v>105</v>
      </c>
      <c r="B132" s="3">
        <v>112130</v>
      </c>
      <c r="C132" s="11" t="s">
        <v>123</v>
      </c>
      <c r="D132" s="11" t="s">
        <v>11</v>
      </c>
      <c r="E132" s="11"/>
      <c r="F132" s="5" t="e">
        <f>IF(DataExtraction="Manual",SUMIF('[1]TrialBalance (YTD)'!$C:$C,B132,'[1]TrialBalance (YTD)'!$E:$E),SUMIF('[1]TrialBalance (YTD)'!$G:$G,B132,'[1]TrialBalance (YTD)'!$I:$I))</f>
        <v>#VALUE!</v>
      </c>
      <c r="G132" s="5">
        <f>IFERROR(INDEX('[1]TrialBalance (YTD)'!$G:$S,MATCH([1]TBMapping!$C134,'[1]TrialBalance (YTD)'!G:G,0),MATCH([1]TBMapping!H$3,'[1]TrialBalance (YTD)'!$G$7:$Z$7,0)),0)</f>
        <v>0</v>
      </c>
      <c r="H132" s="5" t="e">
        <f>SUMIF('[1]TrialBalance (YTD)'!G:G,B132,'[1]TrialBalance (YTD)'!H:H)</f>
        <v>#VALUE!</v>
      </c>
      <c r="I132" s="5">
        <f>IFERROR(INDEX('[1]TrialBalance (YTD)'!$G:$S,MATCH([1]TBMapping!$C134,'[1]TrialBalance (YTD)'!G:G,0),MATCH([1]TBMapping!J$3,'[1]TrialBalance (YTD)'!$G$7:$Z$7,0)),0)</f>
        <v>0</v>
      </c>
      <c r="K132" s="5" t="e">
        <f>SUMIF('[1]TrialBalance (Quarter)'!$A:$A,B132,'[1]TrialBalance (Quarter)'!$B:$B)</f>
        <v>#VALUE!</v>
      </c>
      <c r="L132" s="5">
        <f>IFERROR(INDEX('[1]TrialBalance (Quarter)'!$A:$L,MATCH([1]TBMapping!$C134,'[1]TrialBalance (Quarter)'!A:A,0),MATCH([1]TBMapping!M$3,'[1]TrialBalance (Quarter)'!$7:$7,0)),0)</f>
        <v>0</v>
      </c>
      <c r="M132" s="5">
        <f>IFERROR(INDEX('[1]TrialBalance (Quarter)'!$A:$L,MATCH([1]TBMapping!$C134,'[1]TrialBalance (Quarter)'!A:A,0),MATCH([1]TBMapping!N$3,'[1]TrialBalance (Quarter)'!$7:$7,0)),0)</f>
        <v>0</v>
      </c>
      <c r="N132" s="5">
        <f>IFERROR(INDEX('[1]TrialBalance (Quarter)'!$A:$L,MATCH([1]TBMapping!$C134,'[1]TrialBalance (Quarter)'!A:A,0),MATCH([1]TBMapping!O$3,'[1]TrialBalance (Quarter)'!$7:$7,0)),0)</f>
        <v>0</v>
      </c>
    </row>
    <row r="133" spans="1:14">
      <c r="A133" s="2">
        <v>105</v>
      </c>
      <c r="B133" s="3">
        <v>112140</v>
      </c>
      <c r="C133" s="10" t="s">
        <v>124</v>
      </c>
      <c r="D133" s="10" t="s">
        <v>11</v>
      </c>
      <c r="E133" s="10"/>
      <c r="F133" s="5" t="e">
        <f>IF(DataExtraction="Manual",SUMIF('[1]TrialBalance (YTD)'!$C:$C,B133,'[1]TrialBalance (YTD)'!$E:$E),SUMIF('[1]TrialBalance (YTD)'!$G:$G,B133,'[1]TrialBalance (YTD)'!$I:$I))</f>
        <v>#VALUE!</v>
      </c>
      <c r="G133" s="5">
        <f>IFERROR(INDEX('[1]TrialBalance (YTD)'!$G:$S,MATCH([1]TBMapping!$C135,'[1]TrialBalance (YTD)'!G:G,0),MATCH([1]TBMapping!H$3,'[1]TrialBalance (YTD)'!$G$7:$Z$7,0)),0)</f>
        <v>0</v>
      </c>
      <c r="H133" s="5" t="e">
        <f>SUMIF('[1]TrialBalance (YTD)'!G:G,B133,'[1]TrialBalance (YTD)'!H:H)</f>
        <v>#VALUE!</v>
      </c>
      <c r="I133" s="5">
        <f>IFERROR(INDEX('[1]TrialBalance (YTD)'!$G:$S,MATCH([1]TBMapping!$C135,'[1]TrialBalance (YTD)'!G:G,0),MATCH([1]TBMapping!J$3,'[1]TrialBalance (YTD)'!$G$7:$Z$7,0)),0)</f>
        <v>0</v>
      </c>
      <c r="K133" s="5" t="e">
        <f>SUMIF('[1]TrialBalance (Quarter)'!$A:$A,B133,'[1]TrialBalance (Quarter)'!$B:$B)</f>
        <v>#VALUE!</v>
      </c>
      <c r="L133" s="5">
        <f>IFERROR(INDEX('[1]TrialBalance (Quarter)'!$A:$L,MATCH([1]TBMapping!$C135,'[1]TrialBalance (Quarter)'!A:A,0),MATCH([1]TBMapping!M$3,'[1]TrialBalance (Quarter)'!$7:$7,0)),0)</f>
        <v>0</v>
      </c>
      <c r="M133" s="5">
        <f>IFERROR(INDEX('[1]TrialBalance (Quarter)'!$A:$L,MATCH([1]TBMapping!$C135,'[1]TrialBalance (Quarter)'!A:A,0),MATCH([1]TBMapping!N$3,'[1]TrialBalance (Quarter)'!$7:$7,0)),0)</f>
        <v>0</v>
      </c>
      <c r="N133" s="5">
        <f>IFERROR(INDEX('[1]TrialBalance (Quarter)'!$A:$L,MATCH([1]TBMapping!$C135,'[1]TrialBalance (Quarter)'!A:A,0),MATCH([1]TBMapping!O$3,'[1]TrialBalance (Quarter)'!$7:$7,0)),0)</f>
        <v>0</v>
      </c>
    </row>
    <row r="134" spans="1:14">
      <c r="A134" s="2">
        <v>105</v>
      </c>
      <c r="B134" s="3">
        <v>112142</v>
      </c>
      <c r="C134" s="11" t="s">
        <v>125</v>
      </c>
      <c r="D134" s="11" t="s">
        <v>11</v>
      </c>
      <c r="E134" s="11"/>
      <c r="F134" s="5" t="e">
        <f>IF(DataExtraction="Manual",SUMIF('[1]TrialBalance (YTD)'!$C:$C,B134,'[1]TrialBalance (YTD)'!$E:$E),SUMIF('[1]TrialBalance (YTD)'!$G:$G,B134,'[1]TrialBalance (YTD)'!$I:$I))</f>
        <v>#VALUE!</v>
      </c>
      <c r="G134" s="5">
        <f>IFERROR(INDEX('[1]TrialBalance (YTD)'!$G:$S,MATCH([1]TBMapping!$C136,'[1]TrialBalance (YTD)'!G:G,0),MATCH([1]TBMapping!H$3,'[1]TrialBalance (YTD)'!$G$7:$Z$7,0)),0)</f>
        <v>0</v>
      </c>
      <c r="H134" s="5" t="e">
        <f>SUMIF('[1]TrialBalance (YTD)'!G:G,B134,'[1]TrialBalance (YTD)'!H:H)</f>
        <v>#VALUE!</v>
      </c>
      <c r="I134" s="5">
        <f>IFERROR(INDEX('[1]TrialBalance (YTD)'!$G:$S,MATCH([1]TBMapping!$C136,'[1]TrialBalance (YTD)'!G:G,0),MATCH([1]TBMapping!J$3,'[1]TrialBalance (YTD)'!$G$7:$Z$7,0)),0)</f>
        <v>0</v>
      </c>
      <c r="K134" s="5" t="e">
        <f>SUMIF('[1]TrialBalance (Quarter)'!$A:$A,B134,'[1]TrialBalance (Quarter)'!$B:$B)</f>
        <v>#VALUE!</v>
      </c>
      <c r="L134" s="5">
        <f>IFERROR(INDEX('[1]TrialBalance (Quarter)'!$A:$L,MATCH([1]TBMapping!$C136,'[1]TrialBalance (Quarter)'!A:A,0),MATCH([1]TBMapping!M$3,'[1]TrialBalance (Quarter)'!$7:$7,0)),0)</f>
        <v>0</v>
      </c>
      <c r="M134" s="5">
        <f>IFERROR(INDEX('[1]TrialBalance (Quarter)'!$A:$L,MATCH([1]TBMapping!$C136,'[1]TrialBalance (Quarter)'!A:A,0),MATCH([1]TBMapping!N$3,'[1]TrialBalance (Quarter)'!$7:$7,0)),0)</f>
        <v>0</v>
      </c>
      <c r="N134" s="5">
        <f>IFERROR(INDEX('[1]TrialBalance (Quarter)'!$A:$L,MATCH([1]TBMapping!$C136,'[1]TrialBalance (Quarter)'!A:A,0),MATCH([1]TBMapping!O$3,'[1]TrialBalance (Quarter)'!$7:$7,0)),0)</f>
        <v>0</v>
      </c>
    </row>
    <row r="135" spans="1:14">
      <c r="B135" s="3">
        <v>112199</v>
      </c>
      <c r="C135" s="10" t="s">
        <v>126</v>
      </c>
      <c r="D135" s="10" t="s">
        <v>16</v>
      </c>
      <c r="E135" s="10"/>
      <c r="F135" s="5" t="e">
        <f>IF(DataExtraction="Manual",SUMIF('[1]TrialBalance (YTD)'!$C:$C,B135,'[1]TrialBalance (YTD)'!$E:$E),SUMIF('[1]TrialBalance (YTD)'!$G:$G,B135,'[1]TrialBalance (YTD)'!$I:$I))</f>
        <v>#VALUE!</v>
      </c>
      <c r="G135" s="5">
        <f>IFERROR(INDEX('[1]TrialBalance (YTD)'!$G:$S,MATCH([1]TBMapping!$C137,'[1]TrialBalance (YTD)'!G:G,0),MATCH([1]TBMapping!H$3,'[1]TrialBalance (YTD)'!$G$7:$Z$7,0)),0)</f>
        <v>0</v>
      </c>
      <c r="H135" s="5" t="e">
        <f>SUMIF('[1]TrialBalance (YTD)'!G:G,B135,'[1]TrialBalance (YTD)'!H:H)</f>
        <v>#VALUE!</v>
      </c>
      <c r="I135" s="5">
        <f>IFERROR(INDEX('[1]TrialBalance (YTD)'!$G:$S,MATCH([1]TBMapping!$C137,'[1]TrialBalance (YTD)'!G:G,0),MATCH([1]TBMapping!J$3,'[1]TrialBalance (YTD)'!$G$7:$Z$7,0)),0)</f>
        <v>0</v>
      </c>
      <c r="K135" s="5" t="e">
        <f>SUMIF('[1]TrialBalance (Quarter)'!$A:$A,B135,'[1]TrialBalance (Quarter)'!$B:$B)</f>
        <v>#VALUE!</v>
      </c>
      <c r="L135" s="5">
        <f>IFERROR(INDEX('[1]TrialBalance (Quarter)'!$A:$L,MATCH([1]TBMapping!$C137,'[1]TrialBalance (Quarter)'!A:A,0),MATCH([1]TBMapping!M$3,'[1]TrialBalance (Quarter)'!$7:$7,0)),0)</f>
        <v>0</v>
      </c>
      <c r="M135" s="5">
        <f>IFERROR(INDEX('[1]TrialBalance (Quarter)'!$A:$L,MATCH([1]TBMapping!$C137,'[1]TrialBalance (Quarter)'!A:A,0),MATCH([1]TBMapping!N$3,'[1]TrialBalance (Quarter)'!$7:$7,0)),0)</f>
        <v>0</v>
      </c>
      <c r="N135" s="5">
        <f>IFERROR(INDEX('[1]TrialBalance (Quarter)'!$A:$L,MATCH([1]TBMapping!$C137,'[1]TrialBalance (Quarter)'!A:A,0),MATCH([1]TBMapping!O$3,'[1]TrialBalance (Quarter)'!$7:$7,0)),0)</f>
        <v>0</v>
      </c>
    </row>
    <row r="136" spans="1:14">
      <c r="B136" s="3">
        <v>112200</v>
      </c>
      <c r="C136" s="11" t="s">
        <v>127</v>
      </c>
      <c r="D136" s="11" t="s">
        <v>5</v>
      </c>
      <c r="E136" s="11"/>
      <c r="F136" s="5" t="e">
        <f>IF(DataExtraction="Manual",SUMIF('[1]TrialBalance (YTD)'!$C:$C,B136,'[1]TrialBalance (YTD)'!$E:$E),SUMIF('[1]TrialBalance (YTD)'!$G:$G,B136,'[1]TrialBalance (YTD)'!$I:$I))</f>
        <v>#VALUE!</v>
      </c>
      <c r="G136" s="5">
        <f>IFERROR(INDEX('[1]TrialBalance (YTD)'!$G:$S,MATCH([1]TBMapping!$C138,'[1]TrialBalance (YTD)'!G:G,0),MATCH([1]TBMapping!H$3,'[1]TrialBalance (YTD)'!$G$7:$Z$7,0)),0)</f>
        <v>0</v>
      </c>
      <c r="H136" s="5" t="e">
        <f>SUMIF('[1]TrialBalance (YTD)'!G:G,B136,'[1]TrialBalance (YTD)'!H:H)</f>
        <v>#VALUE!</v>
      </c>
      <c r="I136" s="5">
        <f>IFERROR(INDEX('[1]TrialBalance (YTD)'!$G:$S,MATCH([1]TBMapping!$C138,'[1]TrialBalance (YTD)'!G:G,0),MATCH([1]TBMapping!J$3,'[1]TrialBalance (YTD)'!$G$7:$Z$7,0)),0)</f>
        <v>0</v>
      </c>
      <c r="K136" s="5" t="e">
        <f>SUMIF('[1]TrialBalance (Quarter)'!$A:$A,B136,'[1]TrialBalance (Quarter)'!$B:$B)</f>
        <v>#VALUE!</v>
      </c>
      <c r="L136" s="5">
        <f>IFERROR(INDEX('[1]TrialBalance (Quarter)'!$A:$L,MATCH([1]TBMapping!$C138,'[1]TrialBalance (Quarter)'!A:A,0),MATCH([1]TBMapping!M$3,'[1]TrialBalance (Quarter)'!$7:$7,0)),0)</f>
        <v>0</v>
      </c>
      <c r="M136" s="5">
        <f>IFERROR(INDEX('[1]TrialBalance (Quarter)'!$A:$L,MATCH([1]TBMapping!$C138,'[1]TrialBalance (Quarter)'!A:A,0),MATCH([1]TBMapping!N$3,'[1]TrialBalance (Quarter)'!$7:$7,0)),0)</f>
        <v>0</v>
      </c>
      <c r="N136" s="5">
        <f>IFERROR(INDEX('[1]TrialBalance (Quarter)'!$A:$L,MATCH([1]TBMapping!$C138,'[1]TrialBalance (Quarter)'!A:A,0),MATCH([1]TBMapping!O$3,'[1]TrialBalance (Quarter)'!$7:$7,0)),0)</f>
        <v>0</v>
      </c>
    </row>
    <row r="137" spans="1:14">
      <c r="A137" s="2">
        <v>105</v>
      </c>
      <c r="B137" s="3">
        <v>112210</v>
      </c>
      <c r="C137" s="10" t="s">
        <v>128</v>
      </c>
      <c r="D137" s="10" t="s">
        <v>11</v>
      </c>
      <c r="E137" s="10"/>
      <c r="F137" s="5" t="e">
        <f>IF(DataExtraction="Manual",SUMIF('[1]TrialBalance (YTD)'!$C:$C,B137,'[1]TrialBalance (YTD)'!$E:$E),SUMIF('[1]TrialBalance (YTD)'!$G:$G,B137,'[1]TrialBalance (YTD)'!$I:$I))</f>
        <v>#VALUE!</v>
      </c>
      <c r="G137" s="5">
        <f>IFERROR(INDEX('[1]TrialBalance (YTD)'!$G:$S,MATCH([1]TBMapping!$C139,'[1]TrialBalance (YTD)'!G:G,0),MATCH([1]TBMapping!H$3,'[1]TrialBalance (YTD)'!$G$7:$Z$7,0)),0)</f>
        <v>0</v>
      </c>
      <c r="H137" s="5" t="e">
        <f>SUMIF('[1]TrialBalance (YTD)'!G:G,B137,'[1]TrialBalance (YTD)'!H:H)</f>
        <v>#VALUE!</v>
      </c>
      <c r="I137" s="5">
        <f>IFERROR(INDEX('[1]TrialBalance (YTD)'!$G:$S,MATCH([1]TBMapping!$C139,'[1]TrialBalance (YTD)'!G:G,0),MATCH([1]TBMapping!J$3,'[1]TrialBalance (YTD)'!$G$7:$Z$7,0)),0)</f>
        <v>986225.82</v>
      </c>
      <c r="K137" s="5" t="e">
        <f>SUMIF('[1]TrialBalance (Quarter)'!$A:$A,B137,'[1]TrialBalance (Quarter)'!$B:$B)</f>
        <v>#VALUE!</v>
      </c>
      <c r="L137" s="5">
        <f>IFERROR(INDEX('[1]TrialBalance (Quarter)'!$A:$L,MATCH([1]TBMapping!$C139,'[1]TrialBalance (Quarter)'!A:A,0),MATCH([1]TBMapping!M$3,'[1]TrialBalance (Quarter)'!$7:$7,0)),0)</f>
        <v>0</v>
      </c>
      <c r="M137" s="5">
        <f>IFERROR(INDEX('[1]TrialBalance (Quarter)'!$A:$L,MATCH([1]TBMapping!$C139,'[1]TrialBalance (Quarter)'!A:A,0),MATCH([1]TBMapping!N$3,'[1]TrialBalance (Quarter)'!$7:$7,0)),0)</f>
        <v>1018452.85</v>
      </c>
      <c r="N137" s="5">
        <f>IFERROR(INDEX('[1]TrialBalance (Quarter)'!$A:$L,MATCH([1]TBMapping!$C139,'[1]TrialBalance (Quarter)'!A:A,0),MATCH([1]TBMapping!O$3,'[1]TrialBalance (Quarter)'!$7:$7,0)),0)</f>
        <v>895745.4</v>
      </c>
    </row>
    <row r="138" spans="1:14">
      <c r="A138" s="2">
        <v>105</v>
      </c>
      <c r="B138" s="3">
        <v>112211</v>
      </c>
      <c r="C138" s="11" t="s">
        <v>129</v>
      </c>
      <c r="D138" s="11" t="s">
        <v>11</v>
      </c>
      <c r="E138" s="11"/>
      <c r="F138" s="5" t="e">
        <f>IF(DataExtraction="Manual",SUMIF('[1]TrialBalance (YTD)'!$C:$C,B138,'[1]TrialBalance (YTD)'!$E:$E),SUMIF('[1]TrialBalance (YTD)'!$G:$G,B138,'[1]TrialBalance (YTD)'!$I:$I))</f>
        <v>#VALUE!</v>
      </c>
      <c r="G138" s="5">
        <f>IFERROR(INDEX('[1]TrialBalance (YTD)'!$G:$S,MATCH([1]TBMapping!$C140,'[1]TrialBalance (YTD)'!G:G,0),MATCH([1]TBMapping!H$3,'[1]TrialBalance (YTD)'!$G$7:$Z$7,0)),0)</f>
        <v>0</v>
      </c>
      <c r="H138" s="5" t="e">
        <f>SUMIF('[1]TrialBalance (YTD)'!G:G,B138,'[1]TrialBalance (YTD)'!H:H)</f>
        <v>#VALUE!</v>
      </c>
      <c r="I138" s="5">
        <f>IFERROR(INDEX('[1]TrialBalance (YTD)'!$G:$S,MATCH([1]TBMapping!$C140,'[1]TrialBalance (YTD)'!G:G,0),MATCH([1]TBMapping!J$3,'[1]TrialBalance (YTD)'!$G$7:$Z$7,0)),0)</f>
        <v>0</v>
      </c>
      <c r="K138" s="5" t="e">
        <f>SUMIF('[1]TrialBalance (Quarter)'!$A:$A,B138,'[1]TrialBalance (Quarter)'!$B:$B)</f>
        <v>#VALUE!</v>
      </c>
      <c r="L138" s="5">
        <f>IFERROR(INDEX('[1]TrialBalance (Quarter)'!$A:$L,MATCH([1]TBMapping!$C140,'[1]TrialBalance (Quarter)'!A:A,0),MATCH([1]TBMapping!M$3,'[1]TrialBalance (Quarter)'!$7:$7,0)),0)</f>
        <v>0</v>
      </c>
      <c r="M138" s="5">
        <f>IFERROR(INDEX('[1]TrialBalance (Quarter)'!$A:$L,MATCH([1]TBMapping!$C140,'[1]TrialBalance (Quarter)'!A:A,0),MATCH([1]TBMapping!N$3,'[1]TrialBalance (Quarter)'!$7:$7,0)),0)</f>
        <v>0</v>
      </c>
      <c r="N138" s="5">
        <f>IFERROR(INDEX('[1]TrialBalance (Quarter)'!$A:$L,MATCH([1]TBMapping!$C140,'[1]TrialBalance (Quarter)'!A:A,0),MATCH([1]TBMapping!O$3,'[1]TrialBalance (Quarter)'!$7:$7,0)),0)</f>
        <v>0</v>
      </c>
    </row>
    <row r="139" spans="1:14">
      <c r="A139" s="2">
        <v>105</v>
      </c>
      <c r="B139" s="3">
        <v>112212</v>
      </c>
      <c r="C139" s="10" t="s">
        <v>130</v>
      </c>
      <c r="D139" s="10" t="s">
        <v>11</v>
      </c>
      <c r="E139" s="10"/>
      <c r="F139" s="5" t="e">
        <f>IF(DataExtraction="Manual",SUMIF('[1]TrialBalance (YTD)'!$C:$C,B139,'[1]TrialBalance (YTD)'!$E:$E),SUMIF('[1]TrialBalance (YTD)'!$G:$G,B139,'[1]TrialBalance (YTD)'!$I:$I))</f>
        <v>#VALUE!</v>
      </c>
      <c r="G139" s="5">
        <f>IFERROR(INDEX('[1]TrialBalance (YTD)'!$G:$S,MATCH([1]TBMapping!$C141,'[1]TrialBalance (YTD)'!G:G,0),MATCH([1]TBMapping!H$3,'[1]TrialBalance (YTD)'!$G$7:$Z$7,0)),0)</f>
        <v>0</v>
      </c>
      <c r="H139" s="5" t="e">
        <f>SUMIF('[1]TrialBalance (YTD)'!G:G,B139,'[1]TrialBalance (YTD)'!H:H)</f>
        <v>#VALUE!</v>
      </c>
      <c r="I139" s="5">
        <f>IFERROR(INDEX('[1]TrialBalance (YTD)'!$G:$S,MATCH([1]TBMapping!$C141,'[1]TrialBalance (YTD)'!G:G,0),MATCH([1]TBMapping!J$3,'[1]TrialBalance (YTD)'!$G$7:$Z$7,0)),0)</f>
        <v>0</v>
      </c>
      <c r="K139" s="5" t="e">
        <f>SUMIF('[1]TrialBalance (Quarter)'!$A:$A,B139,'[1]TrialBalance (Quarter)'!$B:$B)</f>
        <v>#VALUE!</v>
      </c>
      <c r="L139" s="5">
        <f>IFERROR(INDEX('[1]TrialBalance (Quarter)'!$A:$L,MATCH([1]TBMapping!$C141,'[1]TrialBalance (Quarter)'!A:A,0),MATCH([1]TBMapping!M$3,'[1]TrialBalance (Quarter)'!$7:$7,0)),0)</f>
        <v>0</v>
      </c>
      <c r="M139" s="5">
        <f>IFERROR(INDEX('[1]TrialBalance (Quarter)'!$A:$L,MATCH([1]TBMapping!$C141,'[1]TrialBalance (Quarter)'!A:A,0),MATCH([1]TBMapping!N$3,'[1]TrialBalance (Quarter)'!$7:$7,0)),0)</f>
        <v>0</v>
      </c>
      <c r="N139" s="5">
        <f>IFERROR(INDEX('[1]TrialBalance (Quarter)'!$A:$L,MATCH([1]TBMapping!$C141,'[1]TrialBalance (Quarter)'!A:A,0),MATCH([1]TBMapping!O$3,'[1]TrialBalance (Quarter)'!$7:$7,0)),0)</f>
        <v>0</v>
      </c>
    </row>
    <row r="140" spans="1:14">
      <c r="A140" s="2">
        <v>105</v>
      </c>
      <c r="B140" s="3">
        <v>112220</v>
      </c>
      <c r="C140" s="11" t="s">
        <v>131</v>
      </c>
      <c r="D140" s="11" t="s">
        <v>11</v>
      </c>
      <c r="E140" s="11"/>
      <c r="F140" s="5" t="e">
        <f>IF(DataExtraction="Manual",SUMIF('[1]TrialBalance (YTD)'!$C:$C,B140,'[1]TrialBalance (YTD)'!$E:$E),SUMIF('[1]TrialBalance (YTD)'!$G:$G,B140,'[1]TrialBalance (YTD)'!$I:$I))</f>
        <v>#VALUE!</v>
      </c>
      <c r="G140" s="5">
        <f>IFERROR(INDEX('[1]TrialBalance (YTD)'!$G:$S,MATCH([1]TBMapping!$C142,'[1]TrialBalance (YTD)'!G:G,0),MATCH([1]TBMapping!H$3,'[1]TrialBalance (YTD)'!$G$7:$Z$7,0)),0)</f>
        <v>0</v>
      </c>
      <c r="H140" s="5" t="e">
        <f>SUMIF('[1]TrialBalance (YTD)'!G:G,B140,'[1]TrialBalance (YTD)'!H:H)</f>
        <v>#VALUE!</v>
      </c>
      <c r="I140" s="5">
        <f>IFERROR(INDEX('[1]TrialBalance (YTD)'!$G:$S,MATCH([1]TBMapping!$C142,'[1]TrialBalance (YTD)'!G:G,0),MATCH([1]TBMapping!J$3,'[1]TrialBalance (YTD)'!$G$7:$Z$7,0)),0)</f>
        <v>0</v>
      </c>
      <c r="K140" s="5" t="e">
        <f>SUMIF('[1]TrialBalance (Quarter)'!$A:$A,B140,'[1]TrialBalance (Quarter)'!$B:$B)</f>
        <v>#VALUE!</v>
      </c>
      <c r="L140" s="5">
        <f>IFERROR(INDEX('[1]TrialBalance (Quarter)'!$A:$L,MATCH([1]TBMapping!$C142,'[1]TrialBalance (Quarter)'!A:A,0),MATCH([1]TBMapping!M$3,'[1]TrialBalance (Quarter)'!$7:$7,0)),0)</f>
        <v>0</v>
      </c>
      <c r="M140" s="5">
        <f>IFERROR(INDEX('[1]TrialBalance (Quarter)'!$A:$L,MATCH([1]TBMapping!$C142,'[1]TrialBalance (Quarter)'!A:A,0),MATCH([1]TBMapping!N$3,'[1]TrialBalance (Quarter)'!$7:$7,0)),0)</f>
        <v>0</v>
      </c>
      <c r="N140" s="5">
        <f>IFERROR(INDEX('[1]TrialBalance (Quarter)'!$A:$L,MATCH([1]TBMapping!$C142,'[1]TrialBalance (Quarter)'!A:A,0),MATCH([1]TBMapping!O$3,'[1]TrialBalance (Quarter)'!$7:$7,0)),0)</f>
        <v>0</v>
      </c>
    </row>
    <row r="141" spans="1:14">
      <c r="A141" s="2">
        <v>105</v>
      </c>
      <c r="B141" s="3">
        <v>112221</v>
      </c>
      <c r="C141" s="10" t="s">
        <v>132</v>
      </c>
      <c r="D141" s="10" t="s">
        <v>11</v>
      </c>
      <c r="E141" s="10"/>
      <c r="F141" s="5" t="e">
        <f>IF(DataExtraction="Manual",SUMIF('[1]TrialBalance (YTD)'!$C:$C,B141,'[1]TrialBalance (YTD)'!$E:$E),SUMIF('[1]TrialBalance (YTD)'!$G:$G,B141,'[1]TrialBalance (YTD)'!$I:$I))</f>
        <v>#VALUE!</v>
      </c>
      <c r="G141" s="5">
        <f>IFERROR(INDEX('[1]TrialBalance (YTD)'!$G:$S,MATCH([1]TBMapping!$C143,'[1]TrialBalance (YTD)'!G:G,0),MATCH([1]TBMapping!H$3,'[1]TrialBalance (YTD)'!$G$7:$Z$7,0)),0)</f>
        <v>0</v>
      </c>
      <c r="H141" s="5" t="e">
        <f>SUMIF('[1]TrialBalance (YTD)'!G:G,B141,'[1]TrialBalance (YTD)'!H:H)</f>
        <v>#VALUE!</v>
      </c>
      <c r="I141" s="5">
        <f>IFERROR(INDEX('[1]TrialBalance (YTD)'!$G:$S,MATCH([1]TBMapping!$C143,'[1]TrialBalance (YTD)'!G:G,0),MATCH([1]TBMapping!J$3,'[1]TrialBalance (YTD)'!$G$7:$Z$7,0)),0)</f>
        <v>0</v>
      </c>
      <c r="K141" s="5" t="e">
        <f>SUMIF('[1]TrialBalance (Quarter)'!$A:$A,B141,'[1]TrialBalance (Quarter)'!$B:$B)</f>
        <v>#VALUE!</v>
      </c>
      <c r="L141" s="5">
        <f>IFERROR(INDEX('[1]TrialBalance (Quarter)'!$A:$L,MATCH([1]TBMapping!$C143,'[1]TrialBalance (Quarter)'!A:A,0),MATCH([1]TBMapping!M$3,'[1]TrialBalance (Quarter)'!$7:$7,0)),0)</f>
        <v>0</v>
      </c>
      <c r="M141" s="5">
        <f>IFERROR(INDEX('[1]TrialBalance (Quarter)'!$A:$L,MATCH([1]TBMapping!$C143,'[1]TrialBalance (Quarter)'!A:A,0),MATCH([1]TBMapping!N$3,'[1]TrialBalance (Quarter)'!$7:$7,0)),0)</f>
        <v>0</v>
      </c>
      <c r="N141" s="5">
        <f>IFERROR(INDEX('[1]TrialBalance (Quarter)'!$A:$L,MATCH([1]TBMapping!$C143,'[1]TrialBalance (Quarter)'!A:A,0),MATCH([1]TBMapping!O$3,'[1]TrialBalance (Quarter)'!$7:$7,0)),0)</f>
        <v>0</v>
      </c>
    </row>
    <row r="142" spans="1:14">
      <c r="A142" s="2">
        <v>105</v>
      </c>
      <c r="B142" s="3">
        <v>112230</v>
      </c>
      <c r="C142" s="11" t="s">
        <v>127</v>
      </c>
      <c r="D142" s="11" t="s">
        <v>11</v>
      </c>
      <c r="E142" s="11"/>
      <c r="F142" s="5" t="e">
        <f>IF(DataExtraction="Manual",SUMIF('[1]TrialBalance (YTD)'!$C:$C,B142,'[1]TrialBalance (YTD)'!$E:$E),SUMIF('[1]TrialBalance (YTD)'!$G:$G,B142,'[1]TrialBalance (YTD)'!$I:$I))</f>
        <v>#VALUE!</v>
      </c>
      <c r="G142" s="5">
        <f>IFERROR(INDEX('[1]TrialBalance (YTD)'!$G:$S,MATCH([1]TBMapping!$C144,'[1]TrialBalance (YTD)'!G:G,0),MATCH([1]TBMapping!H$3,'[1]TrialBalance (YTD)'!$G$7:$Z$7,0)),0)</f>
        <v>0</v>
      </c>
      <c r="H142" s="5" t="e">
        <f>SUMIF('[1]TrialBalance (YTD)'!G:G,B142,'[1]TrialBalance (YTD)'!H:H)</f>
        <v>#VALUE!</v>
      </c>
      <c r="I142" s="5">
        <f>IFERROR(INDEX('[1]TrialBalance (YTD)'!$G:$S,MATCH([1]TBMapping!$C144,'[1]TrialBalance (YTD)'!G:G,0),MATCH([1]TBMapping!J$3,'[1]TrialBalance (YTD)'!$G$7:$Z$7,0)),0)</f>
        <v>1860079.72</v>
      </c>
      <c r="K142" s="5" t="e">
        <f>SUMIF('[1]TrialBalance (Quarter)'!$A:$A,B142,'[1]TrialBalance (Quarter)'!$B:$B)</f>
        <v>#VALUE!</v>
      </c>
      <c r="L142" s="5">
        <f>IFERROR(INDEX('[1]TrialBalance (Quarter)'!$A:$L,MATCH([1]TBMapping!$C144,'[1]TrialBalance (Quarter)'!A:A,0),MATCH([1]TBMapping!M$3,'[1]TrialBalance (Quarter)'!$7:$7,0)),0)</f>
        <v>0</v>
      </c>
      <c r="M142" s="5">
        <f>IFERROR(INDEX('[1]TrialBalance (Quarter)'!$A:$L,MATCH([1]TBMapping!$C144,'[1]TrialBalance (Quarter)'!A:A,0),MATCH([1]TBMapping!N$3,'[1]TrialBalance (Quarter)'!$7:$7,0)),0)</f>
        <v>0</v>
      </c>
      <c r="N142" s="5">
        <f>IFERROR(INDEX('[1]TrialBalance (Quarter)'!$A:$L,MATCH([1]TBMapping!$C144,'[1]TrialBalance (Quarter)'!A:A,0),MATCH([1]TBMapping!O$3,'[1]TrialBalance (Quarter)'!$7:$7,0)),0)</f>
        <v>0</v>
      </c>
    </row>
    <row r="143" spans="1:14">
      <c r="A143" s="2">
        <v>105</v>
      </c>
      <c r="B143" s="3">
        <v>112231</v>
      </c>
      <c r="C143" s="11" t="s">
        <v>133</v>
      </c>
      <c r="D143" s="10" t="s">
        <v>11</v>
      </c>
      <c r="E143" s="10"/>
      <c r="F143" s="5" t="e">
        <f>IF(DataExtraction="Manual",SUMIF('[1]TrialBalance (YTD)'!$C:$C,B143,'[1]TrialBalance (YTD)'!$E:$E),SUMIF('[1]TrialBalance (YTD)'!$G:$G,B143,'[1]TrialBalance (YTD)'!$I:$I))</f>
        <v>#VALUE!</v>
      </c>
      <c r="G143" s="5">
        <f>IFERROR(INDEX('[1]TrialBalance (YTD)'!$G:$S,MATCH([1]TBMapping!$C145,'[1]TrialBalance (YTD)'!G:G,0),MATCH([1]TBMapping!H$3,'[1]TrialBalance (YTD)'!$G$7:$Z$7,0)),0)</f>
        <v>0</v>
      </c>
      <c r="H143" s="5" t="e">
        <f>SUMIF('[1]TrialBalance (YTD)'!G:G,B143,'[1]TrialBalance (YTD)'!H:H)</f>
        <v>#VALUE!</v>
      </c>
      <c r="I143" s="5">
        <f>IFERROR(INDEX('[1]TrialBalance (YTD)'!$G:$S,MATCH([1]TBMapping!$C145,'[1]TrialBalance (YTD)'!G:G,0),MATCH([1]TBMapping!J$3,'[1]TrialBalance (YTD)'!$G$7:$Z$7,0)),0)</f>
        <v>0</v>
      </c>
      <c r="K143" s="5" t="e">
        <f>SUMIF('[1]TrialBalance (Quarter)'!$A:$A,B143,'[1]TrialBalance (Quarter)'!$B:$B)</f>
        <v>#VALUE!</v>
      </c>
      <c r="L143" s="5">
        <f>IFERROR(INDEX('[1]TrialBalance (Quarter)'!$A:$L,MATCH([1]TBMapping!$C145,'[1]TrialBalance (Quarter)'!A:A,0),MATCH([1]TBMapping!M$3,'[1]TrialBalance (Quarter)'!$7:$7,0)),0)</f>
        <v>0</v>
      </c>
      <c r="M143" s="5">
        <f>IFERROR(INDEX('[1]TrialBalance (Quarter)'!$A:$L,MATCH([1]TBMapping!$C145,'[1]TrialBalance (Quarter)'!A:A,0),MATCH([1]TBMapping!N$3,'[1]TrialBalance (Quarter)'!$7:$7,0)),0)</f>
        <v>0</v>
      </c>
      <c r="N143" s="5">
        <f>IFERROR(INDEX('[1]TrialBalance (Quarter)'!$A:$L,MATCH([1]TBMapping!$C145,'[1]TrialBalance (Quarter)'!A:A,0),MATCH([1]TBMapping!O$3,'[1]TrialBalance (Quarter)'!$7:$7,0)),0)</f>
        <v>0</v>
      </c>
    </row>
    <row r="144" spans="1:14">
      <c r="B144" s="3">
        <v>112299</v>
      </c>
      <c r="C144" s="11" t="s">
        <v>134</v>
      </c>
      <c r="D144" s="11" t="s">
        <v>16</v>
      </c>
      <c r="E144" s="11"/>
      <c r="F144" s="5" t="e">
        <f>IF(DataExtraction="Manual",SUMIF('[1]TrialBalance (YTD)'!$C:$C,B144,'[1]TrialBalance (YTD)'!$E:$E),SUMIF('[1]TrialBalance (YTD)'!$G:$G,B144,'[1]TrialBalance (YTD)'!$I:$I))</f>
        <v>#VALUE!</v>
      </c>
      <c r="G144" s="5">
        <f>IFERROR(INDEX('[1]TrialBalance (YTD)'!$G:$S,MATCH([1]TBMapping!$C146,'[1]TrialBalance (YTD)'!G:G,0),MATCH([1]TBMapping!H$3,'[1]TrialBalance (YTD)'!$G$7:$Z$7,0)),0)</f>
        <v>0</v>
      </c>
      <c r="H144" s="5" t="e">
        <f>SUMIF('[1]TrialBalance (YTD)'!G:G,B144,'[1]TrialBalance (YTD)'!H:H)</f>
        <v>#VALUE!</v>
      </c>
      <c r="I144" s="5">
        <f>IFERROR(INDEX('[1]TrialBalance (YTD)'!$G:$S,MATCH([1]TBMapping!$C146,'[1]TrialBalance (YTD)'!G:G,0),MATCH([1]TBMapping!J$3,'[1]TrialBalance (YTD)'!$G$7:$Z$7,0)),0)</f>
        <v>0</v>
      </c>
      <c r="K144" s="5" t="e">
        <f>SUMIF('[1]TrialBalance (Quarter)'!$A:$A,B144,'[1]TrialBalance (Quarter)'!$B:$B)</f>
        <v>#VALUE!</v>
      </c>
      <c r="L144" s="5">
        <f>IFERROR(INDEX('[1]TrialBalance (Quarter)'!$A:$L,MATCH([1]TBMapping!$C146,'[1]TrialBalance (Quarter)'!A:A,0),MATCH([1]TBMapping!M$3,'[1]TrialBalance (Quarter)'!$7:$7,0)),0)</f>
        <v>0</v>
      </c>
      <c r="M144" s="5">
        <f>IFERROR(INDEX('[1]TrialBalance (Quarter)'!$A:$L,MATCH([1]TBMapping!$C146,'[1]TrialBalance (Quarter)'!A:A,0),MATCH([1]TBMapping!N$3,'[1]TrialBalance (Quarter)'!$7:$7,0)),0)</f>
        <v>0</v>
      </c>
      <c r="N144" s="5">
        <f>IFERROR(INDEX('[1]TrialBalance (Quarter)'!$A:$L,MATCH([1]TBMapping!$C146,'[1]TrialBalance (Quarter)'!A:A,0),MATCH([1]TBMapping!O$3,'[1]TrialBalance (Quarter)'!$7:$7,0)),0)</f>
        <v>0</v>
      </c>
    </row>
    <row r="145" spans="1:14">
      <c r="B145" s="3">
        <v>112300</v>
      </c>
      <c r="C145" s="10" t="s">
        <v>135</v>
      </c>
      <c r="D145" s="10" t="s">
        <v>5</v>
      </c>
      <c r="E145" s="10"/>
      <c r="F145" s="5" t="e">
        <f>IF(DataExtraction="Manual",SUMIF('[1]TrialBalance (YTD)'!$C:$C,B145,'[1]TrialBalance (YTD)'!$E:$E),SUMIF('[1]TrialBalance (YTD)'!$G:$G,B145,'[1]TrialBalance (YTD)'!$I:$I))</f>
        <v>#VALUE!</v>
      </c>
      <c r="G145" s="5">
        <f>IFERROR(INDEX('[1]TrialBalance (YTD)'!$G:$S,MATCH([1]TBMapping!$C147,'[1]TrialBalance (YTD)'!G:G,0),MATCH([1]TBMapping!H$3,'[1]TrialBalance (YTD)'!$G$7:$Z$7,0)),0)</f>
        <v>0</v>
      </c>
      <c r="H145" s="5" t="e">
        <f>SUMIF('[1]TrialBalance (YTD)'!G:G,B145,'[1]TrialBalance (YTD)'!H:H)</f>
        <v>#VALUE!</v>
      </c>
      <c r="I145" s="5">
        <f>IFERROR(INDEX('[1]TrialBalance (YTD)'!$G:$S,MATCH([1]TBMapping!$C147,'[1]TrialBalance (YTD)'!G:G,0),MATCH([1]TBMapping!J$3,'[1]TrialBalance (YTD)'!$G$7:$Z$7,0)),0)</f>
        <v>0</v>
      </c>
      <c r="K145" s="5" t="e">
        <f>SUMIF('[1]TrialBalance (Quarter)'!$A:$A,B145,'[1]TrialBalance (Quarter)'!$B:$B)</f>
        <v>#VALUE!</v>
      </c>
      <c r="L145" s="5">
        <f>IFERROR(INDEX('[1]TrialBalance (Quarter)'!$A:$L,MATCH([1]TBMapping!$C147,'[1]TrialBalance (Quarter)'!A:A,0),MATCH([1]TBMapping!M$3,'[1]TrialBalance (Quarter)'!$7:$7,0)),0)</f>
        <v>0</v>
      </c>
      <c r="M145" s="5">
        <f>IFERROR(INDEX('[1]TrialBalance (Quarter)'!$A:$L,MATCH([1]TBMapping!$C147,'[1]TrialBalance (Quarter)'!A:A,0),MATCH([1]TBMapping!N$3,'[1]TrialBalance (Quarter)'!$7:$7,0)),0)</f>
        <v>0</v>
      </c>
      <c r="N145" s="5">
        <f>IFERROR(INDEX('[1]TrialBalance (Quarter)'!$A:$L,MATCH([1]TBMapping!$C147,'[1]TrialBalance (Quarter)'!A:A,0),MATCH([1]TBMapping!O$3,'[1]TrialBalance (Quarter)'!$7:$7,0)),0)</f>
        <v>0</v>
      </c>
    </row>
    <row r="146" spans="1:14">
      <c r="A146" s="2">
        <v>105</v>
      </c>
      <c r="B146" s="3">
        <v>112310</v>
      </c>
      <c r="C146" s="11" t="s">
        <v>136</v>
      </c>
      <c r="D146" s="11" t="s">
        <v>11</v>
      </c>
      <c r="E146" s="11"/>
      <c r="F146" s="5" t="e">
        <f>IF(DataExtraction="Manual",SUMIF('[1]TrialBalance (YTD)'!$C:$C,B146,'[1]TrialBalance (YTD)'!$E:$E),SUMIF('[1]TrialBalance (YTD)'!$G:$G,B146,'[1]TrialBalance (YTD)'!$I:$I))</f>
        <v>#VALUE!</v>
      </c>
      <c r="G146" s="5">
        <f>IFERROR(INDEX('[1]TrialBalance (YTD)'!$G:$S,MATCH([1]TBMapping!$C148,'[1]TrialBalance (YTD)'!G:G,0),MATCH([1]TBMapping!H$3,'[1]TrialBalance (YTD)'!$G$7:$Z$7,0)),0)</f>
        <v>0</v>
      </c>
      <c r="H146" s="5" t="e">
        <f>SUMIF('[1]TrialBalance (YTD)'!G:G,B146,'[1]TrialBalance (YTD)'!H:H)</f>
        <v>#VALUE!</v>
      </c>
      <c r="I146" s="5">
        <f>IFERROR(INDEX('[1]TrialBalance (YTD)'!$G:$S,MATCH([1]TBMapping!$C148,'[1]TrialBalance (YTD)'!G:G,0),MATCH([1]TBMapping!J$3,'[1]TrialBalance (YTD)'!$G$7:$Z$7,0)),0)</f>
        <v>120537.18</v>
      </c>
      <c r="K146" s="5" t="e">
        <f>SUMIF('[1]TrialBalance (Quarter)'!$A:$A,B146,'[1]TrialBalance (Quarter)'!$B:$B)</f>
        <v>#VALUE!</v>
      </c>
      <c r="L146" s="5">
        <f>IFERROR(INDEX('[1]TrialBalance (Quarter)'!$A:$L,MATCH([1]TBMapping!$C148,'[1]TrialBalance (Quarter)'!A:A,0),MATCH([1]TBMapping!M$3,'[1]TrialBalance (Quarter)'!$7:$7,0)),0)</f>
        <v>0</v>
      </c>
      <c r="M146" s="5">
        <f>IFERROR(INDEX('[1]TrialBalance (Quarter)'!$A:$L,MATCH([1]TBMapping!$C148,'[1]TrialBalance (Quarter)'!A:A,0),MATCH([1]TBMapping!N$3,'[1]TrialBalance (Quarter)'!$7:$7,0)),0)</f>
        <v>60268.08</v>
      </c>
      <c r="N146" s="5">
        <f>IFERROR(INDEX('[1]TrialBalance (Quarter)'!$A:$L,MATCH([1]TBMapping!$C148,'[1]TrialBalance (Quarter)'!A:A,0),MATCH([1]TBMapping!O$3,'[1]TrialBalance (Quarter)'!$7:$7,0)),0)</f>
        <v>60268.08</v>
      </c>
    </row>
    <row r="147" spans="1:14">
      <c r="A147" s="2">
        <v>105</v>
      </c>
      <c r="B147" s="3">
        <v>112311</v>
      </c>
      <c r="C147" s="10" t="s">
        <v>137</v>
      </c>
      <c r="D147" s="10" t="s">
        <v>11</v>
      </c>
      <c r="E147" s="10"/>
      <c r="F147" s="5" t="e">
        <f>IF(DataExtraction="Manual",SUMIF('[1]TrialBalance (YTD)'!$C:$C,B147,'[1]TrialBalance (YTD)'!$E:$E),SUMIF('[1]TrialBalance (YTD)'!$G:$G,B147,'[1]TrialBalance (YTD)'!$I:$I))</f>
        <v>#VALUE!</v>
      </c>
      <c r="G147" s="5">
        <f>IFERROR(INDEX('[1]TrialBalance (YTD)'!$G:$S,MATCH([1]TBMapping!$C149,'[1]TrialBalance (YTD)'!G:G,0),MATCH([1]TBMapping!H$3,'[1]TrialBalance (YTD)'!$G$7:$Z$7,0)),0)</f>
        <v>0</v>
      </c>
      <c r="H147" s="5" t="e">
        <f>SUMIF('[1]TrialBalance (YTD)'!G:G,B147,'[1]TrialBalance (YTD)'!H:H)</f>
        <v>#VALUE!</v>
      </c>
      <c r="I147" s="5">
        <f>IFERROR(INDEX('[1]TrialBalance (YTD)'!$G:$S,MATCH([1]TBMapping!$C149,'[1]TrialBalance (YTD)'!G:G,0),MATCH([1]TBMapping!J$3,'[1]TrialBalance (YTD)'!$G$7:$Z$7,0)),0)</f>
        <v>0</v>
      </c>
      <c r="K147" s="5" t="e">
        <f>SUMIF('[1]TrialBalance (Quarter)'!$A:$A,B147,'[1]TrialBalance (Quarter)'!$B:$B)</f>
        <v>#VALUE!</v>
      </c>
      <c r="L147" s="5">
        <f>IFERROR(INDEX('[1]TrialBalance (Quarter)'!$A:$L,MATCH([1]TBMapping!$C149,'[1]TrialBalance (Quarter)'!A:A,0),MATCH([1]TBMapping!M$3,'[1]TrialBalance (Quarter)'!$7:$7,0)),0)</f>
        <v>0</v>
      </c>
      <c r="M147" s="5">
        <f>IFERROR(INDEX('[1]TrialBalance (Quarter)'!$A:$L,MATCH([1]TBMapping!$C149,'[1]TrialBalance (Quarter)'!A:A,0),MATCH([1]TBMapping!N$3,'[1]TrialBalance (Quarter)'!$7:$7,0)),0)</f>
        <v>0</v>
      </c>
      <c r="N147" s="5">
        <f>IFERROR(INDEX('[1]TrialBalance (Quarter)'!$A:$L,MATCH([1]TBMapping!$C149,'[1]TrialBalance (Quarter)'!A:A,0),MATCH([1]TBMapping!O$3,'[1]TrialBalance (Quarter)'!$7:$7,0)),0)</f>
        <v>0</v>
      </c>
    </row>
    <row r="148" spans="1:14">
      <c r="B148" s="3">
        <v>112399</v>
      </c>
      <c r="C148" s="11" t="s">
        <v>138</v>
      </c>
      <c r="D148" s="11" t="s">
        <v>16</v>
      </c>
      <c r="E148" s="11"/>
      <c r="F148" s="5" t="e">
        <f>IF(DataExtraction="Manual",SUMIF('[1]TrialBalance (YTD)'!$C:$C,B148,'[1]TrialBalance (YTD)'!$E:$E),SUMIF('[1]TrialBalance (YTD)'!$G:$G,B148,'[1]TrialBalance (YTD)'!$I:$I))</f>
        <v>#VALUE!</v>
      </c>
      <c r="G148" s="5">
        <f>IFERROR(INDEX('[1]TrialBalance (YTD)'!$G:$S,MATCH([1]TBMapping!$C150,'[1]TrialBalance (YTD)'!G:G,0),MATCH([1]TBMapping!H$3,'[1]TrialBalance (YTD)'!$G$7:$Z$7,0)),0)</f>
        <v>0</v>
      </c>
      <c r="H148" s="5" t="e">
        <f>SUMIF('[1]TrialBalance (YTD)'!G:G,B148,'[1]TrialBalance (YTD)'!H:H)</f>
        <v>#VALUE!</v>
      </c>
      <c r="I148" s="5">
        <f>IFERROR(INDEX('[1]TrialBalance (YTD)'!$G:$S,MATCH([1]TBMapping!$C150,'[1]TrialBalance (YTD)'!G:G,0),MATCH([1]TBMapping!J$3,'[1]TrialBalance (YTD)'!$G$7:$Z$7,0)),0)</f>
        <v>0</v>
      </c>
      <c r="K148" s="5" t="e">
        <f>SUMIF('[1]TrialBalance (Quarter)'!$A:$A,B148,'[1]TrialBalance (Quarter)'!$B:$B)</f>
        <v>#VALUE!</v>
      </c>
      <c r="L148" s="5">
        <f>IFERROR(INDEX('[1]TrialBalance (Quarter)'!$A:$L,MATCH([1]TBMapping!$C150,'[1]TrialBalance (Quarter)'!A:A,0),MATCH([1]TBMapping!M$3,'[1]TrialBalance (Quarter)'!$7:$7,0)),0)</f>
        <v>0</v>
      </c>
      <c r="M148" s="5">
        <f>IFERROR(INDEX('[1]TrialBalance (Quarter)'!$A:$L,MATCH([1]TBMapping!$C150,'[1]TrialBalance (Quarter)'!A:A,0),MATCH([1]TBMapping!N$3,'[1]TrialBalance (Quarter)'!$7:$7,0)),0)</f>
        <v>0</v>
      </c>
      <c r="N148" s="5">
        <f>IFERROR(INDEX('[1]TrialBalance (Quarter)'!$A:$L,MATCH([1]TBMapping!$C150,'[1]TrialBalance (Quarter)'!A:A,0),MATCH([1]TBMapping!O$3,'[1]TrialBalance (Quarter)'!$7:$7,0)),0)</f>
        <v>0</v>
      </c>
    </row>
    <row r="149" spans="1:14">
      <c r="B149" s="3">
        <v>112400</v>
      </c>
      <c r="C149" s="10" t="s">
        <v>139</v>
      </c>
      <c r="D149" s="10" t="s">
        <v>5</v>
      </c>
      <c r="E149" s="10"/>
      <c r="F149" s="5" t="e">
        <f>IF(DataExtraction="Manual",SUMIF('[1]TrialBalance (YTD)'!$C:$C,B149,'[1]TrialBalance (YTD)'!$E:$E),SUMIF('[1]TrialBalance (YTD)'!$G:$G,B149,'[1]TrialBalance (YTD)'!$I:$I))</f>
        <v>#VALUE!</v>
      </c>
      <c r="G149" s="5">
        <f>IFERROR(INDEX('[1]TrialBalance (YTD)'!$G:$S,MATCH([1]TBMapping!$C151,'[1]TrialBalance (YTD)'!G:G,0),MATCH([1]TBMapping!H$3,'[1]TrialBalance (YTD)'!$G$7:$Z$7,0)),0)</f>
        <v>0</v>
      </c>
      <c r="H149" s="5" t="e">
        <f>SUMIF('[1]TrialBalance (YTD)'!G:G,B149,'[1]TrialBalance (YTD)'!H:H)</f>
        <v>#VALUE!</v>
      </c>
      <c r="I149" s="5">
        <f>IFERROR(INDEX('[1]TrialBalance (YTD)'!$G:$S,MATCH([1]TBMapping!$C151,'[1]TrialBalance (YTD)'!G:G,0),MATCH([1]TBMapping!J$3,'[1]TrialBalance (YTD)'!$G$7:$Z$7,0)),0)</f>
        <v>0</v>
      </c>
      <c r="K149" s="5" t="e">
        <f>SUMIF('[1]TrialBalance (Quarter)'!$A:$A,B149,'[1]TrialBalance (Quarter)'!$B:$B)</f>
        <v>#VALUE!</v>
      </c>
      <c r="L149" s="5">
        <f>IFERROR(INDEX('[1]TrialBalance (Quarter)'!$A:$L,MATCH([1]TBMapping!$C151,'[1]TrialBalance (Quarter)'!A:A,0),MATCH([1]TBMapping!M$3,'[1]TrialBalance (Quarter)'!$7:$7,0)),0)</f>
        <v>0</v>
      </c>
      <c r="M149" s="5">
        <f>IFERROR(INDEX('[1]TrialBalance (Quarter)'!$A:$L,MATCH([1]TBMapping!$C151,'[1]TrialBalance (Quarter)'!A:A,0),MATCH([1]TBMapping!N$3,'[1]TrialBalance (Quarter)'!$7:$7,0)),0)</f>
        <v>0</v>
      </c>
      <c r="N149" s="5">
        <f>IFERROR(INDEX('[1]TrialBalance (Quarter)'!$A:$L,MATCH([1]TBMapping!$C151,'[1]TrialBalance (Quarter)'!A:A,0),MATCH([1]TBMapping!O$3,'[1]TrialBalance (Quarter)'!$7:$7,0)),0)</f>
        <v>0</v>
      </c>
    </row>
    <row r="150" spans="1:14">
      <c r="A150" s="2">
        <v>105</v>
      </c>
      <c r="B150" s="3">
        <v>112405</v>
      </c>
      <c r="C150" s="11" t="s">
        <v>140</v>
      </c>
      <c r="D150" s="11" t="s">
        <v>11</v>
      </c>
      <c r="E150" s="11"/>
      <c r="F150" s="5" t="e">
        <f>IF(DataExtraction="Manual",SUMIF('[1]TrialBalance (YTD)'!$C:$C,B150,'[1]TrialBalance (YTD)'!$E:$E),SUMIF('[1]TrialBalance (YTD)'!$G:$G,B150,'[1]TrialBalance (YTD)'!$I:$I))</f>
        <v>#VALUE!</v>
      </c>
      <c r="G150" s="5">
        <f>IFERROR(INDEX('[1]TrialBalance (YTD)'!$G:$S,MATCH([1]TBMapping!$C152,'[1]TrialBalance (YTD)'!G:G,0),MATCH([1]TBMapping!H$3,'[1]TrialBalance (YTD)'!$G$7:$Z$7,0)),0)</f>
        <v>0</v>
      </c>
      <c r="H150" s="5" t="e">
        <f>SUMIF('[1]TrialBalance (YTD)'!G:G,B150,'[1]TrialBalance (YTD)'!H:H)</f>
        <v>#VALUE!</v>
      </c>
      <c r="I150" s="5">
        <f>IFERROR(INDEX('[1]TrialBalance (YTD)'!$G:$S,MATCH([1]TBMapping!$C152,'[1]TrialBalance (YTD)'!G:G,0),MATCH([1]TBMapping!J$3,'[1]TrialBalance (YTD)'!$G$7:$Z$7,0)),0)</f>
        <v>0</v>
      </c>
      <c r="K150" s="5" t="e">
        <f>SUMIF('[1]TrialBalance (Quarter)'!$A:$A,B150,'[1]TrialBalance (Quarter)'!$B:$B)</f>
        <v>#VALUE!</v>
      </c>
      <c r="L150" s="5">
        <f>IFERROR(INDEX('[1]TrialBalance (Quarter)'!$A:$L,MATCH([1]TBMapping!$C152,'[1]TrialBalance (Quarter)'!A:A,0),MATCH([1]TBMapping!M$3,'[1]TrialBalance (Quarter)'!$7:$7,0)),0)</f>
        <v>0</v>
      </c>
      <c r="M150" s="5">
        <f>IFERROR(INDEX('[1]TrialBalance (Quarter)'!$A:$L,MATCH([1]TBMapping!$C152,'[1]TrialBalance (Quarter)'!A:A,0),MATCH([1]TBMapping!N$3,'[1]TrialBalance (Quarter)'!$7:$7,0)),0)</f>
        <v>0</v>
      </c>
      <c r="N150" s="5">
        <f>IFERROR(INDEX('[1]TrialBalance (Quarter)'!$A:$L,MATCH([1]TBMapping!$C152,'[1]TrialBalance (Quarter)'!A:A,0),MATCH([1]TBMapping!O$3,'[1]TrialBalance (Quarter)'!$7:$7,0)),0)</f>
        <v>0</v>
      </c>
    </row>
    <row r="151" spans="1:14">
      <c r="A151" s="2">
        <v>105</v>
      </c>
      <c r="B151" s="3">
        <v>112406</v>
      </c>
      <c r="C151" s="10" t="s">
        <v>141</v>
      </c>
      <c r="D151" s="10" t="s">
        <v>11</v>
      </c>
      <c r="E151" s="10"/>
      <c r="F151" s="5" t="e">
        <f>IF(DataExtraction="Manual",SUMIF('[1]TrialBalance (YTD)'!$C:$C,B151,'[1]TrialBalance (YTD)'!$E:$E),SUMIF('[1]TrialBalance (YTD)'!$G:$G,B151,'[1]TrialBalance (YTD)'!$I:$I))</f>
        <v>#VALUE!</v>
      </c>
      <c r="G151" s="5">
        <f>IFERROR(INDEX('[1]TrialBalance (YTD)'!$G:$S,MATCH([1]TBMapping!$C153,'[1]TrialBalance (YTD)'!G:G,0),MATCH([1]TBMapping!H$3,'[1]TrialBalance (YTD)'!$G$7:$Z$7,0)),0)</f>
        <v>0</v>
      </c>
      <c r="H151" s="5" t="e">
        <f>SUMIF('[1]TrialBalance (YTD)'!G:G,B151,'[1]TrialBalance (YTD)'!H:H)</f>
        <v>#VALUE!</v>
      </c>
      <c r="I151" s="5">
        <f>IFERROR(INDEX('[1]TrialBalance (YTD)'!$G:$S,MATCH([1]TBMapping!$C153,'[1]TrialBalance (YTD)'!G:G,0),MATCH([1]TBMapping!J$3,'[1]TrialBalance (YTD)'!$G$7:$Z$7,0)),0)</f>
        <v>0</v>
      </c>
      <c r="K151" s="5" t="e">
        <f>SUMIF('[1]TrialBalance (Quarter)'!$A:$A,B151,'[1]TrialBalance (Quarter)'!$B:$B)</f>
        <v>#VALUE!</v>
      </c>
      <c r="L151" s="5">
        <f>IFERROR(INDEX('[1]TrialBalance (Quarter)'!$A:$L,MATCH([1]TBMapping!$C153,'[1]TrialBalance (Quarter)'!A:A,0),MATCH([1]TBMapping!M$3,'[1]TrialBalance (Quarter)'!$7:$7,0)),0)</f>
        <v>0</v>
      </c>
      <c r="M151" s="5">
        <f>IFERROR(INDEX('[1]TrialBalance (Quarter)'!$A:$L,MATCH([1]TBMapping!$C153,'[1]TrialBalance (Quarter)'!A:A,0),MATCH([1]TBMapping!N$3,'[1]TrialBalance (Quarter)'!$7:$7,0)),0)</f>
        <v>0</v>
      </c>
      <c r="N151" s="5">
        <f>IFERROR(INDEX('[1]TrialBalance (Quarter)'!$A:$L,MATCH([1]TBMapping!$C153,'[1]TrialBalance (Quarter)'!A:A,0),MATCH([1]TBMapping!O$3,'[1]TrialBalance (Quarter)'!$7:$7,0)),0)</f>
        <v>0</v>
      </c>
    </row>
    <row r="152" spans="1:14">
      <c r="A152" s="2">
        <v>105</v>
      </c>
      <c r="B152" s="3">
        <v>112410</v>
      </c>
      <c r="C152" s="11" t="s">
        <v>142</v>
      </c>
      <c r="D152" s="11" t="s">
        <v>11</v>
      </c>
      <c r="E152" s="11"/>
      <c r="F152" s="5" t="e">
        <f>IF(DataExtraction="Manual",SUMIF('[1]TrialBalance (YTD)'!$C:$C,B152,'[1]TrialBalance (YTD)'!$E:$E),SUMIF('[1]TrialBalance (YTD)'!$G:$G,B152,'[1]TrialBalance (YTD)'!$I:$I))</f>
        <v>#VALUE!</v>
      </c>
      <c r="G152" s="5">
        <f>IFERROR(INDEX('[1]TrialBalance (YTD)'!$G:$S,MATCH([1]TBMapping!$C154,'[1]TrialBalance (YTD)'!G:G,0),MATCH([1]TBMapping!H$3,'[1]TrialBalance (YTD)'!$G$7:$Z$7,0)),0)</f>
        <v>0</v>
      </c>
      <c r="H152" s="5" t="e">
        <f>SUMIF('[1]TrialBalance (YTD)'!G:G,B152,'[1]TrialBalance (YTD)'!H:H)</f>
        <v>#VALUE!</v>
      </c>
      <c r="I152" s="5">
        <f>IFERROR(INDEX('[1]TrialBalance (YTD)'!$G:$S,MATCH([1]TBMapping!$C154,'[1]TrialBalance (YTD)'!G:G,0),MATCH([1]TBMapping!J$3,'[1]TrialBalance (YTD)'!$G$7:$Z$7,0)),0)</f>
        <v>-18145.240000000002</v>
      </c>
      <c r="K152" s="5" t="e">
        <f>SUMIF('[1]TrialBalance (Quarter)'!$A:$A,B152,'[1]TrialBalance (Quarter)'!$B:$B)</f>
        <v>#VALUE!</v>
      </c>
      <c r="L152" s="5">
        <f>IFERROR(INDEX('[1]TrialBalance (Quarter)'!$A:$L,MATCH([1]TBMapping!$C154,'[1]TrialBalance (Quarter)'!A:A,0),MATCH([1]TBMapping!M$3,'[1]TrialBalance (Quarter)'!$7:$7,0)),0)</f>
        <v>0</v>
      </c>
      <c r="M152" s="5">
        <f>IFERROR(INDEX('[1]TrialBalance (Quarter)'!$A:$L,MATCH([1]TBMapping!$C154,'[1]TrialBalance (Quarter)'!A:A,0),MATCH([1]TBMapping!N$3,'[1]TrialBalance (Quarter)'!$7:$7,0)),0)</f>
        <v>127304.27</v>
      </c>
      <c r="N152" s="5">
        <f>IFERROR(INDEX('[1]TrialBalance (Quarter)'!$A:$L,MATCH([1]TBMapping!$C154,'[1]TrialBalance (Quarter)'!A:A,0),MATCH([1]TBMapping!O$3,'[1]TrialBalance (Quarter)'!$7:$7,0)),0)</f>
        <v>74748.5</v>
      </c>
    </row>
    <row r="153" spans="1:14">
      <c r="A153" s="2">
        <v>105</v>
      </c>
      <c r="B153" s="3">
        <v>112411</v>
      </c>
      <c r="C153" s="10" t="s">
        <v>143</v>
      </c>
      <c r="D153" s="10" t="s">
        <v>11</v>
      </c>
      <c r="E153" s="10"/>
      <c r="F153" s="5" t="e">
        <f>IF(DataExtraction="Manual",SUMIF('[1]TrialBalance (YTD)'!$C:$C,B153,'[1]TrialBalance (YTD)'!$E:$E),SUMIF('[1]TrialBalance (YTD)'!$G:$G,B153,'[1]TrialBalance (YTD)'!$I:$I))</f>
        <v>#VALUE!</v>
      </c>
      <c r="G153" s="5">
        <f>IFERROR(INDEX('[1]TrialBalance (YTD)'!$G:$S,MATCH([1]TBMapping!$C155,'[1]TrialBalance (YTD)'!G:G,0),MATCH([1]TBMapping!H$3,'[1]TrialBalance (YTD)'!$G$7:$Z$7,0)),0)</f>
        <v>0</v>
      </c>
      <c r="H153" s="5" t="e">
        <f>SUMIF('[1]TrialBalance (YTD)'!G:G,B153,'[1]TrialBalance (YTD)'!H:H)</f>
        <v>#VALUE!</v>
      </c>
      <c r="I153" s="5">
        <f>IFERROR(INDEX('[1]TrialBalance (YTD)'!$G:$S,MATCH([1]TBMapping!$C155,'[1]TrialBalance (YTD)'!G:G,0),MATCH([1]TBMapping!J$3,'[1]TrialBalance (YTD)'!$G$7:$Z$7,0)),0)</f>
        <v>0</v>
      </c>
      <c r="K153" s="5" t="e">
        <f>SUMIF('[1]TrialBalance (Quarter)'!$A:$A,B153,'[1]TrialBalance (Quarter)'!$B:$B)</f>
        <v>#VALUE!</v>
      </c>
      <c r="L153" s="5">
        <f>IFERROR(INDEX('[1]TrialBalance (Quarter)'!$A:$L,MATCH([1]TBMapping!$C155,'[1]TrialBalance (Quarter)'!A:A,0),MATCH([1]TBMapping!M$3,'[1]TrialBalance (Quarter)'!$7:$7,0)),0)</f>
        <v>0</v>
      </c>
      <c r="M153" s="5">
        <f>IFERROR(INDEX('[1]TrialBalance (Quarter)'!$A:$L,MATCH([1]TBMapping!$C155,'[1]TrialBalance (Quarter)'!A:A,0),MATCH([1]TBMapping!N$3,'[1]TrialBalance (Quarter)'!$7:$7,0)),0)</f>
        <v>0</v>
      </c>
      <c r="N153" s="5">
        <f>IFERROR(INDEX('[1]TrialBalance (Quarter)'!$A:$L,MATCH([1]TBMapping!$C155,'[1]TrialBalance (Quarter)'!A:A,0),MATCH([1]TBMapping!O$3,'[1]TrialBalance (Quarter)'!$7:$7,0)),0)</f>
        <v>0</v>
      </c>
    </row>
    <row r="154" spans="1:14">
      <c r="B154" s="3">
        <v>112499</v>
      </c>
      <c r="C154" s="11" t="s">
        <v>144</v>
      </c>
      <c r="D154" s="11" t="s">
        <v>16</v>
      </c>
      <c r="E154" s="11"/>
      <c r="F154" s="5" t="e">
        <f>IF(DataExtraction="Manual",SUMIF('[1]TrialBalance (YTD)'!$C:$C,B154,'[1]TrialBalance (YTD)'!$E:$E),SUMIF('[1]TrialBalance (YTD)'!$G:$G,B154,'[1]TrialBalance (YTD)'!$I:$I))</f>
        <v>#VALUE!</v>
      </c>
      <c r="G154" s="5">
        <f>IFERROR(INDEX('[1]TrialBalance (YTD)'!$G:$S,MATCH([1]TBMapping!$C156,'[1]TrialBalance (YTD)'!G:G,0),MATCH([1]TBMapping!H$3,'[1]TrialBalance (YTD)'!$G$7:$Z$7,0)),0)</f>
        <v>0</v>
      </c>
      <c r="H154" s="5" t="e">
        <f>SUMIF('[1]TrialBalance (YTD)'!G:G,B154,'[1]TrialBalance (YTD)'!H:H)</f>
        <v>#VALUE!</v>
      </c>
      <c r="I154" s="5">
        <f>IFERROR(INDEX('[1]TrialBalance (YTD)'!$G:$S,MATCH([1]TBMapping!$C156,'[1]TrialBalance (YTD)'!G:G,0),MATCH([1]TBMapping!J$3,'[1]TrialBalance (YTD)'!$G$7:$Z$7,0)),0)</f>
        <v>0</v>
      </c>
      <c r="K154" s="5" t="e">
        <f>SUMIF('[1]TrialBalance (Quarter)'!$A:$A,B154,'[1]TrialBalance (Quarter)'!$B:$B)</f>
        <v>#VALUE!</v>
      </c>
      <c r="L154" s="5">
        <f>IFERROR(INDEX('[1]TrialBalance (Quarter)'!$A:$L,MATCH([1]TBMapping!$C156,'[1]TrialBalance (Quarter)'!A:A,0),MATCH([1]TBMapping!M$3,'[1]TrialBalance (Quarter)'!$7:$7,0)),0)</f>
        <v>0</v>
      </c>
      <c r="M154" s="5">
        <f>IFERROR(INDEX('[1]TrialBalance (Quarter)'!$A:$L,MATCH([1]TBMapping!$C156,'[1]TrialBalance (Quarter)'!A:A,0),MATCH([1]TBMapping!N$3,'[1]TrialBalance (Quarter)'!$7:$7,0)),0)</f>
        <v>0</v>
      </c>
      <c r="N154" s="5">
        <f>IFERROR(INDEX('[1]TrialBalance (Quarter)'!$A:$L,MATCH([1]TBMapping!$C156,'[1]TrialBalance (Quarter)'!A:A,0),MATCH([1]TBMapping!O$3,'[1]TrialBalance (Quarter)'!$7:$7,0)),0)</f>
        <v>0</v>
      </c>
    </row>
    <row r="155" spans="1:14">
      <c r="B155" s="3">
        <v>112500</v>
      </c>
      <c r="C155" s="10" t="s">
        <v>145</v>
      </c>
      <c r="D155" s="10" t="s">
        <v>5</v>
      </c>
      <c r="E155" s="10"/>
      <c r="F155" s="5" t="e">
        <f>IF(DataExtraction="Manual",SUMIF('[1]TrialBalance (YTD)'!$C:$C,B155,'[1]TrialBalance (YTD)'!$E:$E),SUMIF('[1]TrialBalance (YTD)'!$G:$G,B155,'[1]TrialBalance (YTD)'!$I:$I))</f>
        <v>#VALUE!</v>
      </c>
      <c r="G155" s="5">
        <f>IFERROR(INDEX('[1]TrialBalance (YTD)'!$G:$S,MATCH([1]TBMapping!$C157,'[1]TrialBalance (YTD)'!G:G,0),MATCH([1]TBMapping!H$3,'[1]TrialBalance (YTD)'!$G$7:$Z$7,0)),0)</f>
        <v>0</v>
      </c>
      <c r="H155" s="5" t="e">
        <f>SUMIF('[1]TrialBalance (YTD)'!G:G,B155,'[1]TrialBalance (YTD)'!H:H)</f>
        <v>#VALUE!</v>
      </c>
      <c r="I155" s="5">
        <f>IFERROR(INDEX('[1]TrialBalance (YTD)'!$G:$S,MATCH([1]TBMapping!$C157,'[1]TrialBalance (YTD)'!G:G,0),MATCH([1]TBMapping!J$3,'[1]TrialBalance (YTD)'!$G$7:$Z$7,0)),0)</f>
        <v>0</v>
      </c>
      <c r="K155" s="5" t="e">
        <f>SUMIF('[1]TrialBalance (Quarter)'!$A:$A,B155,'[1]TrialBalance (Quarter)'!$B:$B)</f>
        <v>#VALUE!</v>
      </c>
      <c r="L155" s="5">
        <f>IFERROR(INDEX('[1]TrialBalance (Quarter)'!$A:$L,MATCH([1]TBMapping!$C157,'[1]TrialBalance (Quarter)'!A:A,0),MATCH([1]TBMapping!M$3,'[1]TrialBalance (Quarter)'!$7:$7,0)),0)</f>
        <v>0</v>
      </c>
      <c r="M155" s="5">
        <f>IFERROR(INDEX('[1]TrialBalance (Quarter)'!$A:$L,MATCH([1]TBMapping!$C157,'[1]TrialBalance (Quarter)'!A:A,0),MATCH([1]TBMapping!N$3,'[1]TrialBalance (Quarter)'!$7:$7,0)),0)</f>
        <v>0</v>
      </c>
      <c r="N155" s="5">
        <f>IFERROR(INDEX('[1]TrialBalance (Quarter)'!$A:$L,MATCH([1]TBMapping!$C157,'[1]TrialBalance (Quarter)'!A:A,0),MATCH([1]TBMapping!O$3,'[1]TrialBalance (Quarter)'!$7:$7,0)),0)</f>
        <v>0</v>
      </c>
    </row>
    <row r="156" spans="1:14">
      <c r="A156" s="2">
        <v>105</v>
      </c>
      <c r="B156" s="3">
        <v>112510</v>
      </c>
      <c r="C156" s="11" t="s">
        <v>146</v>
      </c>
      <c r="D156" s="11" t="s">
        <v>11</v>
      </c>
      <c r="E156" s="11"/>
      <c r="F156" s="5" t="e">
        <f>IF(DataExtraction="Manual",SUMIF('[1]TrialBalance (YTD)'!$C:$C,B156,'[1]TrialBalance (YTD)'!$E:$E),SUMIF('[1]TrialBalance (YTD)'!$G:$G,B156,'[1]TrialBalance (YTD)'!$I:$I))</f>
        <v>#VALUE!</v>
      </c>
      <c r="G156" s="5">
        <f>IFERROR(INDEX('[1]TrialBalance (YTD)'!$G:$S,MATCH([1]TBMapping!$C158,'[1]TrialBalance (YTD)'!G:G,0),MATCH([1]TBMapping!H$3,'[1]TrialBalance (YTD)'!$G$7:$Z$7,0)),0)</f>
        <v>0</v>
      </c>
      <c r="H156" s="5" t="e">
        <f>SUMIF('[1]TrialBalance (YTD)'!G:G,B156,'[1]TrialBalance (YTD)'!H:H)</f>
        <v>#VALUE!</v>
      </c>
      <c r="I156" s="5">
        <f>IFERROR(INDEX('[1]TrialBalance (YTD)'!$G:$S,MATCH([1]TBMapping!$C158,'[1]TrialBalance (YTD)'!G:G,0),MATCH([1]TBMapping!J$3,'[1]TrialBalance (YTD)'!$G$7:$Z$7,0)),0)</f>
        <v>0</v>
      </c>
      <c r="K156" s="5" t="e">
        <f>SUMIF('[1]TrialBalance (Quarter)'!$A:$A,B156,'[1]TrialBalance (Quarter)'!$B:$B)</f>
        <v>#VALUE!</v>
      </c>
      <c r="L156" s="5">
        <f>IFERROR(INDEX('[1]TrialBalance (Quarter)'!$A:$L,MATCH([1]TBMapping!$C158,'[1]TrialBalance (Quarter)'!A:A,0),MATCH([1]TBMapping!M$3,'[1]TrialBalance (Quarter)'!$7:$7,0)),0)</f>
        <v>0</v>
      </c>
      <c r="M156" s="5">
        <f>IFERROR(INDEX('[1]TrialBalance (Quarter)'!$A:$L,MATCH([1]TBMapping!$C158,'[1]TrialBalance (Quarter)'!A:A,0),MATCH([1]TBMapping!N$3,'[1]TrialBalance (Quarter)'!$7:$7,0)),0)</f>
        <v>0</v>
      </c>
      <c r="N156" s="5">
        <f>IFERROR(INDEX('[1]TrialBalance (Quarter)'!$A:$L,MATCH([1]TBMapping!$C158,'[1]TrialBalance (Quarter)'!A:A,0),MATCH([1]TBMapping!O$3,'[1]TrialBalance (Quarter)'!$7:$7,0)),0)</f>
        <v>0</v>
      </c>
    </row>
    <row r="157" spans="1:14">
      <c r="A157" s="2">
        <v>105</v>
      </c>
      <c r="B157" s="3">
        <v>112511</v>
      </c>
      <c r="C157" s="10" t="s">
        <v>147</v>
      </c>
      <c r="D157" s="10" t="s">
        <v>11</v>
      </c>
      <c r="E157" s="10"/>
      <c r="F157" s="5" t="e">
        <f>IF(DataExtraction="Manual",SUMIF('[1]TrialBalance (YTD)'!$C:$C,B157,'[1]TrialBalance (YTD)'!$E:$E),SUMIF('[1]TrialBalance (YTD)'!$G:$G,B157,'[1]TrialBalance (YTD)'!$I:$I))</f>
        <v>#VALUE!</v>
      </c>
      <c r="G157" s="5">
        <f>IFERROR(INDEX('[1]TrialBalance (YTD)'!$G:$S,MATCH([1]TBMapping!$C159,'[1]TrialBalance (YTD)'!G:G,0),MATCH([1]TBMapping!H$3,'[1]TrialBalance (YTD)'!$G$7:$Z$7,0)),0)</f>
        <v>0</v>
      </c>
      <c r="H157" s="5" t="e">
        <f>SUMIF('[1]TrialBalance (YTD)'!G:G,B157,'[1]TrialBalance (YTD)'!H:H)</f>
        <v>#VALUE!</v>
      </c>
      <c r="I157" s="5">
        <f>IFERROR(INDEX('[1]TrialBalance (YTD)'!$G:$S,MATCH([1]TBMapping!$C159,'[1]TrialBalance (YTD)'!G:G,0),MATCH([1]TBMapping!J$3,'[1]TrialBalance (YTD)'!$G$7:$Z$7,0)),0)</f>
        <v>0</v>
      </c>
      <c r="K157" s="5" t="e">
        <f>SUMIF('[1]TrialBalance (Quarter)'!$A:$A,B157,'[1]TrialBalance (Quarter)'!$B:$B)</f>
        <v>#VALUE!</v>
      </c>
      <c r="L157" s="5">
        <f>IFERROR(INDEX('[1]TrialBalance (Quarter)'!$A:$L,MATCH([1]TBMapping!$C159,'[1]TrialBalance (Quarter)'!A:A,0),MATCH([1]TBMapping!M$3,'[1]TrialBalance (Quarter)'!$7:$7,0)),0)</f>
        <v>0</v>
      </c>
      <c r="M157" s="5">
        <f>IFERROR(INDEX('[1]TrialBalance (Quarter)'!$A:$L,MATCH([1]TBMapping!$C159,'[1]TrialBalance (Quarter)'!A:A,0),MATCH([1]TBMapping!N$3,'[1]TrialBalance (Quarter)'!$7:$7,0)),0)</f>
        <v>0</v>
      </c>
      <c r="N157" s="5">
        <f>IFERROR(INDEX('[1]TrialBalance (Quarter)'!$A:$L,MATCH([1]TBMapping!$C159,'[1]TrialBalance (Quarter)'!A:A,0),MATCH([1]TBMapping!O$3,'[1]TrialBalance (Quarter)'!$7:$7,0)),0)</f>
        <v>0</v>
      </c>
    </row>
    <row r="158" spans="1:14">
      <c r="A158" s="2">
        <v>105</v>
      </c>
      <c r="B158" s="3">
        <v>112512</v>
      </c>
      <c r="C158" s="11" t="s">
        <v>148</v>
      </c>
      <c r="D158" s="11" t="s">
        <v>11</v>
      </c>
      <c r="E158" s="11"/>
      <c r="F158" s="5" t="e">
        <f>IF(DataExtraction="Manual",SUMIF('[1]TrialBalance (YTD)'!$C:$C,B158,'[1]TrialBalance (YTD)'!$E:$E),SUMIF('[1]TrialBalance (YTD)'!$G:$G,B158,'[1]TrialBalance (YTD)'!$I:$I))</f>
        <v>#VALUE!</v>
      </c>
      <c r="G158" s="5">
        <f>IFERROR(INDEX('[1]TrialBalance (YTD)'!$G:$S,MATCH([1]TBMapping!$C160,'[1]TrialBalance (YTD)'!G:G,0),MATCH([1]TBMapping!H$3,'[1]TrialBalance (YTD)'!$G$7:$Z$7,0)),0)</f>
        <v>0</v>
      </c>
      <c r="H158" s="5" t="e">
        <f>SUMIF('[1]TrialBalance (YTD)'!G:G,B158,'[1]TrialBalance (YTD)'!H:H)</f>
        <v>#VALUE!</v>
      </c>
      <c r="I158" s="5">
        <f>IFERROR(INDEX('[1]TrialBalance (YTD)'!$G:$S,MATCH([1]TBMapping!$C160,'[1]TrialBalance (YTD)'!G:G,0),MATCH([1]TBMapping!J$3,'[1]TrialBalance (YTD)'!$G$7:$Z$7,0)),0)</f>
        <v>0</v>
      </c>
      <c r="K158" s="5" t="e">
        <f>SUMIF('[1]TrialBalance (Quarter)'!$A:$A,B158,'[1]TrialBalance (Quarter)'!$B:$B)</f>
        <v>#VALUE!</v>
      </c>
      <c r="L158" s="5">
        <f>IFERROR(INDEX('[1]TrialBalance (Quarter)'!$A:$L,MATCH([1]TBMapping!$C160,'[1]TrialBalance (Quarter)'!A:A,0),MATCH([1]TBMapping!M$3,'[1]TrialBalance (Quarter)'!$7:$7,0)),0)</f>
        <v>0</v>
      </c>
      <c r="M158" s="5">
        <f>IFERROR(INDEX('[1]TrialBalance (Quarter)'!$A:$L,MATCH([1]TBMapping!$C160,'[1]TrialBalance (Quarter)'!A:A,0),MATCH([1]TBMapping!N$3,'[1]TrialBalance (Quarter)'!$7:$7,0)),0)</f>
        <v>0</v>
      </c>
      <c r="N158" s="5">
        <f>IFERROR(INDEX('[1]TrialBalance (Quarter)'!$A:$L,MATCH([1]TBMapping!$C160,'[1]TrialBalance (Quarter)'!A:A,0),MATCH([1]TBMapping!O$3,'[1]TrialBalance (Quarter)'!$7:$7,0)),0)</f>
        <v>0</v>
      </c>
    </row>
    <row r="159" spans="1:14">
      <c r="A159" s="2">
        <v>105</v>
      </c>
      <c r="B159" s="3">
        <v>112520</v>
      </c>
      <c r="C159" s="10" t="s">
        <v>149</v>
      </c>
      <c r="D159" s="10" t="s">
        <v>11</v>
      </c>
      <c r="E159" s="10"/>
      <c r="F159" s="5" t="e">
        <f>IF(DataExtraction="Manual",SUMIF('[1]TrialBalance (YTD)'!$C:$C,B159,'[1]TrialBalance (YTD)'!$E:$E),SUMIF('[1]TrialBalance (YTD)'!$G:$G,B159,'[1]TrialBalance (YTD)'!$I:$I))</f>
        <v>#VALUE!</v>
      </c>
      <c r="G159" s="5">
        <f>IFERROR(INDEX('[1]TrialBalance (YTD)'!$G:$S,MATCH([1]TBMapping!$C161,'[1]TrialBalance (YTD)'!G:G,0),MATCH([1]TBMapping!H$3,'[1]TrialBalance (YTD)'!$G$7:$Z$7,0)),0)</f>
        <v>0</v>
      </c>
      <c r="H159" s="5" t="e">
        <f>SUMIF('[1]TrialBalance (YTD)'!G:G,B159,'[1]TrialBalance (YTD)'!H:H)</f>
        <v>#VALUE!</v>
      </c>
      <c r="I159" s="5">
        <f>IFERROR(INDEX('[1]TrialBalance (YTD)'!$G:$S,MATCH([1]TBMapping!$C161,'[1]TrialBalance (YTD)'!G:G,0),MATCH([1]TBMapping!J$3,'[1]TrialBalance (YTD)'!$G$7:$Z$7,0)),0)</f>
        <v>0</v>
      </c>
      <c r="K159" s="5" t="e">
        <f>SUMIF('[1]TrialBalance (Quarter)'!$A:$A,B159,'[1]TrialBalance (Quarter)'!$B:$B)</f>
        <v>#VALUE!</v>
      </c>
      <c r="L159" s="5">
        <f>IFERROR(INDEX('[1]TrialBalance (Quarter)'!$A:$L,MATCH([1]TBMapping!$C161,'[1]TrialBalance (Quarter)'!A:A,0),MATCH([1]TBMapping!M$3,'[1]TrialBalance (Quarter)'!$7:$7,0)),0)</f>
        <v>0</v>
      </c>
      <c r="M159" s="5">
        <f>IFERROR(INDEX('[1]TrialBalance (Quarter)'!$A:$L,MATCH([1]TBMapping!$C161,'[1]TrialBalance (Quarter)'!A:A,0),MATCH([1]TBMapping!N$3,'[1]TrialBalance (Quarter)'!$7:$7,0)),0)</f>
        <v>334752.8</v>
      </c>
      <c r="N159" s="5">
        <f>IFERROR(INDEX('[1]TrialBalance (Quarter)'!$A:$L,MATCH([1]TBMapping!$C161,'[1]TrialBalance (Quarter)'!A:A,0),MATCH([1]TBMapping!O$3,'[1]TrialBalance (Quarter)'!$7:$7,0)),0)</f>
        <v>0</v>
      </c>
    </row>
    <row r="160" spans="1:14">
      <c r="A160" s="2">
        <v>105</v>
      </c>
      <c r="B160" s="3">
        <v>112530</v>
      </c>
      <c r="C160" s="11" t="s">
        <v>150</v>
      </c>
      <c r="D160" s="11" t="s">
        <v>11</v>
      </c>
      <c r="E160" s="11"/>
      <c r="F160" s="5" t="e">
        <f>IF(DataExtraction="Manual",SUMIF('[1]TrialBalance (YTD)'!$C:$C,B160,'[1]TrialBalance (YTD)'!$E:$E),SUMIF('[1]TrialBalance (YTD)'!$G:$G,B160,'[1]TrialBalance (YTD)'!$I:$I))</f>
        <v>#VALUE!</v>
      </c>
      <c r="G160" s="5">
        <f>IFERROR(INDEX('[1]TrialBalance (YTD)'!$G:$S,MATCH([1]TBMapping!$C162,'[1]TrialBalance (YTD)'!G:G,0),MATCH([1]TBMapping!H$3,'[1]TrialBalance (YTD)'!$G$7:$Z$7,0)),0)</f>
        <v>0</v>
      </c>
      <c r="H160" s="5" t="e">
        <f>SUMIF('[1]TrialBalance (YTD)'!G:G,B160,'[1]TrialBalance (YTD)'!H:H)</f>
        <v>#VALUE!</v>
      </c>
      <c r="I160" s="5">
        <f>IFERROR(INDEX('[1]TrialBalance (YTD)'!$G:$S,MATCH([1]TBMapping!$C162,'[1]TrialBalance (YTD)'!G:G,0),MATCH([1]TBMapping!J$3,'[1]TrialBalance (YTD)'!$G$7:$Z$7,0)),0)</f>
        <v>0</v>
      </c>
      <c r="K160" s="5" t="e">
        <f>SUMIF('[1]TrialBalance (Quarter)'!$A:$A,B160,'[1]TrialBalance (Quarter)'!$B:$B)</f>
        <v>#VALUE!</v>
      </c>
      <c r="L160" s="5">
        <f>IFERROR(INDEX('[1]TrialBalance (Quarter)'!$A:$L,MATCH([1]TBMapping!$C162,'[1]TrialBalance (Quarter)'!A:A,0),MATCH([1]TBMapping!M$3,'[1]TrialBalance (Quarter)'!$7:$7,0)),0)</f>
        <v>0</v>
      </c>
      <c r="M160" s="5">
        <f>IFERROR(INDEX('[1]TrialBalance (Quarter)'!$A:$L,MATCH([1]TBMapping!$C162,'[1]TrialBalance (Quarter)'!A:A,0),MATCH([1]TBMapping!N$3,'[1]TrialBalance (Quarter)'!$7:$7,0)),0)</f>
        <v>0</v>
      </c>
      <c r="N160" s="5">
        <f>IFERROR(INDEX('[1]TrialBalance (Quarter)'!$A:$L,MATCH([1]TBMapping!$C162,'[1]TrialBalance (Quarter)'!A:A,0),MATCH([1]TBMapping!O$3,'[1]TrialBalance (Quarter)'!$7:$7,0)),0)</f>
        <v>0</v>
      </c>
    </row>
    <row r="161" spans="1:17">
      <c r="A161" s="2">
        <v>105</v>
      </c>
      <c r="B161" s="3">
        <v>112540</v>
      </c>
      <c r="C161" s="10" t="s">
        <v>151</v>
      </c>
      <c r="D161" s="10" t="s">
        <v>11</v>
      </c>
      <c r="E161" s="10"/>
      <c r="F161" s="5" t="e">
        <f>IF(DataExtraction="Manual",SUMIF('[1]TrialBalance (YTD)'!$C:$C,B161,'[1]TrialBalance (YTD)'!$E:$E),SUMIF('[1]TrialBalance (YTD)'!$G:$G,B161,'[1]TrialBalance (YTD)'!$I:$I))</f>
        <v>#VALUE!</v>
      </c>
      <c r="G161" s="5">
        <f>IFERROR(INDEX('[1]TrialBalance (YTD)'!$G:$S,MATCH([1]TBMapping!$C163,'[1]TrialBalance (YTD)'!G:G,0),MATCH([1]TBMapping!H$3,'[1]TrialBalance (YTD)'!$G$7:$Z$7,0)),0)</f>
        <v>0</v>
      </c>
      <c r="H161" s="5" t="e">
        <f>SUMIF('[1]TrialBalance (YTD)'!G:G,B161,'[1]TrialBalance (YTD)'!H:H)</f>
        <v>#VALUE!</v>
      </c>
      <c r="I161" s="5">
        <f>IFERROR(INDEX('[1]TrialBalance (YTD)'!$G:$S,MATCH([1]TBMapping!$C163,'[1]TrialBalance (YTD)'!G:G,0),MATCH([1]TBMapping!J$3,'[1]TrialBalance (YTD)'!$G$7:$Z$7,0)),0)</f>
        <v>0</v>
      </c>
      <c r="K161" s="5" t="e">
        <f>SUMIF('[1]TrialBalance (Quarter)'!$A:$A,B161,'[1]TrialBalance (Quarter)'!$B:$B)</f>
        <v>#VALUE!</v>
      </c>
      <c r="L161" s="5">
        <f>IFERROR(INDEX('[1]TrialBalance (Quarter)'!$A:$L,MATCH([1]TBMapping!$C163,'[1]TrialBalance (Quarter)'!A:A,0),MATCH([1]TBMapping!M$3,'[1]TrialBalance (Quarter)'!$7:$7,0)),0)</f>
        <v>0</v>
      </c>
      <c r="M161" s="5">
        <f>IFERROR(INDEX('[1]TrialBalance (Quarter)'!$A:$L,MATCH([1]TBMapping!$C163,'[1]TrialBalance (Quarter)'!A:A,0),MATCH([1]TBMapping!N$3,'[1]TrialBalance (Quarter)'!$7:$7,0)),0)</f>
        <v>0</v>
      </c>
      <c r="N161" s="5">
        <f>IFERROR(INDEX('[1]TrialBalance (Quarter)'!$A:$L,MATCH([1]TBMapping!$C163,'[1]TrialBalance (Quarter)'!A:A,0),MATCH([1]TBMapping!O$3,'[1]TrialBalance (Quarter)'!$7:$7,0)),0)</f>
        <v>0</v>
      </c>
    </row>
    <row r="162" spans="1:17">
      <c r="A162" s="2">
        <v>105</v>
      </c>
      <c r="B162" s="3">
        <v>112551</v>
      </c>
      <c r="C162" s="11" t="s">
        <v>118</v>
      </c>
      <c r="D162" s="11" t="s">
        <v>11</v>
      </c>
      <c r="E162" s="11"/>
      <c r="F162" s="5" t="e">
        <f>IF(DataExtraction="Manual",SUMIF('[1]TrialBalance (YTD)'!$C:$C,B162,'[1]TrialBalance (YTD)'!$E:$E),SUMIF('[1]TrialBalance (YTD)'!$G:$G,B162,'[1]TrialBalance (YTD)'!$I:$I))</f>
        <v>#VALUE!</v>
      </c>
      <c r="G162" s="5">
        <f>IFERROR(INDEX('[1]TrialBalance (YTD)'!$G:$S,MATCH([1]TBMapping!$C164,'[1]TrialBalance (YTD)'!G:G,0),MATCH([1]TBMapping!H$3,'[1]TrialBalance (YTD)'!$G$7:$Z$7,0)),0)</f>
        <v>0</v>
      </c>
      <c r="H162" s="5" t="e">
        <f>SUMIF('[1]TrialBalance (YTD)'!G:G,B162,'[1]TrialBalance (YTD)'!H:H)</f>
        <v>#VALUE!</v>
      </c>
      <c r="I162" s="5">
        <f>IFERROR(INDEX('[1]TrialBalance (YTD)'!$G:$S,MATCH([1]TBMapping!$C164,'[1]TrialBalance (YTD)'!G:G,0),MATCH([1]TBMapping!J$3,'[1]TrialBalance (YTD)'!$G$7:$Z$7,0)),0)</f>
        <v>0</v>
      </c>
      <c r="K162" s="5" t="e">
        <f>SUMIF('[1]TrialBalance (Quarter)'!$A:$A,B162,'[1]TrialBalance (Quarter)'!$B:$B)</f>
        <v>#VALUE!</v>
      </c>
      <c r="L162" s="5">
        <f>IFERROR(INDEX('[1]TrialBalance (Quarter)'!$A:$L,MATCH([1]TBMapping!$C164,'[1]TrialBalance (Quarter)'!A:A,0),MATCH([1]TBMapping!M$3,'[1]TrialBalance (Quarter)'!$7:$7,0)),0)</f>
        <v>0</v>
      </c>
      <c r="M162" s="5">
        <f>IFERROR(INDEX('[1]TrialBalance (Quarter)'!$A:$L,MATCH([1]TBMapping!$C164,'[1]TrialBalance (Quarter)'!A:A,0),MATCH([1]TBMapping!N$3,'[1]TrialBalance (Quarter)'!$7:$7,0)),0)</f>
        <v>0</v>
      </c>
      <c r="N162" s="5">
        <f>IFERROR(INDEX('[1]TrialBalance (Quarter)'!$A:$L,MATCH([1]TBMapping!$C164,'[1]TrialBalance (Quarter)'!A:A,0),MATCH([1]TBMapping!O$3,'[1]TrialBalance (Quarter)'!$7:$7,0)),0)</f>
        <v>0</v>
      </c>
      <c r="Q162" s="4"/>
    </row>
    <row r="163" spans="1:17">
      <c r="B163" s="3">
        <v>112599</v>
      </c>
      <c r="C163" s="10" t="s">
        <v>145</v>
      </c>
      <c r="D163" s="10" t="s">
        <v>16</v>
      </c>
      <c r="E163" s="10"/>
      <c r="F163" s="5" t="e">
        <f>IF(DataExtraction="Manual",SUMIF('[1]TrialBalance (YTD)'!$C:$C,B163,'[1]TrialBalance (YTD)'!$E:$E),SUMIF('[1]TrialBalance (YTD)'!$G:$G,B163,'[1]TrialBalance (YTD)'!$I:$I))</f>
        <v>#VALUE!</v>
      </c>
      <c r="G163" s="5">
        <f>IFERROR(INDEX('[1]TrialBalance (YTD)'!$G:$S,MATCH([1]TBMapping!$C165,'[1]TrialBalance (YTD)'!G:G,0),MATCH([1]TBMapping!H$3,'[1]TrialBalance (YTD)'!$G$7:$Z$7,0)),0)</f>
        <v>0</v>
      </c>
      <c r="H163" s="5" t="e">
        <f>SUMIF('[1]TrialBalance (YTD)'!G:G,B163,'[1]TrialBalance (YTD)'!H:H)</f>
        <v>#VALUE!</v>
      </c>
      <c r="I163" s="5">
        <f>IFERROR(INDEX('[1]TrialBalance (YTD)'!$G:$S,MATCH([1]TBMapping!$C165,'[1]TrialBalance (YTD)'!G:G,0),MATCH([1]TBMapping!J$3,'[1]TrialBalance (YTD)'!$G$7:$Z$7,0)),0)</f>
        <v>0</v>
      </c>
      <c r="K163" s="5" t="e">
        <f>SUMIF('[1]TrialBalance (Quarter)'!$A:$A,B163,'[1]TrialBalance (Quarter)'!$B:$B)</f>
        <v>#VALUE!</v>
      </c>
      <c r="L163" s="5">
        <f>IFERROR(INDEX('[1]TrialBalance (Quarter)'!$A:$L,MATCH([1]TBMapping!$C165,'[1]TrialBalance (Quarter)'!A:A,0),MATCH([1]TBMapping!M$3,'[1]TrialBalance (Quarter)'!$7:$7,0)),0)</f>
        <v>0</v>
      </c>
      <c r="M163" s="5">
        <f>IFERROR(INDEX('[1]TrialBalance (Quarter)'!$A:$L,MATCH([1]TBMapping!$C165,'[1]TrialBalance (Quarter)'!A:A,0),MATCH([1]TBMapping!N$3,'[1]TrialBalance (Quarter)'!$7:$7,0)),0)</f>
        <v>0</v>
      </c>
      <c r="N163" s="5">
        <f>IFERROR(INDEX('[1]TrialBalance (Quarter)'!$A:$L,MATCH([1]TBMapping!$C165,'[1]TrialBalance (Quarter)'!A:A,0),MATCH([1]TBMapping!O$3,'[1]TrialBalance (Quarter)'!$7:$7,0)),0)</f>
        <v>0</v>
      </c>
    </row>
    <row r="164" spans="1:17">
      <c r="B164" s="3">
        <v>112600</v>
      </c>
      <c r="C164" s="11" t="s">
        <v>152</v>
      </c>
      <c r="D164" s="11" t="s">
        <v>5</v>
      </c>
      <c r="E164" s="11"/>
      <c r="F164" s="5" t="e">
        <f>IF(DataExtraction="Manual",SUMIF('[1]TrialBalance (YTD)'!$C:$C,B164,'[1]TrialBalance (YTD)'!$E:$E),SUMIF('[1]TrialBalance (YTD)'!$G:$G,B164,'[1]TrialBalance (YTD)'!$I:$I))</f>
        <v>#VALUE!</v>
      </c>
      <c r="G164" s="5">
        <f>IFERROR(INDEX('[1]TrialBalance (YTD)'!$G:$S,MATCH([1]TBMapping!$C166,'[1]TrialBalance (YTD)'!G:G,0),MATCH([1]TBMapping!H$3,'[1]TrialBalance (YTD)'!$G$7:$Z$7,0)),0)</f>
        <v>0</v>
      </c>
      <c r="H164" s="5" t="e">
        <f>SUMIF('[1]TrialBalance (YTD)'!G:G,B164,'[1]TrialBalance (YTD)'!H:H)</f>
        <v>#VALUE!</v>
      </c>
      <c r="I164" s="5">
        <f>IFERROR(INDEX('[1]TrialBalance (YTD)'!$G:$S,MATCH([1]TBMapping!$C166,'[1]TrialBalance (YTD)'!G:G,0),MATCH([1]TBMapping!J$3,'[1]TrialBalance (YTD)'!$G$7:$Z$7,0)),0)</f>
        <v>0</v>
      </c>
      <c r="K164" s="5" t="e">
        <f>SUMIF('[1]TrialBalance (Quarter)'!$A:$A,B164,'[1]TrialBalance (Quarter)'!$B:$B)</f>
        <v>#VALUE!</v>
      </c>
      <c r="L164" s="5">
        <f>IFERROR(INDEX('[1]TrialBalance (Quarter)'!$A:$L,MATCH([1]TBMapping!$C166,'[1]TrialBalance (Quarter)'!A:A,0),MATCH([1]TBMapping!M$3,'[1]TrialBalance (Quarter)'!$7:$7,0)),0)</f>
        <v>0</v>
      </c>
      <c r="M164" s="5">
        <f>IFERROR(INDEX('[1]TrialBalance (Quarter)'!$A:$L,MATCH([1]TBMapping!$C166,'[1]TrialBalance (Quarter)'!A:A,0),MATCH([1]TBMapping!N$3,'[1]TrialBalance (Quarter)'!$7:$7,0)),0)</f>
        <v>0</v>
      </c>
      <c r="N164" s="5">
        <f>IFERROR(INDEX('[1]TrialBalance (Quarter)'!$A:$L,MATCH([1]TBMapping!$C166,'[1]TrialBalance (Quarter)'!A:A,0),MATCH([1]TBMapping!O$3,'[1]TrialBalance (Quarter)'!$7:$7,0)),0)</f>
        <v>0</v>
      </c>
    </row>
    <row r="165" spans="1:17">
      <c r="A165" s="2">
        <v>105</v>
      </c>
      <c r="B165" s="3">
        <v>112610</v>
      </c>
      <c r="C165" s="10" t="s">
        <v>153</v>
      </c>
      <c r="D165" s="10" t="s">
        <v>11</v>
      </c>
      <c r="E165" s="10"/>
      <c r="F165" s="5" t="e">
        <f>IF(DataExtraction="Manual",SUMIF('[1]TrialBalance (YTD)'!$C:$C,B165,'[1]TrialBalance (YTD)'!$E:$E),SUMIF('[1]TrialBalance (YTD)'!$G:$G,B165,'[1]TrialBalance (YTD)'!$I:$I))</f>
        <v>#VALUE!</v>
      </c>
      <c r="G165" s="5">
        <f>IFERROR(INDEX('[1]TrialBalance (YTD)'!$G:$S,MATCH([1]TBMapping!$C167,'[1]TrialBalance (YTD)'!G:G,0),MATCH([1]TBMapping!H$3,'[1]TrialBalance (YTD)'!$G$7:$Z$7,0)),0)</f>
        <v>0</v>
      </c>
      <c r="H165" s="5" t="e">
        <f>SUMIF('[1]TrialBalance (YTD)'!G:G,B165,'[1]TrialBalance (YTD)'!H:H)</f>
        <v>#VALUE!</v>
      </c>
      <c r="I165" s="5">
        <f>IFERROR(INDEX('[1]TrialBalance (YTD)'!$G:$S,MATCH([1]TBMapping!$C167,'[1]TrialBalance (YTD)'!G:G,0),MATCH([1]TBMapping!J$3,'[1]TrialBalance (YTD)'!$G$7:$Z$7,0)),0)</f>
        <v>14824.8</v>
      </c>
      <c r="K165" s="5" t="e">
        <f>SUMIF('[1]TrialBalance (Quarter)'!$A:$A,B165,'[1]TrialBalance (Quarter)'!$B:$B)</f>
        <v>#VALUE!</v>
      </c>
      <c r="L165" s="5">
        <f>IFERROR(INDEX('[1]TrialBalance (Quarter)'!$A:$L,MATCH([1]TBMapping!$C167,'[1]TrialBalance (Quarter)'!A:A,0),MATCH([1]TBMapping!M$3,'[1]TrialBalance (Quarter)'!$7:$7,0)),0)</f>
        <v>0</v>
      </c>
      <c r="M165" s="5">
        <f>IFERROR(INDEX('[1]TrialBalance (Quarter)'!$A:$L,MATCH([1]TBMapping!$C167,'[1]TrialBalance (Quarter)'!A:A,0),MATCH([1]TBMapping!N$3,'[1]TrialBalance (Quarter)'!$7:$7,0)),0)</f>
        <v>5088</v>
      </c>
      <c r="N165" s="5">
        <f>IFERROR(INDEX('[1]TrialBalance (Quarter)'!$A:$L,MATCH([1]TBMapping!$C167,'[1]TrialBalance (Quarter)'!A:A,0),MATCH([1]TBMapping!O$3,'[1]TrialBalance (Quarter)'!$7:$7,0)),0)</f>
        <v>5088</v>
      </c>
    </row>
    <row r="166" spans="1:17">
      <c r="A166" s="2">
        <v>105</v>
      </c>
      <c r="B166" s="3">
        <v>112620</v>
      </c>
      <c r="C166" s="11" t="s">
        <v>154</v>
      </c>
      <c r="D166" s="11" t="s">
        <v>11</v>
      </c>
      <c r="E166" s="11"/>
      <c r="F166" s="5" t="e">
        <f>IF(DataExtraction="Manual",SUMIF('[1]TrialBalance (YTD)'!$C:$C,B166,'[1]TrialBalance (YTD)'!$E:$E),SUMIF('[1]TrialBalance (YTD)'!$G:$G,B166,'[1]TrialBalance (YTD)'!$I:$I))</f>
        <v>#VALUE!</v>
      </c>
      <c r="G166" s="5">
        <f>IFERROR(INDEX('[1]TrialBalance (YTD)'!$G:$S,MATCH([1]TBMapping!$C168,'[1]TrialBalance (YTD)'!G:G,0),MATCH([1]TBMapping!H$3,'[1]TrialBalance (YTD)'!$G$7:$Z$7,0)),0)</f>
        <v>0</v>
      </c>
      <c r="H166" s="5" t="e">
        <f>SUMIF('[1]TrialBalance (YTD)'!G:G,B166,'[1]TrialBalance (YTD)'!H:H)</f>
        <v>#VALUE!</v>
      </c>
      <c r="I166" s="5">
        <f>IFERROR(INDEX('[1]TrialBalance (YTD)'!$G:$S,MATCH([1]TBMapping!$C168,'[1]TrialBalance (YTD)'!G:G,0),MATCH([1]TBMapping!J$3,'[1]TrialBalance (YTD)'!$G$7:$Z$7,0)),0)</f>
        <v>0</v>
      </c>
      <c r="K166" s="5" t="e">
        <f>SUMIF('[1]TrialBalance (Quarter)'!$A:$A,B166,'[1]TrialBalance (Quarter)'!$B:$B)</f>
        <v>#VALUE!</v>
      </c>
      <c r="L166" s="5">
        <f>IFERROR(INDEX('[1]TrialBalance (Quarter)'!$A:$L,MATCH([1]TBMapping!$C168,'[1]TrialBalance (Quarter)'!A:A,0),MATCH([1]TBMapping!M$3,'[1]TrialBalance (Quarter)'!$7:$7,0)),0)</f>
        <v>0</v>
      </c>
      <c r="M166" s="5">
        <f>IFERROR(INDEX('[1]TrialBalance (Quarter)'!$A:$L,MATCH([1]TBMapping!$C168,'[1]TrialBalance (Quarter)'!A:A,0),MATCH([1]TBMapping!N$3,'[1]TrialBalance (Quarter)'!$7:$7,0)),0)</f>
        <v>0</v>
      </c>
      <c r="N166" s="5">
        <f>IFERROR(INDEX('[1]TrialBalance (Quarter)'!$A:$L,MATCH([1]TBMapping!$C168,'[1]TrialBalance (Quarter)'!A:A,0),MATCH([1]TBMapping!O$3,'[1]TrialBalance (Quarter)'!$7:$7,0)),0)</f>
        <v>0</v>
      </c>
    </row>
    <row r="167" spans="1:17">
      <c r="A167" s="2">
        <v>105</v>
      </c>
      <c r="B167" s="3">
        <v>112630</v>
      </c>
      <c r="C167" s="10" t="s">
        <v>155</v>
      </c>
      <c r="D167" s="10" t="s">
        <v>11</v>
      </c>
      <c r="E167" s="10"/>
      <c r="F167" s="5" t="e">
        <f>IF(DataExtraction="Manual",SUMIF('[1]TrialBalance (YTD)'!$C:$C,B167,'[1]TrialBalance (YTD)'!$E:$E),SUMIF('[1]TrialBalance (YTD)'!$G:$G,B167,'[1]TrialBalance (YTD)'!$I:$I))</f>
        <v>#VALUE!</v>
      </c>
      <c r="G167" s="5">
        <f>IFERROR(INDEX('[1]TrialBalance (YTD)'!$G:$S,MATCH([1]TBMapping!$C169,'[1]TrialBalance (YTD)'!G:G,0),MATCH([1]TBMapping!H$3,'[1]TrialBalance (YTD)'!$G$7:$Z$7,0)),0)</f>
        <v>0</v>
      </c>
      <c r="H167" s="5" t="e">
        <f>SUMIF('[1]TrialBalance (YTD)'!G:G,B167,'[1]TrialBalance (YTD)'!H:H)</f>
        <v>#VALUE!</v>
      </c>
      <c r="I167" s="5">
        <f>IFERROR(INDEX('[1]TrialBalance (YTD)'!$G:$S,MATCH([1]TBMapping!$C169,'[1]TrialBalance (YTD)'!G:G,0),MATCH([1]TBMapping!J$3,'[1]TrialBalance (YTD)'!$G$7:$Z$7,0)),0)</f>
        <v>247034.22</v>
      </c>
      <c r="K167" s="5" t="e">
        <f>SUMIF('[1]TrialBalance (Quarter)'!$A:$A,B167,'[1]TrialBalance (Quarter)'!$B:$B)</f>
        <v>#VALUE!</v>
      </c>
      <c r="L167" s="5">
        <f>IFERROR(INDEX('[1]TrialBalance (Quarter)'!$A:$L,MATCH([1]TBMapping!$C169,'[1]TrialBalance (Quarter)'!A:A,0),MATCH([1]TBMapping!M$3,'[1]TrialBalance (Quarter)'!$7:$7,0)),0)</f>
        <v>0</v>
      </c>
      <c r="M167" s="5">
        <f>IFERROR(INDEX('[1]TrialBalance (Quarter)'!$A:$L,MATCH([1]TBMapping!$C169,'[1]TrialBalance (Quarter)'!A:A,0),MATCH([1]TBMapping!N$3,'[1]TrialBalance (Quarter)'!$7:$7,0)),0)</f>
        <v>157230.69</v>
      </c>
      <c r="N167" s="5">
        <f>IFERROR(INDEX('[1]TrialBalance (Quarter)'!$A:$L,MATCH([1]TBMapping!$C169,'[1]TrialBalance (Quarter)'!A:A,0),MATCH([1]TBMapping!O$3,'[1]TrialBalance (Quarter)'!$7:$7,0)),0)</f>
        <v>247034.22</v>
      </c>
    </row>
    <row r="168" spans="1:17">
      <c r="A168" s="2">
        <v>105</v>
      </c>
      <c r="B168" s="3">
        <v>112631</v>
      </c>
      <c r="C168" s="11" t="s">
        <v>156</v>
      </c>
      <c r="D168" s="11" t="s">
        <v>11</v>
      </c>
      <c r="E168" s="11"/>
      <c r="F168" s="5" t="e">
        <f>IF(DataExtraction="Manual",SUMIF('[1]TrialBalance (YTD)'!$C:$C,B168,'[1]TrialBalance (YTD)'!$E:$E),SUMIF('[1]TrialBalance (YTD)'!$G:$G,B168,'[1]TrialBalance (YTD)'!$I:$I))</f>
        <v>#VALUE!</v>
      </c>
      <c r="G168" s="5">
        <f>IFERROR(INDEX('[1]TrialBalance (YTD)'!$G:$S,MATCH([1]TBMapping!$C170,'[1]TrialBalance (YTD)'!G:G,0),MATCH([1]TBMapping!H$3,'[1]TrialBalance (YTD)'!$G$7:$Z$7,0)),0)</f>
        <v>0</v>
      </c>
      <c r="H168" s="5" t="e">
        <f>SUMIF('[1]TrialBalance (YTD)'!G:G,B168,'[1]TrialBalance (YTD)'!H:H)</f>
        <v>#VALUE!</v>
      </c>
      <c r="I168" s="5">
        <f>IFERROR(INDEX('[1]TrialBalance (YTD)'!$G:$S,MATCH([1]TBMapping!$C170,'[1]TrialBalance (YTD)'!G:G,0),MATCH([1]TBMapping!J$3,'[1]TrialBalance (YTD)'!$G$7:$Z$7,0)),0)</f>
        <v>0</v>
      </c>
      <c r="K168" s="5" t="e">
        <f>SUMIF('[1]TrialBalance (Quarter)'!$A:$A,B168,'[1]TrialBalance (Quarter)'!$B:$B)</f>
        <v>#VALUE!</v>
      </c>
      <c r="L168" s="5">
        <f>IFERROR(INDEX('[1]TrialBalance (Quarter)'!$A:$L,MATCH([1]TBMapping!$C170,'[1]TrialBalance (Quarter)'!A:A,0),MATCH([1]TBMapping!M$3,'[1]TrialBalance (Quarter)'!$7:$7,0)),0)</f>
        <v>0</v>
      </c>
      <c r="M168" s="5">
        <f>IFERROR(INDEX('[1]TrialBalance (Quarter)'!$A:$L,MATCH([1]TBMapping!$C170,'[1]TrialBalance (Quarter)'!A:A,0),MATCH([1]TBMapping!N$3,'[1]TrialBalance (Quarter)'!$7:$7,0)),0)</f>
        <v>0</v>
      </c>
      <c r="N168" s="5">
        <f>IFERROR(INDEX('[1]TrialBalance (Quarter)'!$A:$L,MATCH([1]TBMapping!$C170,'[1]TrialBalance (Quarter)'!A:A,0),MATCH([1]TBMapping!O$3,'[1]TrialBalance (Quarter)'!$7:$7,0)),0)</f>
        <v>0</v>
      </c>
    </row>
    <row r="169" spans="1:17">
      <c r="A169" s="2">
        <v>105</v>
      </c>
      <c r="B169" s="3">
        <v>112635</v>
      </c>
      <c r="C169" s="11" t="s">
        <v>157</v>
      </c>
      <c r="D169" s="11" t="s">
        <v>11</v>
      </c>
      <c r="E169" s="11"/>
      <c r="F169" s="5" t="e">
        <f>IF(DataExtraction="Manual",SUMIF('[1]TrialBalance (YTD)'!$C:$C,B169,'[1]TrialBalance (YTD)'!$E:$E),SUMIF('[1]TrialBalance (YTD)'!$G:$G,B169,'[1]TrialBalance (YTD)'!$I:$I))</f>
        <v>#VALUE!</v>
      </c>
      <c r="G169" s="5">
        <f>IFERROR(INDEX('[1]TrialBalance (YTD)'!$G:$S,MATCH([1]TBMapping!$C171,'[1]TrialBalance (YTD)'!G:G,0),MATCH([1]TBMapping!H$3,'[1]TrialBalance (YTD)'!$G$7:$Z$7,0)),0)</f>
        <v>0</v>
      </c>
      <c r="H169" s="5" t="e">
        <f>SUMIF('[1]TrialBalance (YTD)'!G:G,B169,'[1]TrialBalance (YTD)'!H:H)</f>
        <v>#VALUE!</v>
      </c>
      <c r="I169" s="5">
        <f>IFERROR(INDEX('[1]TrialBalance (YTD)'!$G:$S,MATCH([1]TBMapping!$C171,'[1]TrialBalance (YTD)'!G:G,0),MATCH([1]TBMapping!J$3,'[1]TrialBalance (YTD)'!$G$7:$Z$7,0)),0)</f>
        <v>0</v>
      </c>
      <c r="K169" s="5" t="e">
        <f>SUMIF('[1]TrialBalance (Quarter)'!$A:$A,B169,'[1]TrialBalance (Quarter)'!$B:$B)</f>
        <v>#VALUE!</v>
      </c>
      <c r="L169" s="5">
        <f>IFERROR(INDEX('[1]TrialBalance (Quarter)'!$A:$L,MATCH([1]TBMapping!$C171,'[1]TrialBalance (Quarter)'!A:A,0),MATCH([1]TBMapping!M$3,'[1]TrialBalance (Quarter)'!$7:$7,0)),0)</f>
        <v>0</v>
      </c>
      <c r="M169" s="5">
        <f>IFERROR(INDEX('[1]TrialBalance (Quarter)'!$A:$L,MATCH([1]TBMapping!$C171,'[1]TrialBalance (Quarter)'!A:A,0),MATCH([1]TBMapping!N$3,'[1]TrialBalance (Quarter)'!$7:$7,0)),0)</f>
        <v>0</v>
      </c>
      <c r="N169" s="5">
        <f>IFERROR(INDEX('[1]TrialBalance (Quarter)'!$A:$L,MATCH([1]TBMapping!$C171,'[1]TrialBalance (Quarter)'!A:A,0),MATCH([1]TBMapping!O$3,'[1]TrialBalance (Quarter)'!$7:$7,0)),0)</f>
        <v>0</v>
      </c>
    </row>
    <row r="170" spans="1:17">
      <c r="A170" s="2">
        <v>105</v>
      </c>
      <c r="B170" s="3">
        <v>112636</v>
      </c>
      <c r="C170" s="11" t="s">
        <v>158</v>
      </c>
      <c r="D170" s="11" t="s">
        <v>11</v>
      </c>
      <c r="E170" s="11"/>
      <c r="F170" s="5" t="e">
        <f>IF(DataExtraction="Manual",SUMIF('[1]TrialBalance (YTD)'!$C:$C,B170,'[1]TrialBalance (YTD)'!$E:$E),SUMIF('[1]TrialBalance (YTD)'!$G:$G,B170,'[1]TrialBalance (YTD)'!$I:$I))</f>
        <v>#VALUE!</v>
      </c>
      <c r="G170" s="5">
        <f>IFERROR(INDEX('[1]TrialBalance (YTD)'!$G:$S,MATCH([1]TBMapping!$C172,'[1]TrialBalance (YTD)'!G:G,0),MATCH([1]TBMapping!H$3,'[1]TrialBalance (YTD)'!$G$7:$Z$7,0)),0)</f>
        <v>0</v>
      </c>
      <c r="H170" s="5" t="e">
        <f>SUMIF('[1]TrialBalance (YTD)'!G:G,B170,'[1]TrialBalance (YTD)'!H:H)</f>
        <v>#VALUE!</v>
      </c>
      <c r="I170" s="5">
        <f>IFERROR(INDEX('[1]TrialBalance (YTD)'!$G:$S,MATCH([1]TBMapping!$C172,'[1]TrialBalance (YTD)'!G:G,0),MATCH([1]TBMapping!J$3,'[1]TrialBalance (YTD)'!$G$7:$Z$7,0)),0)</f>
        <v>0</v>
      </c>
      <c r="K170" s="5" t="e">
        <f>SUMIF('[1]TrialBalance (Quarter)'!$A:$A,B170,'[1]TrialBalance (Quarter)'!$B:$B)</f>
        <v>#VALUE!</v>
      </c>
      <c r="L170" s="5">
        <f>IFERROR(INDEX('[1]TrialBalance (Quarter)'!$A:$L,MATCH([1]TBMapping!$C172,'[1]TrialBalance (Quarter)'!A:A,0),MATCH([1]TBMapping!M$3,'[1]TrialBalance (Quarter)'!$7:$7,0)),0)</f>
        <v>0</v>
      </c>
      <c r="M170" s="5">
        <f>IFERROR(INDEX('[1]TrialBalance (Quarter)'!$A:$L,MATCH([1]TBMapping!$C172,'[1]TrialBalance (Quarter)'!A:A,0),MATCH([1]TBMapping!N$3,'[1]TrialBalance (Quarter)'!$7:$7,0)),0)</f>
        <v>0</v>
      </c>
      <c r="N170" s="5">
        <f>IFERROR(INDEX('[1]TrialBalance (Quarter)'!$A:$L,MATCH([1]TBMapping!$C172,'[1]TrialBalance (Quarter)'!A:A,0),MATCH([1]TBMapping!O$3,'[1]TrialBalance (Quarter)'!$7:$7,0)),0)</f>
        <v>0</v>
      </c>
    </row>
    <row r="171" spans="1:17">
      <c r="A171" s="2">
        <v>105</v>
      </c>
      <c r="B171" s="3">
        <v>112640</v>
      </c>
      <c r="C171" s="10" t="s">
        <v>159</v>
      </c>
      <c r="D171" s="10" t="s">
        <v>11</v>
      </c>
      <c r="E171" s="10"/>
      <c r="F171" s="5" t="e">
        <f>IF(DataExtraction="Manual",SUMIF('[1]TrialBalance (YTD)'!$C:$C,B171,'[1]TrialBalance (YTD)'!$E:$E),SUMIF('[1]TrialBalance (YTD)'!$G:$G,B171,'[1]TrialBalance (YTD)'!$I:$I))</f>
        <v>#VALUE!</v>
      </c>
      <c r="G171" s="5">
        <f>IFERROR(INDEX('[1]TrialBalance (YTD)'!$G:$S,MATCH([1]TBMapping!$C173,'[1]TrialBalance (YTD)'!G:G,0),MATCH([1]TBMapping!H$3,'[1]TrialBalance (YTD)'!$G$7:$Z$7,0)),0)</f>
        <v>0</v>
      </c>
      <c r="H171" s="5" t="e">
        <f>SUMIF('[1]TrialBalance (YTD)'!G:G,B171,'[1]TrialBalance (YTD)'!H:H)</f>
        <v>#VALUE!</v>
      </c>
      <c r="I171" s="5">
        <f>IFERROR(INDEX('[1]TrialBalance (YTD)'!$G:$S,MATCH([1]TBMapping!$C173,'[1]TrialBalance (YTD)'!G:G,0),MATCH([1]TBMapping!J$3,'[1]TrialBalance (YTD)'!$G$7:$Z$7,0)),0)</f>
        <v>0</v>
      </c>
      <c r="K171" s="5" t="e">
        <f>SUMIF('[1]TrialBalance (Quarter)'!$A:$A,B171,'[1]TrialBalance (Quarter)'!$B:$B)</f>
        <v>#VALUE!</v>
      </c>
      <c r="L171" s="5">
        <f>IFERROR(INDEX('[1]TrialBalance (Quarter)'!$A:$L,MATCH([1]TBMapping!$C173,'[1]TrialBalance (Quarter)'!A:A,0),MATCH([1]TBMapping!M$3,'[1]TrialBalance (Quarter)'!$7:$7,0)),0)</f>
        <v>0</v>
      </c>
      <c r="M171" s="5">
        <f>IFERROR(INDEX('[1]TrialBalance (Quarter)'!$A:$L,MATCH([1]TBMapping!$C173,'[1]TrialBalance (Quarter)'!A:A,0),MATCH([1]TBMapping!N$3,'[1]TrialBalance (Quarter)'!$7:$7,0)),0)</f>
        <v>0</v>
      </c>
      <c r="N171" s="5">
        <f>IFERROR(INDEX('[1]TrialBalance (Quarter)'!$A:$L,MATCH([1]TBMapping!$C173,'[1]TrialBalance (Quarter)'!A:A,0),MATCH([1]TBMapping!O$3,'[1]TrialBalance (Quarter)'!$7:$7,0)),0)</f>
        <v>0</v>
      </c>
    </row>
    <row r="172" spans="1:17">
      <c r="A172" s="2">
        <v>105</v>
      </c>
      <c r="B172" s="3">
        <v>112650</v>
      </c>
      <c r="C172" s="11" t="s">
        <v>160</v>
      </c>
      <c r="D172" s="11" t="s">
        <v>11</v>
      </c>
      <c r="E172" s="11"/>
      <c r="F172" s="5" t="e">
        <f>IF(DataExtraction="Manual",SUMIF('[1]TrialBalance (YTD)'!$C:$C,B172,'[1]TrialBalance (YTD)'!$E:$E),SUMIF('[1]TrialBalance (YTD)'!$G:$G,B172,'[1]TrialBalance (YTD)'!$I:$I))</f>
        <v>#VALUE!</v>
      </c>
      <c r="G172" s="5">
        <f>IFERROR(INDEX('[1]TrialBalance (YTD)'!$G:$S,MATCH([1]TBMapping!$C174,'[1]TrialBalance (YTD)'!G:G,0),MATCH([1]TBMapping!H$3,'[1]TrialBalance (YTD)'!$G$7:$Z$7,0)),0)</f>
        <v>0</v>
      </c>
      <c r="H172" s="5" t="e">
        <f>SUMIF('[1]TrialBalance (YTD)'!G:G,B172,'[1]TrialBalance (YTD)'!H:H)</f>
        <v>#VALUE!</v>
      </c>
      <c r="I172" s="5">
        <f>IFERROR(INDEX('[1]TrialBalance (YTD)'!$G:$S,MATCH([1]TBMapping!$C174,'[1]TrialBalance (YTD)'!G:G,0),MATCH([1]TBMapping!J$3,'[1]TrialBalance (YTD)'!$G$7:$Z$7,0)),0)</f>
        <v>0</v>
      </c>
      <c r="K172" s="5" t="e">
        <f>SUMIF('[1]TrialBalance (Quarter)'!$A:$A,B172,'[1]TrialBalance (Quarter)'!$B:$B)</f>
        <v>#VALUE!</v>
      </c>
      <c r="L172" s="5">
        <f>IFERROR(INDEX('[1]TrialBalance (Quarter)'!$A:$L,MATCH([1]TBMapping!$C174,'[1]TrialBalance (Quarter)'!A:A,0),MATCH([1]TBMapping!M$3,'[1]TrialBalance (Quarter)'!$7:$7,0)),0)</f>
        <v>0</v>
      </c>
      <c r="M172" s="5">
        <f>IFERROR(INDEX('[1]TrialBalance (Quarter)'!$A:$L,MATCH([1]TBMapping!$C174,'[1]TrialBalance (Quarter)'!A:A,0),MATCH([1]TBMapping!N$3,'[1]TrialBalance (Quarter)'!$7:$7,0)),0)</f>
        <v>0</v>
      </c>
      <c r="N172" s="5">
        <f>IFERROR(INDEX('[1]TrialBalance (Quarter)'!$A:$L,MATCH([1]TBMapping!$C174,'[1]TrialBalance (Quarter)'!A:A,0),MATCH([1]TBMapping!O$3,'[1]TrialBalance (Quarter)'!$7:$7,0)),0)</f>
        <v>0</v>
      </c>
    </row>
    <row r="173" spans="1:17">
      <c r="A173" s="2">
        <v>105</v>
      </c>
      <c r="B173" s="3">
        <v>112651</v>
      </c>
      <c r="C173" s="10" t="s">
        <v>161</v>
      </c>
      <c r="D173" s="10" t="s">
        <v>11</v>
      </c>
      <c r="E173" s="10"/>
      <c r="F173" s="5" t="e">
        <f>IF(DataExtraction="Manual",SUMIF('[1]TrialBalance (YTD)'!$C:$C,B173,'[1]TrialBalance (YTD)'!$E:$E),SUMIF('[1]TrialBalance (YTD)'!$G:$G,B173,'[1]TrialBalance (YTD)'!$I:$I))</f>
        <v>#VALUE!</v>
      </c>
      <c r="G173" s="5">
        <f>IFERROR(INDEX('[1]TrialBalance (YTD)'!$G:$S,MATCH([1]TBMapping!$C175,'[1]TrialBalance (YTD)'!G:G,0),MATCH([1]TBMapping!H$3,'[1]TrialBalance (YTD)'!$G$7:$Z$7,0)),0)</f>
        <v>0</v>
      </c>
      <c r="H173" s="5" t="e">
        <f>SUMIF('[1]TrialBalance (YTD)'!G:G,B173,'[1]TrialBalance (YTD)'!H:H)</f>
        <v>#VALUE!</v>
      </c>
      <c r="I173" s="5">
        <f>IFERROR(INDEX('[1]TrialBalance (YTD)'!$G:$S,MATCH([1]TBMapping!$C175,'[1]TrialBalance (YTD)'!G:G,0),MATCH([1]TBMapping!J$3,'[1]TrialBalance (YTD)'!$G$7:$Z$7,0)),0)</f>
        <v>0</v>
      </c>
      <c r="K173" s="5" t="e">
        <f>SUMIF('[1]TrialBalance (Quarter)'!$A:$A,B173,'[1]TrialBalance (Quarter)'!$B:$B)</f>
        <v>#VALUE!</v>
      </c>
      <c r="L173" s="5">
        <f>IFERROR(INDEX('[1]TrialBalance (Quarter)'!$A:$L,MATCH([1]TBMapping!$C175,'[1]TrialBalance (Quarter)'!A:A,0),MATCH([1]TBMapping!M$3,'[1]TrialBalance (Quarter)'!$7:$7,0)),0)</f>
        <v>0</v>
      </c>
      <c r="M173" s="5">
        <f>IFERROR(INDEX('[1]TrialBalance (Quarter)'!$A:$L,MATCH([1]TBMapping!$C175,'[1]TrialBalance (Quarter)'!A:A,0),MATCH([1]TBMapping!N$3,'[1]TrialBalance (Quarter)'!$7:$7,0)),0)</f>
        <v>0</v>
      </c>
      <c r="N173" s="5">
        <f>IFERROR(INDEX('[1]TrialBalance (Quarter)'!$A:$L,MATCH([1]TBMapping!$C175,'[1]TrialBalance (Quarter)'!A:A,0),MATCH([1]TBMapping!O$3,'[1]TrialBalance (Quarter)'!$7:$7,0)),0)</f>
        <v>0</v>
      </c>
    </row>
    <row r="174" spans="1:17">
      <c r="A174" s="2">
        <v>105</v>
      </c>
      <c r="B174" s="3">
        <v>112655</v>
      </c>
      <c r="C174" s="11" t="s">
        <v>162</v>
      </c>
      <c r="D174" s="11" t="s">
        <v>11</v>
      </c>
      <c r="E174" s="11"/>
      <c r="F174" s="5" t="e">
        <f>IF(DataExtraction="Manual",SUMIF('[1]TrialBalance (YTD)'!$C:$C,B174,'[1]TrialBalance (YTD)'!$E:$E),SUMIF('[1]TrialBalance (YTD)'!$G:$G,B174,'[1]TrialBalance (YTD)'!$I:$I))</f>
        <v>#VALUE!</v>
      </c>
      <c r="G174" s="5">
        <f>IFERROR(INDEX('[1]TrialBalance (YTD)'!$G:$S,MATCH([1]TBMapping!$C176,'[1]TrialBalance (YTD)'!G:G,0),MATCH([1]TBMapping!H$3,'[1]TrialBalance (YTD)'!$G$7:$Z$7,0)),0)</f>
        <v>0</v>
      </c>
      <c r="H174" s="5" t="e">
        <f>SUMIF('[1]TrialBalance (YTD)'!G:G,B174,'[1]TrialBalance (YTD)'!H:H)</f>
        <v>#VALUE!</v>
      </c>
      <c r="I174" s="5">
        <f>IFERROR(INDEX('[1]TrialBalance (YTD)'!$G:$S,MATCH([1]TBMapping!$C176,'[1]TrialBalance (YTD)'!G:G,0),MATCH([1]TBMapping!J$3,'[1]TrialBalance (YTD)'!$G$7:$Z$7,0)),0)</f>
        <v>0</v>
      </c>
      <c r="K174" s="5" t="e">
        <f>SUMIF('[1]TrialBalance (Quarter)'!$A:$A,B174,'[1]TrialBalance (Quarter)'!$B:$B)</f>
        <v>#VALUE!</v>
      </c>
      <c r="L174" s="5">
        <f>IFERROR(INDEX('[1]TrialBalance (Quarter)'!$A:$L,MATCH([1]TBMapping!$C176,'[1]TrialBalance (Quarter)'!A:A,0),MATCH([1]TBMapping!M$3,'[1]TrialBalance (Quarter)'!$7:$7,0)),0)</f>
        <v>0</v>
      </c>
      <c r="M174" s="5">
        <f>IFERROR(INDEX('[1]TrialBalance (Quarter)'!$A:$L,MATCH([1]TBMapping!$C176,'[1]TrialBalance (Quarter)'!A:A,0),MATCH([1]TBMapping!N$3,'[1]TrialBalance (Quarter)'!$7:$7,0)),0)</f>
        <v>0</v>
      </c>
      <c r="N174" s="5">
        <f>IFERROR(INDEX('[1]TrialBalance (Quarter)'!$A:$L,MATCH([1]TBMapping!$C176,'[1]TrialBalance (Quarter)'!A:A,0),MATCH([1]TBMapping!O$3,'[1]TrialBalance (Quarter)'!$7:$7,0)),0)</f>
        <v>0</v>
      </c>
    </row>
    <row r="175" spans="1:17">
      <c r="A175" s="2">
        <v>105</v>
      </c>
      <c r="B175" s="3">
        <v>112660</v>
      </c>
      <c r="C175" s="10" t="s">
        <v>163</v>
      </c>
      <c r="D175" s="10" t="s">
        <v>11</v>
      </c>
      <c r="E175" s="10"/>
      <c r="F175" s="5" t="e">
        <f>IF(DataExtraction="Manual",SUMIF('[1]TrialBalance (YTD)'!$C:$C,B175,'[1]TrialBalance (YTD)'!$E:$E),SUMIF('[1]TrialBalance (YTD)'!$G:$G,B175,'[1]TrialBalance (YTD)'!$I:$I))</f>
        <v>#VALUE!</v>
      </c>
      <c r="G175" s="5">
        <f>IFERROR(INDEX('[1]TrialBalance (YTD)'!$G:$S,MATCH([1]TBMapping!$C177,'[1]TrialBalance (YTD)'!G:G,0),MATCH([1]TBMapping!H$3,'[1]TrialBalance (YTD)'!$G$7:$Z$7,0)),0)</f>
        <v>0</v>
      </c>
      <c r="H175" s="5" t="e">
        <f>SUMIF('[1]TrialBalance (YTD)'!G:G,B175,'[1]TrialBalance (YTD)'!H:H)</f>
        <v>#VALUE!</v>
      </c>
      <c r="I175" s="5">
        <f>IFERROR(INDEX('[1]TrialBalance (YTD)'!$G:$S,MATCH([1]TBMapping!$C177,'[1]TrialBalance (YTD)'!G:G,0),MATCH([1]TBMapping!J$3,'[1]TrialBalance (YTD)'!$G$7:$Z$7,0)),0)</f>
        <v>0</v>
      </c>
      <c r="K175" s="5" t="e">
        <f>SUMIF('[1]TrialBalance (Quarter)'!$A:$A,B175,'[1]TrialBalance (Quarter)'!$B:$B)</f>
        <v>#VALUE!</v>
      </c>
      <c r="L175" s="5">
        <f>IFERROR(INDEX('[1]TrialBalance (Quarter)'!$A:$L,MATCH([1]TBMapping!$C177,'[1]TrialBalance (Quarter)'!A:A,0),MATCH([1]TBMapping!M$3,'[1]TrialBalance (Quarter)'!$7:$7,0)),0)</f>
        <v>0</v>
      </c>
      <c r="M175" s="5">
        <f>IFERROR(INDEX('[1]TrialBalance (Quarter)'!$A:$L,MATCH([1]TBMapping!$C177,'[1]TrialBalance (Quarter)'!A:A,0),MATCH([1]TBMapping!N$3,'[1]TrialBalance (Quarter)'!$7:$7,0)),0)</f>
        <v>0</v>
      </c>
      <c r="N175" s="5">
        <f>IFERROR(INDEX('[1]TrialBalance (Quarter)'!$A:$L,MATCH([1]TBMapping!$C177,'[1]TrialBalance (Quarter)'!A:A,0),MATCH([1]TBMapping!O$3,'[1]TrialBalance (Quarter)'!$7:$7,0)),0)</f>
        <v>0</v>
      </c>
    </row>
    <row r="176" spans="1:17">
      <c r="A176" s="2">
        <v>105</v>
      </c>
      <c r="B176" s="3">
        <v>112665</v>
      </c>
      <c r="C176" s="11" t="s">
        <v>164</v>
      </c>
      <c r="D176" s="11" t="s">
        <v>11</v>
      </c>
      <c r="E176" s="11"/>
      <c r="F176" s="5" t="e">
        <f>IF(DataExtraction="Manual",SUMIF('[1]TrialBalance (YTD)'!$C:$C,B176,'[1]TrialBalance (YTD)'!$E:$E),SUMIF('[1]TrialBalance (YTD)'!$G:$G,B176,'[1]TrialBalance (YTD)'!$I:$I))</f>
        <v>#VALUE!</v>
      </c>
      <c r="G176" s="5">
        <f>IFERROR(INDEX('[1]TrialBalance (YTD)'!$G:$S,MATCH([1]TBMapping!$C178,'[1]TrialBalance (YTD)'!G:G,0),MATCH([1]TBMapping!H$3,'[1]TrialBalance (YTD)'!$G$7:$Z$7,0)),0)</f>
        <v>0</v>
      </c>
      <c r="H176" s="5" t="e">
        <f>SUMIF('[1]TrialBalance (YTD)'!G:G,B176,'[1]TrialBalance (YTD)'!H:H)</f>
        <v>#VALUE!</v>
      </c>
      <c r="I176" s="5">
        <f>IFERROR(INDEX('[1]TrialBalance (YTD)'!$G:$S,MATCH([1]TBMapping!$C178,'[1]TrialBalance (YTD)'!G:G,0),MATCH([1]TBMapping!J$3,'[1]TrialBalance (YTD)'!$G$7:$Z$7,0)),0)</f>
        <v>0</v>
      </c>
      <c r="K176" s="5" t="e">
        <f>SUMIF('[1]TrialBalance (Quarter)'!$A:$A,B176,'[1]TrialBalance (Quarter)'!$B:$B)</f>
        <v>#VALUE!</v>
      </c>
      <c r="L176" s="5">
        <f>IFERROR(INDEX('[1]TrialBalance (Quarter)'!$A:$L,MATCH([1]TBMapping!$C178,'[1]TrialBalance (Quarter)'!A:A,0),MATCH([1]TBMapping!M$3,'[1]TrialBalance (Quarter)'!$7:$7,0)),0)</f>
        <v>0</v>
      </c>
      <c r="M176" s="5">
        <f>IFERROR(INDEX('[1]TrialBalance (Quarter)'!$A:$L,MATCH([1]TBMapping!$C178,'[1]TrialBalance (Quarter)'!A:A,0),MATCH([1]TBMapping!N$3,'[1]TrialBalance (Quarter)'!$7:$7,0)),0)</f>
        <v>0</v>
      </c>
      <c r="N176" s="5">
        <f>IFERROR(INDEX('[1]TrialBalance (Quarter)'!$A:$L,MATCH([1]TBMapping!$C178,'[1]TrialBalance (Quarter)'!A:A,0),MATCH([1]TBMapping!O$3,'[1]TrialBalance (Quarter)'!$7:$7,0)),0)</f>
        <v>0</v>
      </c>
    </row>
    <row r="177" spans="1:14">
      <c r="A177" s="2">
        <v>105</v>
      </c>
      <c r="B177" s="3">
        <v>112670</v>
      </c>
      <c r="C177" s="10" t="s">
        <v>165</v>
      </c>
      <c r="D177" s="10" t="s">
        <v>11</v>
      </c>
      <c r="E177" s="10"/>
      <c r="F177" s="5" t="e">
        <f>IF(DataExtraction="Manual",SUMIF('[1]TrialBalance (YTD)'!$C:$C,B177,'[1]TrialBalance (YTD)'!$E:$E),SUMIF('[1]TrialBalance (YTD)'!$G:$G,B177,'[1]TrialBalance (YTD)'!$I:$I))</f>
        <v>#VALUE!</v>
      </c>
      <c r="G177" s="5">
        <f>IFERROR(INDEX('[1]TrialBalance (YTD)'!$G:$S,MATCH([1]TBMapping!$C179,'[1]TrialBalance (YTD)'!G:G,0),MATCH([1]TBMapping!H$3,'[1]TrialBalance (YTD)'!$G$7:$Z$7,0)),0)</f>
        <v>0</v>
      </c>
      <c r="H177" s="5" t="e">
        <f>SUMIF('[1]TrialBalance (YTD)'!G:G,B177,'[1]TrialBalance (YTD)'!H:H)</f>
        <v>#VALUE!</v>
      </c>
      <c r="I177" s="5">
        <f>IFERROR(INDEX('[1]TrialBalance (YTD)'!$G:$S,MATCH([1]TBMapping!$C179,'[1]TrialBalance (YTD)'!G:G,0),MATCH([1]TBMapping!J$3,'[1]TrialBalance (YTD)'!$G$7:$Z$7,0)),0)</f>
        <v>0</v>
      </c>
      <c r="K177" s="5" t="e">
        <f>SUMIF('[1]TrialBalance (Quarter)'!$A:$A,B177,'[1]TrialBalance (Quarter)'!$B:$B)</f>
        <v>#VALUE!</v>
      </c>
      <c r="L177" s="5">
        <f>IFERROR(INDEX('[1]TrialBalance (Quarter)'!$A:$L,MATCH([1]TBMapping!$C179,'[1]TrialBalance (Quarter)'!A:A,0),MATCH([1]TBMapping!M$3,'[1]TrialBalance (Quarter)'!$7:$7,0)),0)</f>
        <v>0</v>
      </c>
      <c r="M177" s="5">
        <f>IFERROR(INDEX('[1]TrialBalance (Quarter)'!$A:$L,MATCH([1]TBMapping!$C179,'[1]TrialBalance (Quarter)'!A:A,0),MATCH([1]TBMapping!N$3,'[1]TrialBalance (Quarter)'!$7:$7,0)),0)</f>
        <v>0</v>
      </c>
      <c r="N177" s="5">
        <f>IFERROR(INDEX('[1]TrialBalance (Quarter)'!$A:$L,MATCH([1]TBMapping!$C179,'[1]TrialBalance (Quarter)'!A:A,0),MATCH([1]TBMapping!O$3,'[1]TrialBalance (Quarter)'!$7:$7,0)),0)</f>
        <v>0</v>
      </c>
    </row>
    <row r="178" spans="1:14">
      <c r="A178" s="2">
        <v>105</v>
      </c>
      <c r="B178" s="3">
        <v>112675</v>
      </c>
      <c r="C178" s="11" t="s">
        <v>166</v>
      </c>
      <c r="D178" s="11" t="s">
        <v>11</v>
      </c>
      <c r="E178" s="11"/>
      <c r="F178" s="5" t="e">
        <f>IF(DataExtraction="Manual",SUMIF('[1]TrialBalance (YTD)'!$C:$C,B178,'[1]TrialBalance (YTD)'!$E:$E),SUMIF('[1]TrialBalance (YTD)'!$G:$G,B178,'[1]TrialBalance (YTD)'!$I:$I))</f>
        <v>#VALUE!</v>
      </c>
      <c r="G178" s="5">
        <f>IFERROR(INDEX('[1]TrialBalance (YTD)'!$G:$S,MATCH([1]TBMapping!$C180,'[1]TrialBalance (YTD)'!G:G,0),MATCH([1]TBMapping!H$3,'[1]TrialBalance (YTD)'!$G$7:$Z$7,0)),0)</f>
        <v>0</v>
      </c>
      <c r="H178" s="5" t="e">
        <f>SUMIF('[1]TrialBalance (YTD)'!G:G,B178,'[1]TrialBalance (YTD)'!H:H)</f>
        <v>#VALUE!</v>
      </c>
      <c r="I178" s="5">
        <f>IFERROR(INDEX('[1]TrialBalance (YTD)'!$G:$S,MATCH([1]TBMapping!$C180,'[1]TrialBalance (YTD)'!G:G,0),MATCH([1]TBMapping!J$3,'[1]TrialBalance (YTD)'!$G$7:$Z$7,0)),0)</f>
        <v>0</v>
      </c>
      <c r="K178" s="5" t="e">
        <f>SUMIF('[1]TrialBalance (Quarter)'!$A:$A,B178,'[1]TrialBalance (Quarter)'!$B:$B)</f>
        <v>#VALUE!</v>
      </c>
      <c r="L178" s="5">
        <f>IFERROR(INDEX('[1]TrialBalance (Quarter)'!$A:$L,MATCH([1]TBMapping!$C180,'[1]TrialBalance (Quarter)'!A:A,0),MATCH([1]TBMapping!M$3,'[1]TrialBalance (Quarter)'!$7:$7,0)),0)</f>
        <v>0</v>
      </c>
      <c r="M178" s="5">
        <f>IFERROR(INDEX('[1]TrialBalance (Quarter)'!$A:$L,MATCH([1]TBMapping!$C180,'[1]TrialBalance (Quarter)'!A:A,0),MATCH([1]TBMapping!N$3,'[1]TrialBalance (Quarter)'!$7:$7,0)),0)</f>
        <v>0</v>
      </c>
      <c r="N178" s="5">
        <f>IFERROR(INDEX('[1]TrialBalance (Quarter)'!$A:$L,MATCH([1]TBMapping!$C180,'[1]TrialBalance (Quarter)'!A:A,0),MATCH([1]TBMapping!O$3,'[1]TrialBalance (Quarter)'!$7:$7,0)),0)</f>
        <v>0</v>
      </c>
    </row>
    <row r="179" spans="1:14">
      <c r="A179" s="2">
        <v>105</v>
      </c>
      <c r="B179" s="3">
        <v>112680</v>
      </c>
      <c r="C179" s="10" t="s">
        <v>167</v>
      </c>
      <c r="D179" s="10" t="s">
        <v>11</v>
      </c>
      <c r="E179" s="10"/>
      <c r="F179" s="5" t="e">
        <f>IF(DataExtraction="Manual",SUMIF('[1]TrialBalance (YTD)'!$C:$C,B179,'[1]TrialBalance (YTD)'!$E:$E),SUMIF('[1]TrialBalance (YTD)'!$G:$G,B179,'[1]TrialBalance (YTD)'!$I:$I))</f>
        <v>#VALUE!</v>
      </c>
      <c r="G179" s="5">
        <f>IFERROR(INDEX('[1]TrialBalance (YTD)'!$G:$S,MATCH([1]TBMapping!$C181,'[1]TrialBalance (YTD)'!G:G,0),MATCH([1]TBMapping!H$3,'[1]TrialBalance (YTD)'!$G$7:$Z$7,0)),0)</f>
        <v>0</v>
      </c>
      <c r="H179" s="5" t="e">
        <f>SUMIF('[1]TrialBalance (YTD)'!G:G,B179,'[1]TrialBalance (YTD)'!H:H)</f>
        <v>#VALUE!</v>
      </c>
      <c r="I179" s="5">
        <f>IFERROR(INDEX('[1]TrialBalance (YTD)'!$G:$S,MATCH([1]TBMapping!$C181,'[1]TrialBalance (YTD)'!G:G,0),MATCH([1]TBMapping!J$3,'[1]TrialBalance (YTD)'!$G$7:$Z$7,0)),0)</f>
        <v>0</v>
      </c>
      <c r="K179" s="5" t="e">
        <f>SUMIF('[1]TrialBalance (Quarter)'!$A:$A,B179,'[1]TrialBalance (Quarter)'!$B:$B)</f>
        <v>#VALUE!</v>
      </c>
      <c r="L179" s="5">
        <f>IFERROR(INDEX('[1]TrialBalance (Quarter)'!$A:$L,MATCH([1]TBMapping!$C181,'[1]TrialBalance (Quarter)'!A:A,0),MATCH([1]TBMapping!M$3,'[1]TrialBalance (Quarter)'!$7:$7,0)),0)</f>
        <v>0</v>
      </c>
      <c r="M179" s="5">
        <f>IFERROR(INDEX('[1]TrialBalance (Quarter)'!$A:$L,MATCH([1]TBMapping!$C181,'[1]TrialBalance (Quarter)'!A:A,0),MATCH([1]TBMapping!N$3,'[1]TrialBalance (Quarter)'!$7:$7,0)),0)</f>
        <v>0</v>
      </c>
      <c r="N179" s="5">
        <f>IFERROR(INDEX('[1]TrialBalance (Quarter)'!$A:$L,MATCH([1]TBMapping!$C181,'[1]TrialBalance (Quarter)'!A:A,0),MATCH([1]TBMapping!O$3,'[1]TrialBalance (Quarter)'!$7:$7,0)),0)</f>
        <v>0</v>
      </c>
    </row>
    <row r="180" spans="1:14">
      <c r="B180" s="3">
        <v>112699</v>
      </c>
      <c r="C180" s="11" t="s">
        <v>168</v>
      </c>
      <c r="D180" s="11" t="s">
        <v>16</v>
      </c>
      <c r="E180" s="11"/>
      <c r="F180" s="5" t="e">
        <f>IF(DataExtraction="Manual",SUMIF('[1]TrialBalance (YTD)'!$C:$C,B180,'[1]TrialBalance (YTD)'!$E:$E),SUMIF('[1]TrialBalance (YTD)'!$G:$G,B180,'[1]TrialBalance (YTD)'!$I:$I))</f>
        <v>#VALUE!</v>
      </c>
      <c r="G180" s="5">
        <f>IFERROR(INDEX('[1]TrialBalance (YTD)'!$G:$S,MATCH([1]TBMapping!$C182,'[1]TrialBalance (YTD)'!G:G,0),MATCH([1]TBMapping!H$3,'[1]TrialBalance (YTD)'!$G$7:$Z$7,0)),0)</f>
        <v>0</v>
      </c>
      <c r="H180" s="5" t="e">
        <f>SUMIF('[1]TrialBalance (YTD)'!G:G,B180,'[1]TrialBalance (YTD)'!H:H)</f>
        <v>#VALUE!</v>
      </c>
      <c r="I180" s="5">
        <f>IFERROR(INDEX('[1]TrialBalance (YTD)'!$G:$S,MATCH([1]TBMapping!$C182,'[1]TrialBalance (YTD)'!G:G,0),MATCH([1]TBMapping!J$3,'[1]TrialBalance (YTD)'!$G$7:$Z$7,0)),0)</f>
        <v>0</v>
      </c>
      <c r="K180" s="5" t="e">
        <f>SUMIF('[1]TrialBalance (Quarter)'!$A:$A,B180,'[1]TrialBalance (Quarter)'!$B:$B)</f>
        <v>#VALUE!</v>
      </c>
      <c r="L180" s="5">
        <f>IFERROR(INDEX('[1]TrialBalance (Quarter)'!$A:$L,MATCH([1]TBMapping!$C182,'[1]TrialBalance (Quarter)'!A:A,0),MATCH([1]TBMapping!M$3,'[1]TrialBalance (Quarter)'!$7:$7,0)),0)</f>
        <v>0</v>
      </c>
      <c r="M180" s="5">
        <f>IFERROR(INDEX('[1]TrialBalance (Quarter)'!$A:$L,MATCH([1]TBMapping!$C182,'[1]TrialBalance (Quarter)'!A:A,0),MATCH([1]TBMapping!N$3,'[1]TrialBalance (Quarter)'!$7:$7,0)),0)</f>
        <v>0</v>
      </c>
      <c r="N180" s="5">
        <f>IFERROR(INDEX('[1]TrialBalance (Quarter)'!$A:$L,MATCH([1]TBMapping!$C182,'[1]TrialBalance (Quarter)'!A:A,0),MATCH([1]TBMapping!O$3,'[1]TrialBalance (Quarter)'!$7:$7,0)),0)</f>
        <v>0</v>
      </c>
    </row>
    <row r="181" spans="1:14">
      <c r="B181" s="3">
        <v>112700</v>
      </c>
      <c r="C181" s="10" t="s">
        <v>169</v>
      </c>
      <c r="D181" s="10" t="s">
        <v>5</v>
      </c>
      <c r="E181" s="10"/>
      <c r="F181" s="5" t="e">
        <f>IF(DataExtraction="Manual",SUMIF('[1]TrialBalance (YTD)'!$C:$C,B181,'[1]TrialBalance (YTD)'!$E:$E),SUMIF('[1]TrialBalance (YTD)'!$G:$G,B181,'[1]TrialBalance (YTD)'!$I:$I))</f>
        <v>#VALUE!</v>
      </c>
      <c r="G181" s="5">
        <f>IFERROR(INDEX('[1]TrialBalance (YTD)'!$G:$S,MATCH([1]TBMapping!$C183,'[1]TrialBalance (YTD)'!G:G,0),MATCH([1]TBMapping!H$3,'[1]TrialBalance (YTD)'!$G$7:$Z$7,0)),0)</f>
        <v>0</v>
      </c>
      <c r="H181" s="5" t="e">
        <f>SUMIF('[1]TrialBalance (YTD)'!G:G,B181,'[1]TrialBalance (YTD)'!H:H)</f>
        <v>#VALUE!</v>
      </c>
      <c r="I181" s="5">
        <f>IFERROR(INDEX('[1]TrialBalance (YTD)'!$G:$S,MATCH([1]TBMapping!$C183,'[1]TrialBalance (YTD)'!G:G,0),MATCH([1]TBMapping!J$3,'[1]TrialBalance (YTD)'!$G$7:$Z$7,0)),0)</f>
        <v>0</v>
      </c>
      <c r="K181" s="5" t="e">
        <f>SUMIF('[1]TrialBalance (Quarter)'!$A:$A,B181,'[1]TrialBalance (Quarter)'!$B:$B)</f>
        <v>#VALUE!</v>
      </c>
      <c r="L181" s="5">
        <f>IFERROR(INDEX('[1]TrialBalance (Quarter)'!$A:$L,MATCH([1]TBMapping!$C183,'[1]TrialBalance (Quarter)'!A:A,0),MATCH([1]TBMapping!M$3,'[1]TrialBalance (Quarter)'!$7:$7,0)),0)</f>
        <v>0</v>
      </c>
      <c r="M181" s="5">
        <f>IFERROR(INDEX('[1]TrialBalance (Quarter)'!$A:$L,MATCH([1]TBMapping!$C183,'[1]TrialBalance (Quarter)'!A:A,0),MATCH([1]TBMapping!N$3,'[1]TrialBalance (Quarter)'!$7:$7,0)),0)</f>
        <v>0</v>
      </c>
      <c r="N181" s="5">
        <f>IFERROR(INDEX('[1]TrialBalance (Quarter)'!$A:$L,MATCH([1]TBMapping!$C183,'[1]TrialBalance (Quarter)'!A:A,0),MATCH([1]TBMapping!O$3,'[1]TrialBalance (Quarter)'!$7:$7,0)),0)</f>
        <v>0</v>
      </c>
    </row>
    <row r="182" spans="1:14">
      <c r="B182" s="3">
        <v>112720</v>
      </c>
      <c r="C182" s="11" t="s">
        <v>170</v>
      </c>
      <c r="D182" s="11" t="s">
        <v>11</v>
      </c>
      <c r="E182" s="11"/>
      <c r="F182" s="5" t="e">
        <f>IF(DataExtraction="Manual",SUMIF('[1]TrialBalance (YTD)'!$C:$C,B182,'[1]TrialBalance (YTD)'!$E:$E),SUMIF('[1]TrialBalance (YTD)'!$G:$G,B182,'[1]TrialBalance (YTD)'!$I:$I))</f>
        <v>#VALUE!</v>
      </c>
      <c r="G182" s="5">
        <f>IFERROR(INDEX('[1]TrialBalance (YTD)'!$G:$S,MATCH([1]TBMapping!$C184,'[1]TrialBalance (YTD)'!G:G,0),MATCH([1]TBMapping!H$3,'[1]TrialBalance (YTD)'!$G$7:$Z$7,0)),0)</f>
        <v>0</v>
      </c>
      <c r="H182" s="5" t="e">
        <f>SUMIF('[1]TrialBalance (YTD)'!G:G,B182,'[1]TrialBalance (YTD)'!H:H)</f>
        <v>#VALUE!</v>
      </c>
      <c r="I182" s="5">
        <f>IFERROR(INDEX('[1]TrialBalance (YTD)'!$G:$S,MATCH([1]TBMapping!$C184,'[1]TrialBalance (YTD)'!G:G,0),MATCH([1]TBMapping!J$3,'[1]TrialBalance (YTD)'!$G$7:$Z$7,0)),0)</f>
        <v>0</v>
      </c>
      <c r="K182" s="5" t="e">
        <f>SUMIF('[1]TrialBalance (Quarter)'!$A:$A,B182,'[1]TrialBalance (Quarter)'!$B:$B)</f>
        <v>#VALUE!</v>
      </c>
      <c r="L182" s="5">
        <f>IFERROR(INDEX('[1]TrialBalance (Quarter)'!$A:$L,MATCH([1]TBMapping!$C184,'[1]TrialBalance (Quarter)'!A:A,0),MATCH([1]TBMapping!M$3,'[1]TrialBalance (Quarter)'!$7:$7,0)),0)</f>
        <v>0</v>
      </c>
      <c r="M182" s="5">
        <f>IFERROR(INDEX('[1]TrialBalance (Quarter)'!$A:$L,MATCH([1]TBMapping!$C184,'[1]TrialBalance (Quarter)'!A:A,0),MATCH([1]TBMapping!N$3,'[1]TrialBalance (Quarter)'!$7:$7,0)),0)</f>
        <v>0</v>
      </c>
      <c r="N182" s="5">
        <f>IFERROR(INDEX('[1]TrialBalance (Quarter)'!$A:$L,MATCH([1]TBMapping!$C184,'[1]TrialBalance (Quarter)'!A:A,0),MATCH([1]TBMapping!O$3,'[1]TrialBalance (Quarter)'!$7:$7,0)),0)</f>
        <v>0</v>
      </c>
    </row>
    <row r="183" spans="1:14">
      <c r="B183" s="3">
        <v>112730</v>
      </c>
      <c r="C183" s="10" t="s">
        <v>171</v>
      </c>
      <c r="D183" s="10" t="s">
        <v>11</v>
      </c>
      <c r="E183" s="10"/>
      <c r="F183" s="5" t="e">
        <f>IF(DataExtraction="Manual",SUMIF('[1]TrialBalance (YTD)'!$C:$C,B183,'[1]TrialBalance (YTD)'!$E:$E),SUMIF('[1]TrialBalance (YTD)'!$G:$G,B183,'[1]TrialBalance (YTD)'!$I:$I))</f>
        <v>#VALUE!</v>
      </c>
      <c r="G183" s="5">
        <f>IFERROR(INDEX('[1]TrialBalance (YTD)'!$G:$S,MATCH([1]TBMapping!$C185,'[1]TrialBalance (YTD)'!G:G,0),MATCH([1]TBMapping!H$3,'[1]TrialBalance (YTD)'!$G$7:$Z$7,0)),0)</f>
        <v>0</v>
      </c>
      <c r="H183" s="5" t="e">
        <f>SUMIF('[1]TrialBalance (YTD)'!G:G,B183,'[1]TrialBalance (YTD)'!H:H)</f>
        <v>#VALUE!</v>
      </c>
      <c r="I183" s="5">
        <f>IFERROR(INDEX('[1]TrialBalance (YTD)'!$G:$S,MATCH([1]TBMapping!$C185,'[1]TrialBalance (YTD)'!G:G,0),MATCH([1]TBMapping!J$3,'[1]TrialBalance (YTD)'!$G$7:$Z$7,0)),0)</f>
        <v>0</v>
      </c>
      <c r="K183" s="5" t="e">
        <f>SUMIF('[1]TrialBalance (Quarter)'!$A:$A,B183,'[1]TrialBalance (Quarter)'!$B:$B)</f>
        <v>#VALUE!</v>
      </c>
      <c r="L183" s="5">
        <f>IFERROR(INDEX('[1]TrialBalance (Quarter)'!$A:$L,MATCH([1]TBMapping!$C185,'[1]TrialBalance (Quarter)'!A:A,0),MATCH([1]TBMapping!M$3,'[1]TrialBalance (Quarter)'!$7:$7,0)),0)</f>
        <v>0</v>
      </c>
      <c r="M183" s="5">
        <f>IFERROR(INDEX('[1]TrialBalance (Quarter)'!$A:$L,MATCH([1]TBMapping!$C185,'[1]TrialBalance (Quarter)'!A:A,0),MATCH([1]TBMapping!N$3,'[1]TrialBalance (Quarter)'!$7:$7,0)),0)</f>
        <v>0</v>
      </c>
      <c r="N183" s="5">
        <f>IFERROR(INDEX('[1]TrialBalance (Quarter)'!$A:$L,MATCH([1]TBMapping!$C185,'[1]TrialBalance (Quarter)'!A:A,0),MATCH([1]TBMapping!O$3,'[1]TrialBalance (Quarter)'!$7:$7,0)),0)</f>
        <v>0</v>
      </c>
    </row>
    <row r="184" spans="1:14">
      <c r="B184" s="3">
        <v>112799</v>
      </c>
      <c r="C184" s="11" t="s">
        <v>172</v>
      </c>
      <c r="D184" s="11" t="s">
        <v>16</v>
      </c>
      <c r="E184" s="11"/>
      <c r="F184" s="5" t="e">
        <f>IF(DataExtraction="Manual",SUMIF('[1]TrialBalance (YTD)'!$C:$C,B184,'[1]TrialBalance (YTD)'!$E:$E),SUMIF('[1]TrialBalance (YTD)'!$G:$G,B184,'[1]TrialBalance (YTD)'!$I:$I))</f>
        <v>#VALUE!</v>
      </c>
      <c r="G184" s="5">
        <f>IFERROR(INDEX('[1]TrialBalance (YTD)'!$G:$S,MATCH([1]TBMapping!$C186,'[1]TrialBalance (YTD)'!G:G,0),MATCH([1]TBMapping!H$3,'[1]TrialBalance (YTD)'!$G$7:$Z$7,0)),0)</f>
        <v>0</v>
      </c>
      <c r="H184" s="5" t="e">
        <f>SUMIF('[1]TrialBalance (YTD)'!G:G,B184,'[1]TrialBalance (YTD)'!H:H)</f>
        <v>#VALUE!</v>
      </c>
      <c r="I184" s="5">
        <f>IFERROR(INDEX('[1]TrialBalance (YTD)'!$G:$S,MATCH([1]TBMapping!$C186,'[1]TrialBalance (YTD)'!G:G,0),MATCH([1]TBMapping!J$3,'[1]TrialBalance (YTD)'!$G$7:$Z$7,0)),0)</f>
        <v>0</v>
      </c>
      <c r="K184" s="5" t="e">
        <f>SUMIF('[1]TrialBalance (Quarter)'!$A:$A,B184,'[1]TrialBalance (Quarter)'!$B:$B)</f>
        <v>#VALUE!</v>
      </c>
      <c r="L184" s="5">
        <f>IFERROR(INDEX('[1]TrialBalance (Quarter)'!$A:$L,MATCH([1]TBMapping!$C186,'[1]TrialBalance (Quarter)'!A:A,0),MATCH([1]TBMapping!M$3,'[1]TrialBalance (Quarter)'!$7:$7,0)),0)</f>
        <v>0</v>
      </c>
      <c r="M184" s="5">
        <f>IFERROR(INDEX('[1]TrialBalance (Quarter)'!$A:$L,MATCH([1]TBMapping!$C186,'[1]TrialBalance (Quarter)'!A:A,0),MATCH([1]TBMapping!N$3,'[1]TrialBalance (Quarter)'!$7:$7,0)),0)</f>
        <v>0</v>
      </c>
      <c r="N184" s="5">
        <f>IFERROR(INDEX('[1]TrialBalance (Quarter)'!$A:$L,MATCH([1]TBMapping!$C186,'[1]TrialBalance (Quarter)'!A:A,0),MATCH([1]TBMapping!O$3,'[1]TrialBalance (Quarter)'!$7:$7,0)),0)</f>
        <v>0</v>
      </c>
    </row>
    <row r="185" spans="1:14">
      <c r="A185" s="2">
        <v>105</v>
      </c>
      <c r="B185" s="3">
        <v>112800</v>
      </c>
      <c r="C185" s="10" t="s">
        <v>173</v>
      </c>
      <c r="D185" s="10" t="s">
        <v>5</v>
      </c>
      <c r="E185" s="10"/>
      <c r="F185" s="5" t="e">
        <f>IF(DataExtraction="Manual",SUMIF('[1]TrialBalance (YTD)'!$C:$C,B185,'[1]TrialBalance (YTD)'!$E:$E),SUMIF('[1]TrialBalance (YTD)'!$G:$G,B185,'[1]TrialBalance (YTD)'!$I:$I))</f>
        <v>#VALUE!</v>
      </c>
      <c r="G185" s="5">
        <f>IFERROR(INDEX('[1]TrialBalance (YTD)'!$G:$S,MATCH([1]TBMapping!$C187,'[1]TrialBalance (YTD)'!G:G,0),MATCH([1]TBMapping!H$3,'[1]TrialBalance (YTD)'!$G$7:$Z$7,0)),0)</f>
        <v>0</v>
      </c>
      <c r="H185" s="5" t="e">
        <f>SUMIF('[1]TrialBalance (YTD)'!G:G,B185,'[1]TrialBalance (YTD)'!H:H)</f>
        <v>#VALUE!</v>
      </c>
      <c r="I185" s="5">
        <f>IFERROR(INDEX('[1]TrialBalance (YTD)'!$G:$S,MATCH([1]TBMapping!$C187,'[1]TrialBalance (YTD)'!G:G,0),MATCH([1]TBMapping!J$3,'[1]TrialBalance (YTD)'!$G$7:$Z$7,0)),0)</f>
        <v>0</v>
      </c>
      <c r="K185" s="5" t="e">
        <f>SUMIF('[1]TrialBalance (Quarter)'!$A:$A,B185,'[1]TrialBalance (Quarter)'!$B:$B)</f>
        <v>#VALUE!</v>
      </c>
      <c r="L185" s="5">
        <f>IFERROR(INDEX('[1]TrialBalance (Quarter)'!$A:$L,MATCH([1]TBMapping!$C187,'[1]TrialBalance (Quarter)'!A:A,0),MATCH([1]TBMapping!M$3,'[1]TrialBalance (Quarter)'!$7:$7,0)),0)</f>
        <v>0</v>
      </c>
      <c r="M185" s="5">
        <f>IFERROR(INDEX('[1]TrialBalance (Quarter)'!$A:$L,MATCH([1]TBMapping!$C187,'[1]TrialBalance (Quarter)'!A:A,0),MATCH([1]TBMapping!N$3,'[1]TrialBalance (Quarter)'!$7:$7,0)),0)</f>
        <v>0</v>
      </c>
      <c r="N185" s="5">
        <f>IFERROR(INDEX('[1]TrialBalance (Quarter)'!$A:$L,MATCH([1]TBMapping!$C187,'[1]TrialBalance (Quarter)'!A:A,0),MATCH([1]TBMapping!O$3,'[1]TrialBalance (Quarter)'!$7:$7,0)),0)</f>
        <v>0</v>
      </c>
    </row>
    <row r="186" spans="1:14">
      <c r="A186" s="2">
        <v>105</v>
      </c>
      <c r="B186" s="3">
        <v>112810</v>
      </c>
      <c r="C186" s="11" t="s">
        <v>174</v>
      </c>
      <c r="D186" s="11" t="s">
        <v>11</v>
      </c>
      <c r="E186" s="11"/>
      <c r="F186" s="5" t="e">
        <f>IF(DataExtraction="Manual",SUMIF('[1]TrialBalance (YTD)'!$C:$C,B186,'[1]TrialBalance (YTD)'!$E:$E),SUMIF('[1]TrialBalance (YTD)'!$G:$G,B186,'[1]TrialBalance (YTD)'!$I:$I))</f>
        <v>#VALUE!</v>
      </c>
      <c r="G186" s="5">
        <f>IFERROR(INDEX('[1]TrialBalance (YTD)'!$G:$S,MATCH([1]TBMapping!$C188,'[1]TrialBalance (YTD)'!G:G,0),MATCH([1]TBMapping!H$3,'[1]TrialBalance (YTD)'!$G$7:$Z$7,0)),0)</f>
        <v>0</v>
      </c>
      <c r="H186" s="5" t="e">
        <f>SUMIF('[1]TrialBalance (YTD)'!G:G,B186,'[1]TrialBalance (YTD)'!H:H)</f>
        <v>#VALUE!</v>
      </c>
      <c r="I186" s="5">
        <f>IFERROR(INDEX('[1]TrialBalance (YTD)'!$G:$S,MATCH([1]TBMapping!$C188,'[1]TrialBalance (YTD)'!G:G,0),MATCH([1]TBMapping!J$3,'[1]TrialBalance (YTD)'!$G$7:$Z$7,0)),0)</f>
        <v>0</v>
      </c>
      <c r="K186" s="5" t="e">
        <f>SUMIF('[1]TrialBalance (Quarter)'!$A:$A,B186,'[1]TrialBalance (Quarter)'!$B:$B)</f>
        <v>#VALUE!</v>
      </c>
      <c r="L186" s="5">
        <f>IFERROR(INDEX('[1]TrialBalance (Quarter)'!$A:$L,MATCH([1]TBMapping!$C188,'[1]TrialBalance (Quarter)'!A:A,0),MATCH([1]TBMapping!M$3,'[1]TrialBalance (Quarter)'!$7:$7,0)),0)</f>
        <v>0</v>
      </c>
      <c r="M186" s="5">
        <f>IFERROR(INDEX('[1]TrialBalance (Quarter)'!$A:$L,MATCH([1]TBMapping!$C188,'[1]TrialBalance (Quarter)'!A:A,0),MATCH([1]TBMapping!N$3,'[1]TrialBalance (Quarter)'!$7:$7,0)),0)</f>
        <v>0</v>
      </c>
      <c r="N186" s="5">
        <f>IFERROR(INDEX('[1]TrialBalance (Quarter)'!$A:$L,MATCH([1]TBMapping!$C188,'[1]TrialBalance (Quarter)'!A:A,0),MATCH([1]TBMapping!O$3,'[1]TrialBalance (Quarter)'!$7:$7,0)),0)</f>
        <v>0</v>
      </c>
    </row>
    <row r="187" spans="1:14">
      <c r="A187" s="2">
        <v>105</v>
      </c>
      <c r="B187" s="3">
        <v>112815</v>
      </c>
      <c r="C187" s="10" t="s">
        <v>175</v>
      </c>
      <c r="D187" s="10" t="s">
        <v>11</v>
      </c>
      <c r="E187" s="10"/>
      <c r="F187" s="5" t="e">
        <f>IF(DataExtraction="Manual",SUMIF('[1]TrialBalance (YTD)'!$C:$C,B187,'[1]TrialBalance (YTD)'!$E:$E),SUMIF('[1]TrialBalance (YTD)'!$G:$G,B187,'[1]TrialBalance (YTD)'!$I:$I))</f>
        <v>#VALUE!</v>
      </c>
      <c r="G187" s="5">
        <f>IFERROR(INDEX('[1]TrialBalance (YTD)'!$G:$S,MATCH([1]TBMapping!$C189,'[1]TrialBalance (YTD)'!G:G,0),MATCH([1]TBMapping!H$3,'[1]TrialBalance (YTD)'!$G$7:$Z$7,0)),0)</f>
        <v>0</v>
      </c>
      <c r="H187" s="5" t="e">
        <f>SUMIF('[1]TrialBalance (YTD)'!G:G,B187,'[1]TrialBalance (YTD)'!H:H)</f>
        <v>#VALUE!</v>
      </c>
      <c r="I187" s="5">
        <f>IFERROR(INDEX('[1]TrialBalance (YTD)'!$G:$S,MATCH([1]TBMapping!$C189,'[1]TrialBalance (YTD)'!G:G,0),MATCH([1]TBMapping!J$3,'[1]TrialBalance (YTD)'!$G$7:$Z$7,0)),0)</f>
        <v>0</v>
      </c>
      <c r="K187" s="5" t="e">
        <f>SUMIF('[1]TrialBalance (Quarter)'!$A:$A,B187,'[1]TrialBalance (Quarter)'!$B:$B)</f>
        <v>#VALUE!</v>
      </c>
      <c r="L187" s="5">
        <f>IFERROR(INDEX('[1]TrialBalance (Quarter)'!$A:$L,MATCH([1]TBMapping!$C189,'[1]TrialBalance (Quarter)'!A:A,0),MATCH([1]TBMapping!M$3,'[1]TrialBalance (Quarter)'!$7:$7,0)),0)</f>
        <v>0</v>
      </c>
      <c r="M187" s="5">
        <f>IFERROR(INDEX('[1]TrialBalance (Quarter)'!$A:$L,MATCH([1]TBMapping!$C189,'[1]TrialBalance (Quarter)'!A:A,0),MATCH([1]TBMapping!N$3,'[1]TrialBalance (Quarter)'!$7:$7,0)),0)</f>
        <v>0</v>
      </c>
      <c r="N187" s="5">
        <f>IFERROR(INDEX('[1]TrialBalance (Quarter)'!$A:$L,MATCH([1]TBMapping!$C189,'[1]TrialBalance (Quarter)'!A:A,0),MATCH([1]TBMapping!O$3,'[1]TrialBalance (Quarter)'!$7:$7,0)),0)</f>
        <v>0</v>
      </c>
    </row>
    <row r="188" spans="1:14">
      <c r="A188" s="2">
        <v>105</v>
      </c>
      <c r="B188" s="3">
        <v>112820</v>
      </c>
      <c r="C188" s="11" t="s">
        <v>176</v>
      </c>
      <c r="D188" s="11" t="s">
        <v>11</v>
      </c>
      <c r="E188" s="11"/>
      <c r="F188" s="5" t="e">
        <f>IF(DataExtraction="Manual",SUMIF('[1]TrialBalance (YTD)'!$C:$C,B188,'[1]TrialBalance (YTD)'!$E:$E),SUMIF('[1]TrialBalance (YTD)'!$G:$G,B188,'[1]TrialBalance (YTD)'!$I:$I))</f>
        <v>#VALUE!</v>
      </c>
      <c r="G188" s="5">
        <f>IFERROR(INDEX('[1]TrialBalance (YTD)'!$G:$S,MATCH([1]TBMapping!$C190,'[1]TrialBalance (YTD)'!G:G,0),MATCH([1]TBMapping!H$3,'[1]TrialBalance (YTD)'!$G$7:$Z$7,0)),0)</f>
        <v>0</v>
      </c>
      <c r="H188" s="5" t="e">
        <f>SUMIF('[1]TrialBalance (YTD)'!G:G,B188,'[1]TrialBalance (YTD)'!H:H)</f>
        <v>#VALUE!</v>
      </c>
      <c r="I188" s="5">
        <f>IFERROR(INDEX('[1]TrialBalance (YTD)'!$G:$S,MATCH([1]TBMapping!$C190,'[1]TrialBalance (YTD)'!G:G,0),MATCH([1]TBMapping!J$3,'[1]TrialBalance (YTD)'!$G$7:$Z$7,0)),0)</f>
        <v>0</v>
      </c>
      <c r="K188" s="5" t="e">
        <f>SUMIF('[1]TrialBalance (Quarter)'!$A:$A,B188,'[1]TrialBalance (Quarter)'!$B:$B)</f>
        <v>#VALUE!</v>
      </c>
      <c r="L188" s="5">
        <f>IFERROR(INDEX('[1]TrialBalance (Quarter)'!$A:$L,MATCH([1]TBMapping!$C190,'[1]TrialBalance (Quarter)'!A:A,0),MATCH([1]TBMapping!M$3,'[1]TrialBalance (Quarter)'!$7:$7,0)),0)</f>
        <v>0</v>
      </c>
      <c r="M188" s="5">
        <f>IFERROR(INDEX('[1]TrialBalance (Quarter)'!$A:$L,MATCH([1]TBMapping!$C190,'[1]TrialBalance (Quarter)'!A:A,0),MATCH([1]TBMapping!N$3,'[1]TrialBalance (Quarter)'!$7:$7,0)),0)</f>
        <v>0</v>
      </c>
      <c r="N188" s="5">
        <f>IFERROR(INDEX('[1]TrialBalance (Quarter)'!$A:$L,MATCH([1]TBMapping!$C190,'[1]TrialBalance (Quarter)'!A:A,0),MATCH([1]TBMapping!O$3,'[1]TrialBalance (Quarter)'!$7:$7,0)),0)</f>
        <v>0</v>
      </c>
    </row>
    <row r="189" spans="1:14">
      <c r="A189" s="2">
        <v>105</v>
      </c>
      <c r="B189" s="3">
        <v>112830</v>
      </c>
      <c r="C189" s="10" t="s">
        <v>177</v>
      </c>
      <c r="D189" s="10" t="s">
        <v>11</v>
      </c>
      <c r="E189" s="10"/>
      <c r="F189" s="5" t="e">
        <f>IF(DataExtraction="Manual",SUMIF('[1]TrialBalance (YTD)'!$C:$C,B189,'[1]TrialBalance (YTD)'!$E:$E),SUMIF('[1]TrialBalance (YTD)'!$G:$G,B189,'[1]TrialBalance (YTD)'!$I:$I))</f>
        <v>#VALUE!</v>
      </c>
      <c r="G189" s="5">
        <f>IFERROR(INDEX('[1]TrialBalance (YTD)'!$G:$S,MATCH([1]TBMapping!$C191,'[1]TrialBalance (YTD)'!G:G,0),MATCH([1]TBMapping!H$3,'[1]TrialBalance (YTD)'!$G$7:$Z$7,0)),0)</f>
        <v>0</v>
      </c>
      <c r="H189" s="5" t="e">
        <f>SUMIF('[1]TrialBalance (YTD)'!G:G,B189,'[1]TrialBalance (YTD)'!H:H)</f>
        <v>#VALUE!</v>
      </c>
      <c r="I189" s="5">
        <f>IFERROR(INDEX('[1]TrialBalance (YTD)'!$G:$S,MATCH([1]TBMapping!$C191,'[1]TrialBalance (YTD)'!G:G,0),MATCH([1]TBMapping!J$3,'[1]TrialBalance (YTD)'!$G$7:$Z$7,0)),0)</f>
        <v>0</v>
      </c>
      <c r="K189" s="5" t="e">
        <f>SUMIF('[1]TrialBalance (Quarter)'!$A:$A,B189,'[1]TrialBalance (Quarter)'!$B:$B)</f>
        <v>#VALUE!</v>
      </c>
      <c r="L189" s="5">
        <f>IFERROR(INDEX('[1]TrialBalance (Quarter)'!$A:$L,MATCH([1]TBMapping!$C191,'[1]TrialBalance (Quarter)'!A:A,0),MATCH([1]TBMapping!M$3,'[1]TrialBalance (Quarter)'!$7:$7,0)),0)</f>
        <v>0</v>
      </c>
      <c r="M189" s="5">
        <f>IFERROR(INDEX('[1]TrialBalance (Quarter)'!$A:$L,MATCH([1]TBMapping!$C191,'[1]TrialBalance (Quarter)'!A:A,0),MATCH([1]TBMapping!N$3,'[1]TrialBalance (Quarter)'!$7:$7,0)),0)</f>
        <v>0</v>
      </c>
      <c r="N189" s="5">
        <f>IFERROR(INDEX('[1]TrialBalance (Quarter)'!$A:$L,MATCH([1]TBMapping!$C191,'[1]TrialBalance (Quarter)'!A:A,0),MATCH([1]TBMapping!O$3,'[1]TrialBalance (Quarter)'!$7:$7,0)),0)</f>
        <v>0</v>
      </c>
    </row>
    <row r="190" spans="1:14">
      <c r="A190" s="2">
        <v>105</v>
      </c>
      <c r="B190" s="3">
        <v>112840</v>
      </c>
      <c r="C190" s="11" t="s">
        <v>178</v>
      </c>
      <c r="D190" s="11" t="s">
        <v>11</v>
      </c>
      <c r="E190" s="11"/>
      <c r="F190" s="5" t="e">
        <f>IF(DataExtraction="Manual",SUMIF('[1]TrialBalance (YTD)'!$C:$C,B190,'[1]TrialBalance (YTD)'!$E:$E),SUMIF('[1]TrialBalance (YTD)'!$G:$G,B190,'[1]TrialBalance (YTD)'!$I:$I))</f>
        <v>#VALUE!</v>
      </c>
      <c r="G190" s="5">
        <f>IFERROR(INDEX('[1]TrialBalance (YTD)'!$G:$S,MATCH([1]TBMapping!$C192,'[1]TrialBalance (YTD)'!G:G,0),MATCH([1]TBMapping!H$3,'[1]TrialBalance (YTD)'!$G$7:$Z$7,0)),0)</f>
        <v>0</v>
      </c>
      <c r="H190" s="5" t="e">
        <f>SUMIF('[1]TrialBalance (YTD)'!G:G,B190,'[1]TrialBalance (YTD)'!H:H)</f>
        <v>#VALUE!</v>
      </c>
      <c r="I190" s="5">
        <f>IFERROR(INDEX('[1]TrialBalance (YTD)'!$G:$S,MATCH([1]TBMapping!$C192,'[1]TrialBalance (YTD)'!G:G,0),MATCH([1]TBMapping!J$3,'[1]TrialBalance (YTD)'!$G$7:$Z$7,0)),0)</f>
        <v>0</v>
      </c>
      <c r="K190" s="5" t="e">
        <f>SUMIF('[1]TrialBalance (Quarter)'!$A:$A,B190,'[1]TrialBalance (Quarter)'!$B:$B)</f>
        <v>#VALUE!</v>
      </c>
      <c r="L190" s="5">
        <f>IFERROR(INDEX('[1]TrialBalance (Quarter)'!$A:$L,MATCH([1]TBMapping!$C192,'[1]TrialBalance (Quarter)'!A:A,0),MATCH([1]TBMapping!M$3,'[1]TrialBalance (Quarter)'!$7:$7,0)),0)</f>
        <v>0</v>
      </c>
      <c r="M190" s="5">
        <f>IFERROR(INDEX('[1]TrialBalance (Quarter)'!$A:$L,MATCH([1]TBMapping!$C192,'[1]TrialBalance (Quarter)'!A:A,0),MATCH([1]TBMapping!N$3,'[1]TrialBalance (Quarter)'!$7:$7,0)),0)</f>
        <v>0</v>
      </c>
      <c r="N190" s="5">
        <f>IFERROR(INDEX('[1]TrialBalance (Quarter)'!$A:$L,MATCH([1]TBMapping!$C192,'[1]TrialBalance (Quarter)'!A:A,0),MATCH([1]TBMapping!O$3,'[1]TrialBalance (Quarter)'!$7:$7,0)),0)</f>
        <v>0</v>
      </c>
    </row>
    <row r="191" spans="1:14">
      <c r="B191" s="3">
        <v>112849</v>
      </c>
      <c r="C191" s="10" t="s">
        <v>179</v>
      </c>
      <c r="D191" s="10" t="s">
        <v>16</v>
      </c>
      <c r="E191" s="10"/>
      <c r="F191" s="5" t="e">
        <f>IF(DataExtraction="Manual",SUMIF('[1]TrialBalance (YTD)'!$C:$C,B191,'[1]TrialBalance (YTD)'!$E:$E),SUMIF('[1]TrialBalance (YTD)'!$G:$G,B191,'[1]TrialBalance (YTD)'!$I:$I))</f>
        <v>#VALUE!</v>
      </c>
      <c r="G191" s="5">
        <f>IFERROR(INDEX('[1]TrialBalance (YTD)'!$G:$S,MATCH([1]TBMapping!$C193,'[1]TrialBalance (YTD)'!G:G,0),MATCH([1]TBMapping!H$3,'[1]TrialBalance (YTD)'!$G$7:$Z$7,0)),0)</f>
        <v>0</v>
      </c>
      <c r="H191" s="5" t="e">
        <f>SUMIF('[1]TrialBalance (YTD)'!G:G,B191,'[1]TrialBalance (YTD)'!H:H)</f>
        <v>#VALUE!</v>
      </c>
      <c r="I191" s="5">
        <f>IFERROR(INDEX('[1]TrialBalance (YTD)'!$G:$S,MATCH([1]TBMapping!$C193,'[1]TrialBalance (YTD)'!G:G,0),MATCH([1]TBMapping!J$3,'[1]TrialBalance (YTD)'!$G$7:$Z$7,0)),0)</f>
        <v>0</v>
      </c>
      <c r="K191" s="5" t="e">
        <f>SUMIF('[1]TrialBalance (Quarter)'!$A:$A,B191,'[1]TrialBalance (Quarter)'!$B:$B)</f>
        <v>#VALUE!</v>
      </c>
      <c r="L191" s="5">
        <f>IFERROR(INDEX('[1]TrialBalance (Quarter)'!$A:$L,MATCH([1]TBMapping!$C193,'[1]TrialBalance (Quarter)'!A:A,0),MATCH([1]TBMapping!M$3,'[1]TrialBalance (Quarter)'!$7:$7,0)),0)</f>
        <v>0</v>
      </c>
      <c r="M191" s="5">
        <f>IFERROR(INDEX('[1]TrialBalance (Quarter)'!$A:$L,MATCH([1]TBMapping!$C193,'[1]TrialBalance (Quarter)'!A:A,0),MATCH([1]TBMapping!N$3,'[1]TrialBalance (Quarter)'!$7:$7,0)),0)</f>
        <v>0</v>
      </c>
      <c r="N191" s="5">
        <f>IFERROR(INDEX('[1]TrialBalance (Quarter)'!$A:$L,MATCH([1]TBMapping!$C193,'[1]TrialBalance (Quarter)'!A:A,0),MATCH([1]TBMapping!O$3,'[1]TrialBalance (Quarter)'!$7:$7,0)),0)</f>
        <v>0</v>
      </c>
    </row>
    <row r="192" spans="1:14">
      <c r="B192" s="3">
        <v>112850</v>
      </c>
      <c r="C192" s="11" t="s">
        <v>180</v>
      </c>
      <c r="D192" s="11" t="s">
        <v>5</v>
      </c>
      <c r="E192" s="11"/>
      <c r="F192" s="5" t="e">
        <f>IF(DataExtraction="Manual",SUMIF('[1]TrialBalance (YTD)'!$C:$C,B192,'[1]TrialBalance (YTD)'!$E:$E),SUMIF('[1]TrialBalance (YTD)'!$G:$G,B192,'[1]TrialBalance (YTD)'!$I:$I))</f>
        <v>#VALUE!</v>
      </c>
      <c r="G192" s="5">
        <f>IFERROR(INDEX('[1]TrialBalance (YTD)'!$G:$S,MATCH([1]TBMapping!$C194,'[1]TrialBalance (YTD)'!G:G,0),MATCH([1]TBMapping!H$3,'[1]TrialBalance (YTD)'!$G$7:$Z$7,0)),0)</f>
        <v>0</v>
      </c>
      <c r="H192" s="5" t="e">
        <f>SUMIF('[1]TrialBalance (YTD)'!G:G,B192,'[1]TrialBalance (YTD)'!H:H)</f>
        <v>#VALUE!</v>
      </c>
      <c r="I192" s="5">
        <f>IFERROR(INDEX('[1]TrialBalance (YTD)'!$G:$S,MATCH([1]TBMapping!$C194,'[1]TrialBalance (YTD)'!G:G,0),MATCH([1]TBMapping!J$3,'[1]TrialBalance (YTD)'!$G$7:$Z$7,0)),0)</f>
        <v>0</v>
      </c>
      <c r="K192" s="5" t="e">
        <f>SUMIF('[1]TrialBalance (Quarter)'!$A:$A,B192,'[1]TrialBalance (Quarter)'!$B:$B)</f>
        <v>#VALUE!</v>
      </c>
      <c r="L192" s="5">
        <f>IFERROR(INDEX('[1]TrialBalance (Quarter)'!$A:$L,MATCH([1]TBMapping!$C194,'[1]TrialBalance (Quarter)'!A:A,0),MATCH([1]TBMapping!M$3,'[1]TrialBalance (Quarter)'!$7:$7,0)),0)</f>
        <v>0</v>
      </c>
      <c r="M192" s="5">
        <f>IFERROR(INDEX('[1]TrialBalance (Quarter)'!$A:$L,MATCH([1]TBMapping!$C194,'[1]TrialBalance (Quarter)'!A:A,0),MATCH([1]TBMapping!N$3,'[1]TrialBalance (Quarter)'!$7:$7,0)),0)</f>
        <v>0</v>
      </c>
      <c r="N192" s="5">
        <f>IFERROR(INDEX('[1]TrialBalance (Quarter)'!$A:$L,MATCH([1]TBMapping!$C194,'[1]TrialBalance (Quarter)'!A:A,0),MATCH([1]TBMapping!O$3,'[1]TrialBalance (Quarter)'!$7:$7,0)),0)</f>
        <v>0</v>
      </c>
    </row>
    <row r="193" spans="1:14">
      <c r="A193" s="2">
        <v>105</v>
      </c>
      <c r="B193" s="3">
        <v>112860</v>
      </c>
      <c r="C193" s="10" t="s">
        <v>181</v>
      </c>
      <c r="D193" s="10" t="s">
        <v>11</v>
      </c>
      <c r="E193" s="10"/>
      <c r="F193" s="5" t="e">
        <f>IF(DataExtraction="Manual",SUMIF('[1]TrialBalance (YTD)'!$C:$C,B193,'[1]TrialBalance (YTD)'!$E:$E),SUMIF('[1]TrialBalance (YTD)'!$G:$G,B193,'[1]TrialBalance (YTD)'!$I:$I))</f>
        <v>#VALUE!</v>
      </c>
      <c r="G193" s="5">
        <f>IFERROR(INDEX('[1]TrialBalance (YTD)'!$G:$S,MATCH([1]TBMapping!$C195,'[1]TrialBalance (YTD)'!G:G,0),MATCH([1]TBMapping!H$3,'[1]TrialBalance (YTD)'!$G$7:$Z$7,0)),0)</f>
        <v>0</v>
      </c>
      <c r="H193" s="5" t="e">
        <f>SUMIF('[1]TrialBalance (YTD)'!G:G,B193,'[1]TrialBalance (YTD)'!H:H)</f>
        <v>#VALUE!</v>
      </c>
      <c r="I193" s="5">
        <f>IFERROR(INDEX('[1]TrialBalance (YTD)'!$G:$S,MATCH([1]TBMapping!$C195,'[1]TrialBalance (YTD)'!G:G,0),MATCH([1]TBMapping!J$3,'[1]TrialBalance (YTD)'!$G$7:$Z$7,0)),0)</f>
        <v>0</v>
      </c>
      <c r="K193" s="5" t="e">
        <f>SUMIF('[1]TrialBalance (Quarter)'!$A:$A,B193,'[1]TrialBalance (Quarter)'!$B:$B)</f>
        <v>#VALUE!</v>
      </c>
      <c r="L193" s="5">
        <f>IFERROR(INDEX('[1]TrialBalance (Quarter)'!$A:$L,MATCH([1]TBMapping!$C195,'[1]TrialBalance (Quarter)'!A:A,0),MATCH([1]TBMapping!M$3,'[1]TrialBalance (Quarter)'!$7:$7,0)),0)</f>
        <v>0</v>
      </c>
      <c r="M193" s="5">
        <f>IFERROR(INDEX('[1]TrialBalance (Quarter)'!$A:$L,MATCH([1]TBMapping!$C195,'[1]TrialBalance (Quarter)'!A:A,0),MATCH([1]TBMapping!N$3,'[1]TrialBalance (Quarter)'!$7:$7,0)),0)</f>
        <v>0</v>
      </c>
      <c r="N193" s="5">
        <f>IFERROR(INDEX('[1]TrialBalance (Quarter)'!$A:$L,MATCH([1]TBMapping!$C195,'[1]TrialBalance (Quarter)'!A:A,0),MATCH([1]TBMapping!O$3,'[1]TrialBalance (Quarter)'!$7:$7,0)),0)</f>
        <v>0</v>
      </c>
    </row>
    <row r="194" spans="1:14">
      <c r="A194" s="2">
        <v>105</v>
      </c>
      <c r="B194" s="3">
        <v>112862</v>
      </c>
      <c r="C194" s="11" t="s">
        <v>182</v>
      </c>
      <c r="D194" s="11" t="s">
        <v>11</v>
      </c>
      <c r="E194" s="11"/>
      <c r="F194" s="5" t="e">
        <f>IF(DataExtraction="Manual",SUMIF('[1]TrialBalance (YTD)'!$C:$C,B194,'[1]TrialBalance (YTD)'!$E:$E),SUMIF('[1]TrialBalance (YTD)'!$G:$G,B194,'[1]TrialBalance (YTD)'!$I:$I))</f>
        <v>#VALUE!</v>
      </c>
      <c r="G194" s="5">
        <f>IFERROR(INDEX('[1]TrialBalance (YTD)'!$G:$S,MATCH([1]TBMapping!$C196,'[1]TrialBalance (YTD)'!G:G,0),MATCH([1]TBMapping!H$3,'[1]TrialBalance (YTD)'!$G$7:$Z$7,0)),0)</f>
        <v>0</v>
      </c>
      <c r="H194" s="5" t="e">
        <f>SUMIF('[1]TrialBalance (YTD)'!G:G,B194,'[1]TrialBalance (YTD)'!H:H)</f>
        <v>#VALUE!</v>
      </c>
      <c r="I194" s="5">
        <f>IFERROR(INDEX('[1]TrialBalance (YTD)'!$G:$S,MATCH([1]TBMapping!$C196,'[1]TrialBalance (YTD)'!G:G,0),MATCH([1]TBMapping!J$3,'[1]TrialBalance (YTD)'!$G$7:$Z$7,0)),0)</f>
        <v>0</v>
      </c>
      <c r="K194" s="5" t="e">
        <f>SUMIF('[1]TrialBalance (Quarter)'!$A:$A,B194,'[1]TrialBalance (Quarter)'!$B:$B)</f>
        <v>#VALUE!</v>
      </c>
      <c r="L194" s="5">
        <f>IFERROR(INDEX('[1]TrialBalance (Quarter)'!$A:$L,MATCH([1]TBMapping!$C196,'[1]TrialBalance (Quarter)'!A:A,0),MATCH([1]TBMapping!M$3,'[1]TrialBalance (Quarter)'!$7:$7,0)),0)</f>
        <v>0</v>
      </c>
      <c r="M194" s="5">
        <f>IFERROR(INDEX('[1]TrialBalance (Quarter)'!$A:$L,MATCH([1]TBMapping!$C196,'[1]TrialBalance (Quarter)'!A:A,0),MATCH([1]TBMapping!N$3,'[1]TrialBalance (Quarter)'!$7:$7,0)),0)</f>
        <v>0</v>
      </c>
      <c r="N194" s="5">
        <f>IFERROR(INDEX('[1]TrialBalance (Quarter)'!$A:$L,MATCH([1]TBMapping!$C196,'[1]TrialBalance (Quarter)'!A:A,0),MATCH([1]TBMapping!O$3,'[1]TrialBalance (Quarter)'!$7:$7,0)),0)</f>
        <v>0</v>
      </c>
    </row>
    <row r="195" spans="1:14">
      <c r="A195" s="2">
        <v>105</v>
      </c>
      <c r="B195" s="3">
        <v>112864</v>
      </c>
      <c r="C195" s="10" t="s">
        <v>183</v>
      </c>
      <c r="D195" s="10" t="s">
        <v>11</v>
      </c>
      <c r="E195" s="10"/>
      <c r="F195" s="5" t="e">
        <f>IF(DataExtraction="Manual",SUMIF('[1]TrialBalance (YTD)'!$C:$C,B195,'[1]TrialBalance (YTD)'!$E:$E),SUMIF('[1]TrialBalance (YTD)'!$G:$G,B195,'[1]TrialBalance (YTD)'!$I:$I))</f>
        <v>#VALUE!</v>
      </c>
      <c r="G195" s="5">
        <f>IFERROR(INDEX('[1]TrialBalance (YTD)'!$G:$S,MATCH([1]TBMapping!$C197,'[1]TrialBalance (YTD)'!G:G,0),MATCH([1]TBMapping!H$3,'[1]TrialBalance (YTD)'!$G$7:$Z$7,0)),0)</f>
        <v>0</v>
      </c>
      <c r="H195" s="5" t="e">
        <f>SUMIF('[1]TrialBalance (YTD)'!G:G,B195,'[1]TrialBalance (YTD)'!H:H)</f>
        <v>#VALUE!</v>
      </c>
      <c r="I195" s="5">
        <f>IFERROR(INDEX('[1]TrialBalance (YTD)'!$G:$S,MATCH([1]TBMapping!$C197,'[1]TrialBalance (YTD)'!G:G,0),MATCH([1]TBMapping!J$3,'[1]TrialBalance (YTD)'!$G$7:$Z$7,0)),0)</f>
        <v>0</v>
      </c>
      <c r="K195" s="5" t="e">
        <f>SUMIF('[1]TrialBalance (Quarter)'!$A:$A,B195,'[1]TrialBalance (Quarter)'!$B:$B)</f>
        <v>#VALUE!</v>
      </c>
      <c r="L195" s="5">
        <f>IFERROR(INDEX('[1]TrialBalance (Quarter)'!$A:$L,MATCH([1]TBMapping!$C197,'[1]TrialBalance (Quarter)'!A:A,0),MATCH([1]TBMapping!M$3,'[1]TrialBalance (Quarter)'!$7:$7,0)),0)</f>
        <v>0</v>
      </c>
      <c r="M195" s="5">
        <f>IFERROR(INDEX('[1]TrialBalance (Quarter)'!$A:$L,MATCH([1]TBMapping!$C197,'[1]TrialBalance (Quarter)'!A:A,0),MATCH([1]TBMapping!N$3,'[1]TrialBalance (Quarter)'!$7:$7,0)),0)</f>
        <v>0</v>
      </c>
      <c r="N195" s="5">
        <f>IFERROR(INDEX('[1]TrialBalance (Quarter)'!$A:$L,MATCH([1]TBMapping!$C197,'[1]TrialBalance (Quarter)'!A:A,0),MATCH([1]TBMapping!O$3,'[1]TrialBalance (Quarter)'!$7:$7,0)),0)</f>
        <v>0</v>
      </c>
    </row>
    <row r="196" spans="1:14">
      <c r="A196" s="2">
        <v>105</v>
      </c>
      <c r="B196" s="3">
        <v>112870</v>
      </c>
      <c r="C196" s="11" t="s">
        <v>184</v>
      </c>
      <c r="D196" s="11" t="s">
        <v>11</v>
      </c>
      <c r="E196" s="11"/>
      <c r="F196" s="5" t="e">
        <f>IF(DataExtraction="Manual",SUMIF('[1]TrialBalance (YTD)'!$C:$C,B196,'[1]TrialBalance (YTD)'!$E:$E),SUMIF('[1]TrialBalance (YTD)'!$G:$G,B196,'[1]TrialBalance (YTD)'!$I:$I))</f>
        <v>#VALUE!</v>
      </c>
      <c r="G196" s="5">
        <f>IFERROR(INDEX('[1]TrialBalance (YTD)'!$G:$S,MATCH([1]TBMapping!$C198,'[1]TrialBalance (YTD)'!G:G,0),MATCH([1]TBMapping!H$3,'[1]TrialBalance (YTD)'!$G$7:$Z$7,0)),0)</f>
        <v>0</v>
      </c>
      <c r="H196" s="5" t="e">
        <f>SUMIF('[1]TrialBalance (YTD)'!G:G,B196,'[1]TrialBalance (YTD)'!H:H)</f>
        <v>#VALUE!</v>
      </c>
      <c r="I196" s="5">
        <f>IFERROR(INDEX('[1]TrialBalance (YTD)'!$G:$S,MATCH([1]TBMapping!$C198,'[1]TrialBalance (YTD)'!G:G,0),MATCH([1]TBMapping!J$3,'[1]TrialBalance (YTD)'!$G$7:$Z$7,0)),0)</f>
        <v>0</v>
      </c>
      <c r="K196" s="5" t="e">
        <f>SUMIF('[1]TrialBalance (Quarter)'!$A:$A,B196,'[1]TrialBalance (Quarter)'!$B:$B)</f>
        <v>#VALUE!</v>
      </c>
      <c r="L196" s="5">
        <f>IFERROR(INDEX('[1]TrialBalance (Quarter)'!$A:$L,MATCH([1]TBMapping!$C198,'[1]TrialBalance (Quarter)'!A:A,0),MATCH([1]TBMapping!M$3,'[1]TrialBalance (Quarter)'!$7:$7,0)),0)</f>
        <v>0</v>
      </c>
      <c r="M196" s="5">
        <f>IFERROR(INDEX('[1]TrialBalance (Quarter)'!$A:$L,MATCH([1]TBMapping!$C198,'[1]TrialBalance (Quarter)'!A:A,0),MATCH([1]TBMapping!N$3,'[1]TrialBalance (Quarter)'!$7:$7,0)),0)</f>
        <v>0</v>
      </c>
      <c r="N196" s="5">
        <f>IFERROR(INDEX('[1]TrialBalance (Quarter)'!$A:$L,MATCH([1]TBMapping!$C198,'[1]TrialBalance (Quarter)'!A:A,0),MATCH([1]TBMapping!O$3,'[1]TrialBalance (Quarter)'!$7:$7,0)),0)</f>
        <v>0</v>
      </c>
    </row>
    <row r="197" spans="1:14">
      <c r="A197" s="2">
        <v>105</v>
      </c>
      <c r="B197" s="3">
        <v>112880</v>
      </c>
      <c r="C197" s="10" t="s">
        <v>185</v>
      </c>
      <c r="D197" s="10" t="s">
        <v>11</v>
      </c>
      <c r="E197" s="10"/>
      <c r="F197" s="5" t="e">
        <f>IF(DataExtraction="Manual",SUMIF('[1]TrialBalance (YTD)'!$C:$C,B197,'[1]TrialBalance (YTD)'!$E:$E),SUMIF('[1]TrialBalance (YTD)'!$G:$G,B197,'[1]TrialBalance (YTD)'!$I:$I))</f>
        <v>#VALUE!</v>
      </c>
      <c r="G197" s="5">
        <f>IFERROR(INDEX('[1]TrialBalance (YTD)'!$G:$S,MATCH([1]TBMapping!$C199,'[1]TrialBalance (YTD)'!G:G,0),MATCH([1]TBMapping!H$3,'[1]TrialBalance (YTD)'!$G$7:$Z$7,0)),0)</f>
        <v>0</v>
      </c>
      <c r="H197" s="5" t="e">
        <f>SUMIF('[1]TrialBalance (YTD)'!G:G,B197,'[1]TrialBalance (YTD)'!H:H)</f>
        <v>#VALUE!</v>
      </c>
      <c r="I197" s="5">
        <f>IFERROR(INDEX('[1]TrialBalance (YTD)'!$G:$S,MATCH([1]TBMapping!$C199,'[1]TrialBalance (YTD)'!G:G,0),MATCH([1]TBMapping!J$3,'[1]TrialBalance (YTD)'!$G$7:$Z$7,0)),0)</f>
        <v>0</v>
      </c>
      <c r="K197" s="5" t="e">
        <f>SUMIF('[1]TrialBalance (Quarter)'!$A:$A,B197,'[1]TrialBalance (Quarter)'!$B:$B)</f>
        <v>#VALUE!</v>
      </c>
      <c r="L197" s="5">
        <f>IFERROR(INDEX('[1]TrialBalance (Quarter)'!$A:$L,MATCH([1]TBMapping!$C199,'[1]TrialBalance (Quarter)'!A:A,0),MATCH([1]TBMapping!M$3,'[1]TrialBalance (Quarter)'!$7:$7,0)),0)</f>
        <v>0</v>
      </c>
      <c r="M197" s="5">
        <f>IFERROR(INDEX('[1]TrialBalance (Quarter)'!$A:$L,MATCH([1]TBMapping!$C199,'[1]TrialBalance (Quarter)'!A:A,0),MATCH([1]TBMapping!N$3,'[1]TrialBalance (Quarter)'!$7:$7,0)),0)</f>
        <v>0</v>
      </c>
      <c r="N197" s="5">
        <f>IFERROR(INDEX('[1]TrialBalance (Quarter)'!$A:$L,MATCH([1]TBMapping!$C199,'[1]TrialBalance (Quarter)'!A:A,0),MATCH([1]TBMapping!O$3,'[1]TrialBalance (Quarter)'!$7:$7,0)),0)</f>
        <v>0</v>
      </c>
    </row>
    <row r="198" spans="1:14">
      <c r="B198" s="3">
        <v>112899</v>
      </c>
      <c r="C198" s="11" t="s">
        <v>186</v>
      </c>
      <c r="D198" s="11" t="s">
        <v>16</v>
      </c>
      <c r="E198" s="11"/>
      <c r="F198" s="5" t="e">
        <f>IF(DataExtraction="Manual",SUMIF('[1]TrialBalance (YTD)'!$C:$C,B198,'[1]TrialBalance (YTD)'!$E:$E),SUMIF('[1]TrialBalance (YTD)'!$G:$G,B198,'[1]TrialBalance (YTD)'!$I:$I))</f>
        <v>#VALUE!</v>
      </c>
      <c r="G198" s="5">
        <f>IFERROR(INDEX('[1]TrialBalance (YTD)'!$G:$S,MATCH([1]TBMapping!$C200,'[1]TrialBalance (YTD)'!G:G,0),MATCH([1]TBMapping!H$3,'[1]TrialBalance (YTD)'!$G$7:$Z$7,0)),0)</f>
        <v>0</v>
      </c>
      <c r="H198" s="5" t="e">
        <f>SUMIF('[1]TrialBalance (YTD)'!G:G,B198,'[1]TrialBalance (YTD)'!H:H)</f>
        <v>#VALUE!</v>
      </c>
      <c r="I198" s="5">
        <f>IFERROR(INDEX('[1]TrialBalance (YTD)'!$G:$S,MATCH([1]TBMapping!$C200,'[1]TrialBalance (YTD)'!G:G,0),MATCH([1]TBMapping!J$3,'[1]TrialBalance (YTD)'!$G$7:$Z$7,0)),0)</f>
        <v>0</v>
      </c>
      <c r="K198" s="5" t="e">
        <f>SUMIF('[1]TrialBalance (Quarter)'!$A:$A,B198,'[1]TrialBalance (Quarter)'!$B:$B)</f>
        <v>#VALUE!</v>
      </c>
      <c r="L198" s="5">
        <f>IFERROR(INDEX('[1]TrialBalance (Quarter)'!$A:$L,MATCH([1]TBMapping!$C200,'[1]TrialBalance (Quarter)'!A:A,0),MATCH([1]TBMapping!M$3,'[1]TrialBalance (Quarter)'!$7:$7,0)),0)</f>
        <v>0</v>
      </c>
      <c r="M198" s="5">
        <f>IFERROR(INDEX('[1]TrialBalance (Quarter)'!$A:$L,MATCH([1]TBMapping!$C200,'[1]TrialBalance (Quarter)'!A:A,0),MATCH([1]TBMapping!N$3,'[1]TrialBalance (Quarter)'!$7:$7,0)),0)</f>
        <v>0</v>
      </c>
      <c r="N198" s="5">
        <f>IFERROR(INDEX('[1]TrialBalance (Quarter)'!$A:$L,MATCH([1]TBMapping!$C200,'[1]TrialBalance (Quarter)'!A:A,0),MATCH([1]TBMapping!O$3,'[1]TrialBalance (Quarter)'!$7:$7,0)),0)</f>
        <v>0</v>
      </c>
    </row>
    <row r="199" spans="1:14">
      <c r="B199" s="3">
        <v>112999</v>
      </c>
      <c r="C199" s="10" t="s">
        <v>119</v>
      </c>
      <c r="D199" s="10" t="s">
        <v>16</v>
      </c>
      <c r="E199" s="10"/>
      <c r="F199" s="5" t="e">
        <f>IF(DataExtraction="Manual",SUMIF('[1]TrialBalance (YTD)'!$C:$C,B199,'[1]TrialBalance (YTD)'!$E:$E),SUMIF('[1]TrialBalance (YTD)'!$G:$G,B199,'[1]TrialBalance (YTD)'!$I:$I))</f>
        <v>#VALUE!</v>
      </c>
      <c r="G199" s="5">
        <f>IFERROR(INDEX('[1]TrialBalance (YTD)'!$G:$S,MATCH([1]TBMapping!$C201,'[1]TrialBalance (YTD)'!G:G,0),MATCH([1]TBMapping!H$3,'[1]TrialBalance (YTD)'!$G$7:$Z$7,0)),0)</f>
        <v>0</v>
      </c>
      <c r="H199" s="5" t="e">
        <f>SUMIF('[1]TrialBalance (YTD)'!G:G,B199,'[1]TrialBalance (YTD)'!H:H)</f>
        <v>#VALUE!</v>
      </c>
      <c r="I199" s="5">
        <f>IFERROR(INDEX('[1]TrialBalance (YTD)'!$G:$S,MATCH([1]TBMapping!$C201,'[1]TrialBalance (YTD)'!G:G,0),MATCH([1]TBMapping!J$3,'[1]TrialBalance (YTD)'!$G$7:$Z$7,0)),0)</f>
        <v>0</v>
      </c>
      <c r="K199" s="5" t="e">
        <f>SUMIF('[1]TrialBalance (Quarter)'!$A:$A,B199,'[1]TrialBalance (Quarter)'!$B:$B)</f>
        <v>#VALUE!</v>
      </c>
      <c r="L199" s="5">
        <f>IFERROR(INDEX('[1]TrialBalance (Quarter)'!$A:$L,MATCH([1]TBMapping!$C201,'[1]TrialBalance (Quarter)'!A:A,0),MATCH([1]TBMapping!M$3,'[1]TrialBalance (Quarter)'!$7:$7,0)),0)</f>
        <v>0</v>
      </c>
      <c r="M199" s="5">
        <f>IFERROR(INDEX('[1]TrialBalance (Quarter)'!$A:$L,MATCH([1]TBMapping!$C201,'[1]TrialBalance (Quarter)'!A:A,0),MATCH([1]TBMapping!N$3,'[1]TrialBalance (Quarter)'!$7:$7,0)),0)</f>
        <v>0</v>
      </c>
      <c r="N199" s="5">
        <f>IFERROR(INDEX('[1]TrialBalance (Quarter)'!$A:$L,MATCH([1]TBMapping!$C201,'[1]TrialBalance (Quarter)'!A:A,0),MATCH([1]TBMapping!O$3,'[1]TrialBalance (Quarter)'!$7:$7,0)),0)</f>
        <v>0</v>
      </c>
    </row>
    <row r="200" spans="1:14">
      <c r="B200" s="3">
        <v>113000</v>
      </c>
      <c r="C200" s="11" t="s">
        <v>187</v>
      </c>
      <c r="D200" s="11" t="s">
        <v>5</v>
      </c>
      <c r="E200" s="11"/>
      <c r="F200" s="5" t="e">
        <f>IF(DataExtraction="Manual",SUMIF('[1]TrialBalance (YTD)'!$C:$C,B200,'[1]TrialBalance (YTD)'!$E:$E),SUMIF('[1]TrialBalance (YTD)'!$G:$G,B200,'[1]TrialBalance (YTD)'!$I:$I))</f>
        <v>#VALUE!</v>
      </c>
      <c r="G200" s="5">
        <f>IFERROR(INDEX('[1]TrialBalance (YTD)'!$G:$S,MATCH([1]TBMapping!$C202,'[1]TrialBalance (YTD)'!G:G,0),MATCH([1]TBMapping!H$3,'[1]TrialBalance (YTD)'!$G$7:$Z$7,0)),0)</f>
        <v>0</v>
      </c>
      <c r="H200" s="5" t="e">
        <f>SUMIF('[1]TrialBalance (YTD)'!G:G,B200,'[1]TrialBalance (YTD)'!H:H)</f>
        <v>#VALUE!</v>
      </c>
      <c r="I200" s="5">
        <f>IFERROR(INDEX('[1]TrialBalance (YTD)'!$G:$S,MATCH([1]TBMapping!$C202,'[1]TrialBalance (YTD)'!G:G,0),MATCH([1]TBMapping!J$3,'[1]TrialBalance (YTD)'!$G$7:$Z$7,0)),0)</f>
        <v>0</v>
      </c>
      <c r="K200" s="5" t="e">
        <f>SUMIF('[1]TrialBalance (Quarter)'!$A:$A,B200,'[1]TrialBalance (Quarter)'!$B:$B)</f>
        <v>#VALUE!</v>
      </c>
      <c r="L200" s="5">
        <f>IFERROR(INDEX('[1]TrialBalance (Quarter)'!$A:$L,MATCH([1]TBMapping!$C202,'[1]TrialBalance (Quarter)'!A:A,0),MATCH([1]TBMapping!M$3,'[1]TrialBalance (Quarter)'!$7:$7,0)),0)</f>
        <v>0</v>
      </c>
      <c r="M200" s="5">
        <f>IFERROR(INDEX('[1]TrialBalance (Quarter)'!$A:$L,MATCH([1]TBMapping!$C202,'[1]TrialBalance (Quarter)'!A:A,0),MATCH([1]TBMapping!N$3,'[1]TrialBalance (Quarter)'!$7:$7,0)),0)</f>
        <v>0</v>
      </c>
      <c r="N200" s="5">
        <f>IFERROR(INDEX('[1]TrialBalance (Quarter)'!$A:$L,MATCH([1]TBMapping!$C202,'[1]TrialBalance (Quarter)'!A:A,0),MATCH([1]TBMapping!O$3,'[1]TrialBalance (Quarter)'!$7:$7,0)),0)</f>
        <v>0</v>
      </c>
    </row>
    <row r="201" spans="1:14">
      <c r="A201" s="2">
        <v>105</v>
      </c>
      <c r="B201" s="3">
        <v>113110</v>
      </c>
      <c r="C201" s="10" t="s">
        <v>188</v>
      </c>
      <c r="D201" s="10" t="s">
        <v>11</v>
      </c>
      <c r="E201" s="10"/>
      <c r="F201" s="5" t="e">
        <f>IF(DataExtraction="Manual",SUMIF('[1]TrialBalance (YTD)'!$C:$C,B201,'[1]TrialBalance (YTD)'!$E:$E),SUMIF('[1]TrialBalance (YTD)'!$G:$G,B201,'[1]TrialBalance (YTD)'!$I:$I))</f>
        <v>#VALUE!</v>
      </c>
      <c r="G201" s="5">
        <f>IFERROR(INDEX('[1]TrialBalance (YTD)'!$G:$S,MATCH([1]TBMapping!$C203,'[1]TrialBalance (YTD)'!G:G,0),MATCH([1]TBMapping!H$3,'[1]TrialBalance (YTD)'!$G$7:$Z$7,0)),0)</f>
        <v>0</v>
      </c>
      <c r="H201" s="5" t="e">
        <f>SUMIF('[1]TrialBalance (YTD)'!G:G,B201,'[1]TrialBalance (YTD)'!H:H)</f>
        <v>#VALUE!</v>
      </c>
      <c r="I201" s="5">
        <f>IFERROR(INDEX('[1]TrialBalance (YTD)'!$G:$S,MATCH([1]TBMapping!$C203,'[1]TrialBalance (YTD)'!G:G,0),MATCH([1]TBMapping!J$3,'[1]TrialBalance (YTD)'!$G$7:$Z$7,0)),0)</f>
        <v>0</v>
      </c>
      <c r="K201" s="5" t="e">
        <f>SUMIF('[1]TrialBalance (Quarter)'!$A:$A,B201,'[1]TrialBalance (Quarter)'!$B:$B)</f>
        <v>#VALUE!</v>
      </c>
      <c r="L201" s="5">
        <f>IFERROR(INDEX('[1]TrialBalance (Quarter)'!$A:$L,MATCH([1]TBMapping!$C203,'[1]TrialBalance (Quarter)'!A:A,0),MATCH([1]TBMapping!M$3,'[1]TrialBalance (Quarter)'!$7:$7,0)),0)</f>
        <v>0</v>
      </c>
      <c r="M201" s="5">
        <f>IFERROR(INDEX('[1]TrialBalance (Quarter)'!$A:$L,MATCH([1]TBMapping!$C203,'[1]TrialBalance (Quarter)'!A:A,0),MATCH([1]TBMapping!N$3,'[1]TrialBalance (Quarter)'!$7:$7,0)),0)</f>
        <v>0</v>
      </c>
      <c r="N201" s="5">
        <f>IFERROR(INDEX('[1]TrialBalance (Quarter)'!$A:$L,MATCH([1]TBMapping!$C203,'[1]TrialBalance (Quarter)'!A:A,0),MATCH([1]TBMapping!O$3,'[1]TrialBalance (Quarter)'!$7:$7,0)),0)</f>
        <v>0</v>
      </c>
    </row>
    <row r="202" spans="1:14">
      <c r="A202" s="2">
        <v>105</v>
      </c>
      <c r="B202" s="3">
        <v>113112</v>
      </c>
      <c r="C202" s="10" t="s">
        <v>189</v>
      </c>
      <c r="D202" s="10" t="s">
        <v>11</v>
      </c>
      <c r="E202" s="10"/>
      <c r="F202" s="5" t="e">
        <f>IF(DataExtraction="Manual",SUMIF('[1]TrialBalance (YTD)'!$C:$C,B202,'[1]TrialBalance (YTD)'!$E:$E),SUMIF('[1]TrialBalance (YTD)'!$G:$G,B202,'[1]TrialBalance (YTD)'!$I:$I))</f>
        <v>#VALUE!</v>
      </c>
      <c r="G202" s="5">
        <f>IFERROR(INDEX('[1]TrialBalance (YTD)'!$G:$S,MATCH([1]TBMapping!$C204,'[1]TrialBalance (YTD)'!G:G,0),MATCH([1]TBMapping!H$3,'[1]TrialBalance (YTD)'!$G$7:$Z$7,0)),0)</f>
        <v>0</v>
      </c>
      <c r="H202" s="5" t="e">
        <f>SUMIF('[1]TrialBalance (YTD)'!G:G,B202,'[1]TrialBalance (YTD)'!H:H)</f>
        <v>#VALUE!</v>
      </c>
      <c r="I202" s="5">
        <f>IFERROR(INDEX('[1]TrialBalance (YTD)'!$G:$S,MATCH([1]TBMapping!$C204,'[1]TrialBalance (YTD)'!G:G,0),MATCH([1]TBMapping!J$3,'[1]TrialBalance (YTD)'!$G$7:$Z$7,0)),0)</f>
        <v>0</v>
      </c>
      <c r="K202" s="5" t="e">
        <f>SUMIF('[1]TrialBalance (Quarter)'!$A:$A,B202,'[1]TrialBalance (Quarter)'!$B:$B)</f>
        <v>#VALUE!</v>
      </c>
      <c r="L202" s="5">
        <f>IFERROR(INDEX('[1]TrialBalance (Quarter)'!$A:$L,MATCH([1]TBMapping!$C204,'[1]TrialBalance (Quarter)'!A:A,0),MATCH([1]TBMapping!M$3,'[1]TrialBalance (Quarter)'!$7:$7,0)),0)</f>
        <v>0</v>
      </c>
      <c r="M202" s="5">
        <f>IFERROR(INDEX('[1]TrialBalance (Quarter)'!$A:$L,MATCH([1]TBMapping!$C204,'[1]TrialBalance (Quarter)'!A:A,0),MATCH([1]TBMapping!N$3,'[1]TrialBalance (Quarter)'!$7:$7,0)),0)</f>
        <v>0</v>
      </c>
      <c r="N202" s="5">
        <f>IFERROR(INDEX('[1]TrialBalance (Quarter)'!$A:$L,MATCH([1]TBMapping!$C204,'[1]TrialBalance (Quarter)'!A:A,0),MATCH([1]TBMapping!O$3,'[1]TrialBalance (Quarter)'!$7:$7,0)),0)</f>
        <v>0</v>
      </c>
    </row>
    <row r="203" spans="1:14">
      <c r="A203" s="2">
        <v>105</v>
      </c>
      <c r="B203" s="3">
        <v>113114</v>
      </c>
      <c r="C203" s="10" t="s">
        <v>190</v>
      </c>
      <c r="D203" s="10" t="s">
        <v>11</v>
      </c>
      <c r="E203" s="10"/>
      <c r="F203" s="5" t="e">
        <f>IF(DataExtraction="Manual",SUMIF('[1]TrialBalance (YTD)'!$C:$C,B203,'[1]TrialBalance (YTD)'!$E:$E),SUMIF('[1]TrialBalance (YTD)'!$G:$G,B203,'[1]TrialBalance (YTD)'!$I:$I))</f>
        <v>#VALUE!</v>
      </c>
      <c r="G203" s="5">
        <f>IFERROR(INDEX('[1]TrialBalance (YTD)'!$G:$S,MATCH([1]TBMapping!$C205,'[1]TrialBalance (YTD)'!G:G,0),MATCH([1]TBMapping!H$3,'[1]TrialBalance (YTD)'!$G$7:$Z$7,0)),0)</f>
        <v>0</v>
      </c>
      <c r="H203" s="5" t="e">
        <f>SUMIF('[1]TrialBalance (YTD)'!G:G,B203,'[1]TrialBalance (YTD)'!H:H)</f>
        <v>#VALUE!</v>
      </c>
      <c r="I203" s="5">
        <f>IFERROR(INDEX('[1]TrialBalance (YTD)'!$G:$S,MATCH([1]TBMapping!$C205,'[1]TrialBalance (YTD)'!G:G,0),MATCH([1]TBMapping!J$3,'[1]TrialBalance (YTD)'!$G$7:$Z$7,0)),0)</f>
        <v>0</v>
      </c>
      <c r="K203" s="5" t="e">
        <f>SUMIF('[1]TrialBalance (Quarter)'!$A:$A,B203,'[1]TrialBalance (Quarter)'!$B:$B)</f>
        <v>#VALUE!</v>
      </c>
      <c r="L203" s="5">
        <f>IFERROR(INDEX('[1]TrialBalance (Quarter)'!$A:$L,MATCH([1]TBMapping!$C205,'[1]TrialBalance (Quarter)'!A:A,0),MATCH([1]TBMapping!M$3,'[1]TrialBalance (Quarter)'!$7:$7,0)),0)</f>
        <v>0</v>
      </c>
      <c r="M203" s="5">
        <f>IFERROR(INDEX('[1]TrialBalance (Quarter)'!$A:$L,MATCH([1]TBMapping!$C205,'[1]TrialBalance (Quarter)'!A:A,0),MATCH([1]TBMapping!N$3,'[1]TrialBalance (Quarter)'!$7:$7,0)),0)</f>
        <v>0</v>
      </c>
      <c r="N203" s="5">
        <f>IFERROR(INDEX('[1]TrialBalance (Quarter)'!$A:$L,MATCH([1]TBMapping!$C205,'[1]TrialBalance (Quarter)'!A:A,0),MATCH([1]TBMapping!O$3,'[1]TrialBalance (Quarter)'!$7:$7,0)),0)</f>
        <v>0</v>
      </c>
    </row>
    <row r="204" spans="1:14">
      <c r="A204" s="2">
        <v>105</v>
      </c>
      <c r="B204" s="3">
        <v>113120</v>
      </c>
      <c r="C204" s="10" t="s">
        <v>191</v>
      </c>
      <c r="D204" s="10" t="s">
        <v>11</v>
      </c>
      <c r="E204" s="10"/>
      <c r="F204" s="5" t="e">
        <f>IF(DataExtraction="Manual",SUMIF('[1]TrialBalance (YTD)'!$C:$C,B204,'[1]TrialBalance (YTD)'!$E:$E),SUMIF('[1]TrialBalance (YTD)'!$G:$G,B204,'[1]TrialBalance (YTD)'!$I:$I))</f>
        <v>#VALUE!</v>
      </c>
      <c r="G204" s="5">
        <f>IFERROR(INDEX('[1]TrialBalance (YTD)'!$G:$S,MATCH([1]TBMapping!$C206,'[1]TrialBalance (YTD)'!G:G,0),MATCH([1]TBMapping!H$3,'[1]TrialBalance (YTD)'!$G$7:$Z$7,0)),0)</f>
        <v>0</v>
      </c>
      <c r="H204" s="5" t="e">
        <f>SUMIF('[1]TrialBalance (YTD)'!G:G,B204,'[1]TrialBalance (YTD)'!H:H)</f>
        <v>#VALUE!</v>
      </c>
      <c r="I204" s="5">
        <f>IFERROR(INDEX('[1]TrialBalance (YTD)'!$G:$S,MATCH([1]TBMapping!$C206,'[1]TrialBalance (YTD)'!G:G,0),MATCH([1]TBMapping!J$3,'[1]TrialBalance (YTD)'!$G$7:$Z$7,0)),0)</f>
        <v>0</v>
      </c>
      <c r="K204" s="5" t="e">
        <f>SUMIF('[1]TrialBalance (Quarter)'!$A:$A,B204,'[1]TrialBalance (Quarter)'!$B:$B)</f>
        <v>#VALUE!</v>
      </c>
      <c r="L204" s="5">
        <f>IFERROR(INDEX('[1]TrialBalance (Quarter)'!$A:$L,MATCH([1]TBMapping!$C206,'[1]TrialBalance (Quarter)'!A:A,0),MATCH([1]TBMapping!M$3,'[1]TrialBalance (Quarter)'!$7:$7,0)),0)</f>
        <v>0</v>
      </c>
      <c r="M204" s="5">
        <f>IFERROR(INDEX('[1]TrialBalance (Quarter)'!$A:$L,MATCH([1]TBMapping!$C206,'[1]TrialBalance (Quarter)'!A:A,0),MATCH([1]TBMapping!N$3,'[1]TrialBalance (Quarter)'!$7:$7,0)),0)</f>
        <v>0</v>
      </c>
      <c r="N204" s="5">
        <f>IFERROR(INDEX('[1]TrialBalance (Quarter)'!$A:$L,MATCH([1]TBMapping!$C206,'[1]TrialBalance (Quarter)'!A:A,0),MATCH([1]TBMapping!O$3,'[1]TrialBalance (Quarter)'!$7:$7,0)),0)</f>
        <v>0</v>
      </c>
    </row>
    <row r="205" spans="1:14">
      <c r="B205" s="3">
        <v>113999</v>
      </c>
      <c r="C205" s="11" t="s">
        <v>192</v>
      </c>
      <c r="D205" s="11" t="s">
        <v>16</v>
      </c>
      <c r="E205" s="11"/>
      <c r="F205" s="5" t="e">
        <f>IF(DataExtraction="Manual",SUMIF('[1]TrialBalance (YTD)'!$C:$C,B205,'[1]TrialBalance (YTD)'!$E:$E),SUMIF('[1]TrialBalance (YTD)'!$G:$G,B205,'[1]TrialBalance (YTD)'!$I:$I))</f>
        <v>#VALUE!</v>
      </c>
      <c r="G205" s="5">
        <f>IFERROR(INDEX('[1]TrialBalance (YTD)'!$G:$S,MATCH([1]TBMapping!$C207,'[1]TrialBalance (YTD)'!G:G,0),MATCH([1]TBMapping!H$3,'[1]TrialBalance (YTD)'!$G$7:$Z$7,0)),0)</f>
        <v>0</v>
      </c>
      <c r="H205" s="5" t="e">
        <f>SUMIF('[1]TrialBalance (YTD)'!G:G,B205,'[1]TrialBalance (YTD)'!H:H)</f>
        <v>#VALUE!</v>
      </c>
      <c r="I205" s="5">
        <f>IFERROR(INDEX('[1]TrialBalance (YTD)'!$G:$S,MATCH([1]TBMapping!$C207,'[1]TrialBalance (YTD)'!G:G,0),MATCH([1]TBMapping!J$3,'[1]TrialBalance (YTD)'!$G$7:$Z$7,0)),0)</f>
        <v>0</v>
      </c>
      <c r="K205" s="5" t="e">
        <f>SUMIF('[1]TrialBalance (Quarter)'!$A:$A,B205,'[1]TrialBalance (Quarter)'!$B:$B)</f>
        <v>#VALUE!</v>
      </c>
      <c r="L205" s="5">
        <f>IFERROR(INDEX('[1]TrialBalance (Quarter)'!$A:$L,MATCH([1]TBMapping!$C207,'[1]TrialBalance (Quarter)'!A:A,0),MATCH([1]TBMapping!M$3,'[1]TrialBalance (Quarter)'!$7:$7,0)),0)</f>
        <v>0</v>
      </c>
      <c r="M205" s="5">
        <f>IFERROR(INDEX('[1]TrialBalance (Quarter)'!$A:$L,MATCH([1]TBMapping!$C207,'[1]TrialBalance (Quarter)'!A:A,0),MATCH([1]TBMapping!N$3,'[1]TrialBalance (Quarter)'!$7:$7,0)),0)</f>
        <v>0</v>
      </c>
      <c r="N205" s="5">
        <f>IFERROR(INDEX('[1]TrialBalance (Quarter)'!$A:$L,MATCH([1]TBMapping!$C207,'[1]TrialBalance (Quarter)'!A:A,0),MATCH([1]TBMapping!O$3,'[1]TrialBalance (Quarter)'!$7:$7,0)),0)</f>
        <v>0</v>
      </c>
    </row>
    <row r="206" spans="1:14">
      <c r="B206" s="3">
        <v>114000</v>
      </c>
      <c r="C206" s="10" t="s">
        <v>193</v>
      </c>
      <c r="D206" s="10" t="s">
        <v>5</v>
      </c>
      <c r="E206" s="10"/>
      <c r="F206" s="5" t="e">
        <f>IF(DataExtraction="Manual",SUMIF('[1]TrialBalance (YTD)'!$C:$C,B206,'[1]TrialBalance (YTD)'!$E:$E),SUMIF('[1]TrialBalance (YTD)'!$G:$G,B206,'[1]TrialBalance (YTD)'!$I:$I))</f>
        <v>#VALUE!</v>
      </c>
      <c r="G206" s="5">
        <f>IFERROR(INDEX('[1]TrialBalance (YTD)'!$G:$S,MATCH([1]TBMapping!$C208,'[1]TrialBalance (YTD)'!G:G,0),MATCH([1]TBMapping!H$3,'[1]TrialBalance (YTD)'!$G$7:$Z$7,0)),0)</f>
        <v>0</v>
      </c>
      <c r="H206" s="5" t="e">
        <f>SUMIF('[1]TrialBalance (YTD)'!G:G,B206,'[1]TrialBalance (YTD)'!H:H)</f>
        <v>#VALUE!</v>
      </c>
      <c r="I206" s="5">
        <f>IFERROR(INDEX('[1]TrialBalance (YTD)'!$G:$S,MATCH([1]TBMapping!$C208,'[1]TrialBalance (YTD)'!G:G,0),MATCH([1]TBMapping!J$3,'[1]TrialBalance (YTD)'!$G$7:$Z$7,0)),0)</f>
        <v>0</v>
      </c>
      <c r="K206" s="5" t="e">
        <f>SUMIF('[1]TrialBalance (Quarter)'!$A:$A,B206,'[1]TrialBalance (Quarter)'!$B:$B)</f>
        <v>#VALUE!</v>
      </c>
      <c r="L206" s="5">
        <f>IFERROR(INDEX('[1]TrialBalance (Quarter)'!$A:$L,MATCH([1]TBMapping!$C208,'[1]TrialBalance (Quarter)'!A:A,0),MATCH([1]TBMapping!M$3,'[1]TrialBalance (Quarter)'!$7:$7,0)),0)</f>
        <v>0</v>
      </c>
      <c r="M206" s="5">
        <f>IFERROR(INDEX('[1]TrialBalance (Quarter)'!$A:$L,MATCH([1]TBMapping!$C208,'[1]TrialBalance (Quarter)'!A:A,0),MATCH([1]TBMapping!N$3,'[1]TrialBalance (Quarter)'!$7:$7,0)),0)</f>
        <v>0</v>
      </c>
      <c r="N206" s="5">
        <f>IFERROR(INDEX('[1]TrialBalance (Quarter)'!$A:$L,MATCH([1]TBMapping!$C208,'[1]TrialBalance (Quarter)'!A:A,0),MATCH([1]TBMapping!O$3,'[1]TrialBalance (Quarter)'!$7:$7,0)),0)</f>
        <v>0</v>
      </c>
    </row>
    <row r="207" spans="1:14">
      <c r="B207" s="3">
        <v>114100</v>
      </c>
      <c r="C207" s="11" t="s">
        <v>194</v>
      </c>
      <c r="D207" s="11" t="s">
        <v>5</v>
      </c>
      <c r="E207" s="11"/>
      <c r="F207" s="5" t="e">
        <f>IF(DataExtraction="Manual",SUMIF('[1]TrialBalance (YTD)'!$C:$C,B207,'[1]TrialBalance (YTD)'!$E:$E),SUMIF('[1]TrialBalance (YTD)'!$G:$G,B207,'[1]TrialBalance (YTD)'!$I:$I))</f>
        <v>#VALUE!</v>
      </c>
      <c r="G207" s="5">
        <f>IFERROR(INDEX('[1]TrialBalance (YTD)'!$G:$S,MATCH([1]TBMapping!$C209,'[1]TrialBalance (YTD)'!G:G,0),MATCH([1]TBMapping!H$3,'[1]TrialBalance (YTD)'!$G$7:$Z$7,0)),0)</f>
        <v>0</v>
      </c>
      <c r="H207" s="5" t="e">
        <f>SUMIF('[1]TrialBalance (YTD)'!G:G,B207,'[1]TrialBalance (YTD)'!H:H)</f>
        <v>#VALUE!</v>
      </c>
      <c r="I207" s="5">
        <f>IFERROR(INDEX('[1]TrialBalance (YTD)'!$G:$S,MATCH([1]TBMapping!$C209,'[1]TrialBalance (YTD)'!G:G,0),MATCH([1]TBMapping!J$3,'[1]TrialBalance (YTD)'!$G$7:$Z$7,0)),0)</f>
        <v>0</v>
      </c>
      <c r="K207" s="5" t="e">
        <f>SUMIF('[1]TrialBalance (Quarter)'!$A:$A,B207,'[1]TrialBalance (Quarter)'!$B:$B)</f>
        <v>#VALUE!</v>
      </c>
      <c r="L207" s="5">
        <f>IFERROR(INDEX('[1]TrialBalance (Quarter)'!$A:$L,MATCH([1]TBMapping!$C209,'[1]TrialBalance (Quarter)'!A:A,0),MATCH([1]TBMapping!M$3,'[1]TrialBalance (Quarter)'!$7:$7,0)),0)</f>
        <v>0</v>
      </c>
      <c r="M207" s="5">
        <f>IFERROR(INDEX('[1]TrialBalance (Quarter)'!$A:$L,MATCH([1]TBMapping!$C209,'[1]TrialBalance (Quarter)'!A:A,0),MATCH([1]TBMapping!N$3,'[1]TrialBalance (Quarter)'!$7:$7,0)),0)</f>
        <v>0</v>
      </c>
      <c r="N207" s="5">
        <f>IFERROR(INDEX('[1]TrialBalance (Quarter)'!$A:$L,MATCH([1]TBMapping!$C209,'[1]TrialBalance (Quarter)'!A:A,0),MATCH([1]TBMapping!O$3,'[1]TrialBalance (Quarter)'!$7:$7,0)),0)</f>
        <v>0</v>
      </c>
    </row>
    <row r="208" spans="1:14">
      <c r="A208" s="2">
        <v>105</v>
      </c>
      <c r="B208" s="3">
        <v>114110</v>
      </c>
      <c r="C208" s="10" t="s">
        <v>195</v>
      </c>
      <c r="D208" s="10" t="s">
        <v>11</v>
      </c>
      <c r="E208" s="10"/>
      <c r="F208" s="5" t="e">
        <f>IF(DataExtraction="Manual",SUMIF('[1]TrialBalance (YTD)'!$C:$C,B208,'[1]TrialBalance (YTD)'!$E:$E),SUMIF('[1]TrialBalance (YTD)'!$G:$G,B208,'[1]TrialBalance (YTD)'!$I:$I))</f>
        <v>#VALUE!</v>
      </c>
      <c r="G208" s="5">
        <f>IFERROR(INDEX('[1]TrialBalance (YTD)'!$G:$S,MATCH([1]TBMapping!$C210,'[1]TrialBalance (YTD)'!G:G,0),MATCH([1]TBMapping!H$3,'[1]TrialBalance (YTD)'!$G$7:$Z$7,0)),0)</f>
        <v>0</v>
      </c>
      <c r="H208" s="5" t="e">
        <f>SUMIF('[1]TrialBalance (YTD)'!G:G,B208,'[1]TrialBalance (YTD)'!H:H)</f>
        <v>#VALUE!</v>
      </c>
      <c r="I208" s="5">
        <f>IFERROR(INDEX('[1]TrialBalance (YTD)'!$G:$S,MATCH([1]TBMapping!$C210,'[1]TrialBalance (YTD)'!G:G,0),MATCH([1]TBMapping!J$3,'[1]TrialBalance (YTD)'!$G$7:$Z$7,0)),0)</f>
        <v>0</v>
      </c>
      <c r="K208" s="5" t="e">
        <f>SUMIF('[1]TrialBalance (Quarter)'!$A:$A,B208,'[1]TrialBalance (Quarter)'!$B:$B)</f>
        <v>#VALUE!</v>
      </c>
      <c r="L208" s="5">
        <f>IFERROR(INDEX('[1]TrialBalance (Quarter)'!$A:$L,MATCH([1]TBMapping!$C210,'[1]TrialBalance (Quarter)'!A:A,0),MATCH([1]TBMapping!M$3,'[1]TrialBalance (Quarter)'!$7:$7,0)),0)</f>
        <v>0</v>
      </c>
      <c r="M208" s="5">
        <f>IFERROR(INDEX('[1]TrialBalance (Quarter)'!$A:$L,MATCH([1]TBMapping!$C210,'[1]TrialBalance (Quarter)'!A:A,0),MATCH([1]TBMapping!N$3,'[1]TrialBalance (Quarter)'!$7:$7,0)),0)</f>
        <v>0</v>
      </c>
      <c r="N208" s="5">
        <f>IFERROR(INDEX('[1]TrialBalance (Quarter)'!$A:$L,MATCH([1]TBMapping!$C210,'[1]TrialBalance (Quarter)'!A:A,0),MATCH([1]TBMapping!O$3,'[1]TrialBalance (Quarter)'!$7:$7,0)),0)</f>
        <v>0</v>
      </c>
    </row>
    <row r="209" spans="1:14">
      <c r="A209" s="2">
        <v>105</v>
      </c>
      <c r="B209" s="3">
        <v>114120</v>
      </c>
      <c r="C209" s="11" t="s">
        <v>196</v>
      </c>
      <c r="D209" s="11" t="s">
        <v>11</v>
      </c>
      <c r="E209" s="11"/>
      <c r="F209" s="5" t="e">
        <f>IF(DataExtraction="Manual",SUMIF('[1]TrialBalance (YTD)'!$C:$C,B209,'[1]TrialBalance (YTD)'!$E:$E),SUMIF('[1]TrialBalance (YTD)'!$G:$G,B209,'[1]TrialBalance (YTD)'!$I:$I))</f>
        <v>#VALUE!</v>
      </c>
      <c r="G209" s="5">
        <f>IFERROR(INDEX('[1]TrialBalance (YTD)'!$G:$S,MATCH([1]TBMapping!$C211,'[1]TrialBalance (YTD)'!G:G,0),MATCH([1]TBMapping!H$3,'[1]TrialBalance (YTD)'!$G$7:$Z$7,0)),0)</f>
        <v>0</v>
      </c>
      <c r="H209" s="5" t="e">
        <f>SUMIF('[1]TrialBalance (YTD)'!G:G,B209,'[1]TrialBalance (YTD)'!H:H)</f>
        <v>#VALUE!</v>
      </c>
      <c r="I209" s="5">
        <f>IFERROR(INDEX('[1]TrialBalance (YTD)'!$G:$S,MATCH([1]TBMapping!$C211,'[1]TrialBalance (YTD)'!G:G,0),MATCH([1]TBMapping!J$3,'[1]TrialBalance (YTD)'!$G$7:$Z$7,0)),0)</f>
        <v>0</v>
      </c>
      <c r="K209" s="5" t="e">
        <f>SUMIF('[1]TrialBalance (Quarter)'!$A:$A,B209,'[1]TrialBalance (Quarter)'!$B:$B)</f>
        <v>#VALUE!</v>
      </c>
      <c r="L209" s="5">
        <f>IFERROR(INDEX('[1]TrialBalance (Quarter)'!$A:$L,MATCH([1]TBMapping!$C211,'[1]TrialBalance (Quarter)'!A:A,0),MATCH([1]TBMapping!M$3,'[1]TrialBalance (Quarter)'!$7:$7,0)),0)</f>
        <v>0</v>
      </c>
      <c r="M209" s="5">
        <f>IFERROR(INDEX('[1]TrialBalance (Quarter)'!$A:$L,MATCH([1]TBMapping!$C211,'[1]TrialBalance (Quarter)'!A:A,0),MATCH([1]TBMapping!N$3,'[1]TrialBalance (Quarter)'!$7:$7,0)),0)</f>
        <v>0</v>
      </c>
      <c r="N209" s="5">
        <f>IFERROR(INDEX('[1]TrialBalance (Quarter)'!$A:$L,MATCH([1]TBMapping!$C211,'[1]TrialBalance (Quarter)'!A:A,0),MATCH([1]TBMapping!O$3,'[1]TrialBalance (Quarter)'!$7:$7,0)),0)</f>
        <v>0</v>
      </c>
    </row>
    <row r="210" spans="1:14">
      <c r="A210" s="2">
        <v>105</v>
      </c>
      <c r="B210" s="3">
        <v>114130</v>
      </c>
      <c r="C210" s="10" t="s">
        <v>197</v>
      </c>
      <c r="D210" s="10" t="s">
        <v>11</v>
      </c>
      <c r="E210" s="10"/>
      <c r="F210" s="5" t="e">
        <f>IF(DataExtraction="Manual",SUMIF('[1]TrialBalance (YTD)'!$C:$C,B210,'[1]TrialBalance (YTD)'!$E:$E),SUMIF('[1]TrialBalance (YTD)'!$G:$G,B210,'[1]TrialBalance (YTD)'!$I:$I))</f>
        <v>#VALUE!</v>
      </c>
      <c r="G210" s="5">
        <f>IFERROR(INDEX('[1]TrialBalance (YTD)'!$G:$S,MATCH([1]TBMapping!$C212,'[1]TrialBalance (YTD)'!G:G,0),MATCH([1]TBMapping!H$3,'[1]TrialBalance (YTD)'!$G$7:$Z$7,0)),0)</f>
        <v>0</v>
      </c>
      <c r="H210" s="5" t="e">
        <f>SUMIF('[1]TrialBalance (YTD)'!G:G,B210,'[1]TrialBalance (YTD)'!H:H)</f>
        <v>#VALUE!</v>
      </c>
      <c r="I210" s="5">
        <f>IFERROR(INDEX('[1]TrialBalance (YTD)'!$G:$S,MATCH([1]TBMapping!$C212,'[1]TrialBalance (YTD)'!G:G,0),MATCH([1]TBMapping!J$3,'[1]TrialBalance (YTD)'!$G$7:$Z$7,0)),0)</f>
        <v>0</v>
      </c>
      <c r="K210" s="5" t="e">
        <f>SUMIF('[1]TrialBalance (Quarter)'!$A:$A,B210,'[1]TrialBalance (Quarter)'!$B:$B)</f>
        <v>#VALUE!</v>
      </c>
      <c r="L210" s="5">
        <f>IFERROR(INDEX('[1]TrialBalance (Quarter)'!$A:$L,MATCH([1]TBMapping!$C212,'[1]TrialBalance (Quarter)'!A:A,0),MATCH([1]TBMapping!M$3,'[1]TrialBalance (Quarter)'!$7:$7,0)),0)</f>
        <v>0</v>
      </c>
      <c r="M210" s="5">
        <f>IFERROR(INDEX('[1]TrialBalance (Quarter)'!$A:$L,MATCH([1]TBMapping!$C212,'[1]TrialBalance (Quarter)'!A:A,0),MATCH([1]TBMapping!N$3,'[1]TrialBalance (Quarter)'!$7:$7,0)),0)</f>
        <v>0</v>
      </c>
      <c r="N210" s="5">
        <f>IFERROR(INDEX('[1]TrialBalance (Quarter)'!$A:$L,MATCH([1]TBMapping!$C212,'[1]TrialBalance (Quarter)'!A:A,0),MATCH([1]TBMapping!O$3,'[1]TrialBalance (Quarter)'!$7:$7,0)),0)</f>
        <v>0</v>
      </c>
    </row>
    <row r="211" spans="1:14">
      <c r="B211" s="3">
        <v>114199</v>
      </c>
      <c r="C211" s="11" t="s">
        <v>198</v>
      </c>
      <c r="D211" s="11" t="s">
        <v>16</v>
      </c>
      <c r="E211" s="11"/>
      <c r="F211" s="5" t="e">
        <f>IF(DataExtraction="Manual",SUMIF('[1]TrialBalance (YTD)'!$C:$C,B211,'[1]TrialBalance (YTD)'!$E:$E),SUMIF('[1]TrialBalance (YTD)'!$G:$G,B211,'[1]TrialBalance (YTD)'!$I:$I))</f>
        <v>#VALUE!</v>
      </c>
      <c r="G211" s="5">
        <f>IFERROR(INDEX('[1]TrialBalance (YTD)'!$G:$S,MATCH([1]TBMapping!$C213,'[1]TrialBalance (YTD)'!G:G,0),MATCH([1]TBMapping!H$3,'[1]TrialBalance (YTD)'!$G$7:$Z$7,0)),0)</f>
        <v>0</v>
      </c>
      <c r="H211" s="5" t="e">
        <f>SUMIF('[1]TrialBalance (YTD)'!G:G,B211,'[1]TrialBalance (YTD)'!H:H)</f>
        <v>#VALUE!</v>
      </c>
      <c r="I211" s="5">
        <f>IFERROR(INDEX('[1]TrialBalance (YTD)'!$G:$S,MATCH([1]TBMapping!$C213,'[1]TrialBalance (YTD)'!G:G,0),MATCH([1]TBMapping!J$3,'[1]TrialBalance (YTD)'!$G$7:$Z$7,0)),0)</f>
        <v>0</v>
      </c>
      <c r="K211" s="5" t="e">
        <f>SUMIF('[1]TrialBalance (Quarter)'!$A:$A,B211,'[1]TrialBalance (Quarter)'!$B:$B)</f>
        <v>#VALUE!</v>
      </c>
      <c r="L211" s="5">
        <f>IFERROR(INDEX('[1]TrialBalance (Quarter)'!$A:$L,MATCH([1]TBMapping!$C213,'[1]TrialBalance (Quarter)'!A:A,0),MATCH([1]TBMapping!M$3,'[1]TrialBalance (Quarter)'!$7:$7,0)),0)</f>
        <v>0</v>
      </c>
      <c r="M211" s="5">
        <f>IFERROR(INDEX('[1]TrialBalance (Quarter)'!$A:$L,MATCH([1]TBMapping!$C213,'[1]TrialBalance (Quarter)'!A:A,0),MATCH([1]TBMapping!N$3,'[1]TrialBalance (Quarter)'!$7:$7,0)),0)</f>
        <v>0</v>
      </c>
      <c r="N211" s="5">
        <f>IFERROR(INDEX('[1]TrialBalance (Quarter)'!$A:$L,MATCH([1]TBMapping!$C213,'[1]TrialBalance (Quarter)'!A:A,0),MATCH([1]TBMapping!O$3,'[1]TrialBalance (Quarter)'!$7:$7,0)),0)</f>
        <v>0</v>
      </c>
    </row>
    <row r="212" spans="1:14">
      <c r="B212" s="3">
        <v>114200</v>
      </c>
      <c r="C212" s="10" t="s">
        <v>199</v>
      </c>
      <c r="D212" s="10" t="s">
        <v>5</v>
      </c>
      <c r="E212" s="10"/>
      <c r="F212" s="5" t="e">
        <f>IF(DataExtraction="Manual",SUMIF('[1]TrialBalance (YTD)'!$C:$C,B212,'[1]TrialBalance (YTD)'!$E:$E),SUMIF('[1]TrialBalance (YTD)'!$G:$G,B212,'[1]TrialBalance (YTD)'!$I:$I))</f>
        <v>#VALUE!</v>
      </c>
      <c r="G212" s="5">
        <f>IFERROR(INDEX('[1]TrialBalance (YTD)'!$G:$S,MATCH([1]TBMapping!$C214,'[1]TrialBalance (YTD)'!G:G,0),MATCH([1]TBMapping!H$3,'[1]TrialBalance (YTD)'!$G$7:$Z$7,0)),0)</f>
        <v>0</v>
      </c>
      <c r="H212" s="5" t="e">
        <f>SUMIF('[1]TrialBalance (YTD)'!G:G,B212,'[1]TrialBalance (YTD)'!H:H)</f>
        <v>#VALUE!</v>
      </c>
      <c r="I212" s="5">
        <f>IFERROR(INDEX('[1]TrialBalance (YTD)'!$G:$S,MATCH([1]TBMapping!$C214,'[1]TrialBalance (YTD)'!G:G,0),MATCH([1]TBMapping!J$3,'[1]TrialBalance (YTD)'!$G$7:$Z$7,0)),0)</f>
        <v>0</v>
      </c>
      <c r="K212" s="5" t="e">
        <f>SUMIF('[1]TrialBalance (Quarter)'!$A:$A,B212,'[1]TrialBalance (Quarter)'!$B:$B)</f>
        <v>#VALUE!</v>
      </c>
      <c r="L212" s="5">
        <f>IFERROR(INDEX('[1]TrialBalance (Quarter)'!$A:$L,MATCH([1]TBMapping!$C214,'[1]TrialBalance (Quarter)'!A:A,0),MATCH([1]TBMapping!M$3,'[1]TrialBalance (Quarter)'!$7:$7,0)),0)</f>
        <v>0</v>
      </c>
      <c r="M212" s="5">
        <f>IFERROR(INDEX('[1]TrialBalance (Quarter)'!$A:$L,MATCH([1]TBMapping!$C214,'[1]TrialBalance (Quarter)'!A:A,0),MATCH([1]TBMapping!N$3,'[1]TrialBalance (Quarter)'!$7:$7,0)),0)</f>
        <v>0</v>
      </c>
      <c r="N212" s="5">
        <f>IFERROR(INDEX('[1]TrialBalance (Quarter)'!$A:$L,MATCH([1]TBMapping!$C214,'[1]TrialBalance (Quarter)'!A:A,0),MATCH([1]TBMapping!O$3,'[1]TrialBalance (Quarter)'!$7:$7,0)),0)</f>
        <v>0</v>
      </c>
    </row>
    <row r="213" spans="1:14">
      <c r="A213" s="2">
        <v>105</v>
      </c>
      <c r="B213" s="3">
        <v>114210</v>
      </c>
      <c r="C213" s="11" t="s">
        <v>200</v>
      </c>
      <c r="D213" s="11" t="s">
        <v>11</v>
      </c>
      <c r="E213" s="11"/>
      <c r="F213" s="5" t="e">
        <f>IF(DataExtraction="Manual",SUMIF('[1]TrialBalance (YTD)'!$C:$C,B213,'[1]TrialBalance (YTD)'!$E:$E),SUMIF('[1]TrialBalance (YTD)'!$G:$G,B213,'[1]TrialBalance (YTD)'!$I:$I))</f>
        <v>#VALUE!</v>
      </c>
      <c r="G213" s="5">
        <f>IFERROR(INDEX('[1]TrialBalance (YTD)'!$G:$S,MATCH([1]TBMapping!$C215,'[1]TrialBalance (YTD)'!G:G,0),MATCH([1]TBMapping!H$3,'[1]TrialBalance (YTD)'!$G$7:$Z$7,0)),0)</f>
        <v>0</v>
      </c>
      <c r="H213" s="5" t="e">
        <f>SUMIF('[1]TrialBalance (YTD)'!G:G,B213,'[1]TrialBalance (YTD)'!H:H)</f>
        <v>#VALUE!</v>
      </c>
      <c r="I213" s="5">
        <f>IFERROR(INDEX('[1]TrialBalance (YTD)'!$G:$S,MATCH([1]TBMapping!$C215,'[1]TrialBalance (YTD)'!G:G,0),MATCH([1]TBMapping!J$3,'[1]TrialBalance (YTD)'!$G$7:$Z$7,0)),0)</f>
        <v>0</v>
      </c>
      <c r="K213" s="5" t="e">
        <f>SUMIF('[1]TrialBalance (Quarter)'!$A:$A,B213,'[1]TrialBalance (Quarter)'!$B:$B)</f>
        <v>#VALUE!</v>
      </c>
      <c r="L213" s="5">
        <f>IFERROR(INDEX('[1]TrialBalance (Quarter)'!$A:$L,MATCH([1]TBMapping!$C215,'[1]TrialBalance (Quarter)'!A:A,0),MATCH([1]TBMapping!M$3,'[1]TrialBalance (Quarter)'!$7:$7,0)),0)</f>
        <v>0</v>
      </c>
      <c r="M213" s="5">
        <f>IFERROR(INDEX('[1]TrialBalance (Quarter)'!$A:$L,MATCH([1]TBMapping!$C215,'[1]TrialBalance (Quarter)'!A:A,0),MATCH([1]TBMapping!N$3,'[1]TrialBalance (Quarter)'!$7:$7,0)),0)</f>
        <v>0</v>
      </c>
      <c r="N213" s="5">
        <f>IFERROR(INDEX('[1]TrialBalance (Quarter)'!$A:$L,MATCH([1]TBMapping!$C215,'[1]TrialBalance (Quarter)'!A:A,0),MATCH([1]TBMapping!O$3,'[1]TrialBalance (Quarter)'!$7:$7,0)),0)</f>
        <v>0</v>
      </c>
    </row>
    <row r="214" spans="1:14">
      <c r="B214" s="3">
        <v>114299</v>
      </c>
      <c r="C214" s="10" t="s">
        <v>199</v>
      </c>
      <c r="D214" s="10" t="s">
        <v>16</v>
      </c>
      <c r="E214" s="10"/>
      <c r="F214" s="5" t="e">
        <f>IF(DataExtraction="Manual",SUMIF('[1]TrialBalance (YTD)'!$C:$C,B214,'[1]TrialBalance (YTD)'!$E:$E),SUMIF('[1]TrialBalance (YTD)'!$G:$G,B214,'[1]TrialBalance (YTD)'!$I:$I))</f>
        <v>#VALUE!</v>
      </c>
      <c r="G214" s="5">
        <f>IFERROR(INDEX('[1]TrialBalance (YTD)'!$G:$S,MATCH([1]TBMapping!$C216,'[1]TrialBalance (YTD)'!G:G,0),MATCH([1]TBMapping!H$3,'[1]TrialBalance (YTD)'!$G$7:$Z$7,0)),0)</f>
        <v>0</v>
      </c>
      <c r="H214" s="5" t="e">
        <f>SUMIF('[1]TrialBalance (YTD)'!G:G,B214,'[1]TrialBalance (YTD)'!H:H)</f>
        <v>#VALUE!</v>
      </c>
      <c r="I214" s="5">
        <f>IFERROR(INDEX('[1]TrialBalance (YTD)'!$G:$S,MATCH([1]TBMapping!$C216,'[1]TrialBalance (YTD)'!G:G,0),MATCH([1]TBMapping!J$3,'[1]TrialBalance (YTD)'!$G$7:$Z$7,0)),0)</f>
        <v>0</v>
      </c>
      <c r="K214" s="5" t="e">
        <f>SUMIF('[1]TrialBalance (Quarter)'!$A:$A,B214,'[1]TrialBalance (Quarter)'!$B:$B)</f>
        <v>#VALUE!</v>
      </c>
      <c r="L214" s="5">
        <f>IFERROR(INDEX('[1]TrialBalance (Quarter)'!$A:$L,MATCH([1]TBMapping!$C216,'[1]TrialBalance (Quarter)'!A:A,0),MATCH([1]TBMapping!M$3,'[1]TrialBalance (Quarter)'!$7:$7,0)),0)</f>
        <v>0</v>
      </c>
      <c r="M214" s="5">
        <f>IFERROR(INDEX('[1]TrialBalance (Quarter)'!$A:$L,MATCH([1]TBMapping!$C216,'[1]TrialBalance (Quarter)'!A:A,0),MATCH([1]TBMapping!N$3,'[1]TrialBalance (Quarter)'!$7:$7,0)),0)</f>
        <v>0</v>
      </c>
      <c r="N214" s="5">
        <f>IFERROR(INDEX('[1]TrialBalance (Quarter)'!$A:$L,MATCH([1]TBMapping!$C216,'[1]TrialBalance (Quarter)'!A:A,0),MATCH([1]TBMapping!O$3,'[1]TrialBalance (Quarter)'!$7:$7,0)),0)</f>
        <v>0</v>
      </c>
    </row>
    <row r="215" spans="1:14">
      <c r="B215" s="3">
        <v>114300</v>
      </c>
      <c r="C215" s="11" t="s">
        <v>201</v>
      </c>
      <c r="D215" s="11" t="s">
        <v>5</v>
      </c>
      <c r="E215" s="11"/>
      <c r="F215" s="5" t="e">
        <f>IF(DataExtraction="Manual",SUMIF('[1]TrialBalance (YTD)'!$C:$C,B215,'[1]TrialBalance (YTD)'!$E:$E),SUMIF('[1]TrialBalance (YTD)'!$G:$G,B215,'[1]TrialBalance (YTD)'!$I:$I))</f>
        <v>#VALUE!</v>
      </c>
      <c r="G215" s="5">
        <f>IFERROR(INDEX('[1]TrialBalance (YTD)'!$G:$S,MATCH([1]TBMapping!$C217,'[1]TrialBalance (YTD)'!G:G,0),MATCH([1]TBMapping!H$3,'[1]TrialBalance (YTD)'!$G$7:$Z$7,0)),0)</f>
        <v>0</v>
      </c>
      <c r="H215" s="5" t="e">
        <f>SUMIF('[1]TrialBalance (YTD)'!G:G,B215,'[1]TrialBalance (YTD)'!H:H)</f>
        <v>#VALUE!</v>
      </c>
      <c r="I215" s="5">
        <f>IFERROR(INDEX('[1]TrialBalance (YTD)'!$G:$S,MATCH([1]TBMapping!$C217,'[1]TrialBalance (YTD)'!G:G,0),MATCH([1]TBMapping!J$3,'[1]TrialBalance (YTD)'!$G$7:$Z$7,0)),0)</f>
        <v>0</v>
      </c>
      <c r="K215" s="5" t="e">
        <f>SUMIF('[1]TrialBalance (Quarter)'!$A:$A,B215,'[1]TrialBalance (Quarter)'!$B:$B)</f>
        <v>#VALUE!</v>
      </c>
      <c r="L215" s="5">
        <f>IFERROR(INDEX('[1]TrialBalance (Quarter)'!$A:$L,MATCH([1]TBMapping!$C217,'[1]TrialBalance (Quarter)'!A:A,0),MATCH([1]TBMapping!M$3,'[1]TrialBalance (Quarter)'!$7:$7,0)),0)</f>
        <v>0</v>
      </c>
      <c r="M215" s="5">
        <f>IFERROR(INDEX('[1]TrialBalance (Quarter)'!$A:$L,MATCH([1]TBMapping!$C217,'[1]TrialBalance (Quarter)'!A:A,0),MATCH([1]TBMapping!N$3,'[1]TrialBalance (Quarter)'!$7:$7,0)),0)</f>
        <v>0</v>
      </c>
      <c r="N215" s="5">
        <f>IFERROR(INDEX('[1]TrialBalance (Quarter)'!$A:$L,MATCH([1]TBMapping!$C217,'[1]TrialBalance (Quarter)'!A:A,0),MATCH([1]TBMapping!O$3,'[1]TrialBalance (Quarter)'!$7:$7,0)),0)</f>
        <v>0</v>
      </c>
    </row>
    <row r="216" spans="1:14">
      <c r="A216" s="2">
        <v>105</v>
      </c>
      <c r="B216" s="3">
        <v>114310</v>
      </c>
      <c r="C216" s="10" t="s">
        <v>201</v>
      </c>
      <c r="D216" s="10" t="s">
        <v>11</v>
      </c>
      <c r="E216" s="10"/>
      <c r="F216" s="5" t="e">
        <f>IF(DataExtraction="Manual",SUMIF('[1]TrialBalance (YTD)'!$C:$C,B216,'[1]TrialBalance (YTD)'!$E:$E),SUMIF('[1]TrialBalance (YTD)'!$G:$G,B216,'[1]TrialBalance (YTD)'!$I:$I))</f>
        <v>#VALUE!</v>
      </c>
      <c r="G216" s="5">
        <f>IFERROR(INDEX('[1]TrialBalance (YTD)'!$G:$S,MATCH([1]TBMapping!$C218,'[1]TrialBalance (YTD)'!G:G,0),MATCH([1]TBMapping!H$3,'[1]TrialBalance (YTD)'!$G$7:$Z$7,0)),0)</f>
        <v>0</v>
      </c>
      <c r="H216" s="5" t="e">
        <f>SUMIF('[1]TrialBalance (YTD)'!G:G,B216,'[1]TrialBalance (YTD)'!H:H)</f>
        <v>#VALUE!</v>
      </c>
      <c r="I216" s="5">
        <f>IFERROR(INDEX('[1]TrialBalance (YTD)'!$G:$S,MATCH([1]TBMapping!$C218,'[1]TrialBalance (YTD)'!G:G,0),MATCH([1]TBMapping!J$3,'[1]TrialBalance (YTD)'!$G$7:$Z$7,0)),0)</f>
        <v>0</v>
      </c>
      <c r="K216" s="5" t="e">
        <f>SUMIF('[1]TrialBalance (Quarter)'!$A:$A,B216,'[1]TrialBalance (Quarter)'!$B:$B)</f>
        <v>#VALUE!</v>
      </c>
      <c r="L216" s="5">
        <f>IFERROR(INDEX('[1]TrialBalance (Quarter)'!$A:$L,MATCH([1]TBMapping!$C218,'[1]TrialBalance (Quarter)'!A:A,0),MATCH([1]TBMapping!M$3,'[1]TrialBalance (Quarter)'!$7:$7,0)),0)</f>
        <v>0</v>
      </c>
      <c r="M216" s="5">
        <f>IFERROR(INDEX('[1]TrialBalance (Quarter)'!$A:$L,MATCH([1]TBMapping!$C218,'[1]TrialBalance (Quarter)'!A:A,0),MATCH([1]TBMapping!N$3,'[1]TrialBalance (Quarter)'!$7:$7,0)),0)</f>
        <v>0</v>
      </c>
      <c r="N216" s="5">
        <f>IFERROR(INDEX('[1]TrialBalance (Quarter)'!$A:$L,MATCH([1]TBMapping!$C218,'[1]TrialBalance (Quarter)'!A:A,0),MATCH([1]TBMapping!O$3,'[1]TrialBalance (Quarter)'!$7:$7,0)),0)</f>
        <v>0</v>
      </c>
    </row>
    <row r="217" spans="1:14">
      <c r="B217" s="3">
        <v>114399</v>
      </c>
      <c r="C217" s="11" t="s">
        <v>202</v>
      </c>
      <c r="D217" s="11" t="s">
        <v>16</v>
      </c>
      <c r="E217" s="11"/>
      <c r="F217" s="5" t="e">
        <f>IF(DataExtraction="Manual",SUMIF('[1]TrialBalance (YTD)'!$C:$C,B217,'[1]TrialBalance (YTD)'!$E:$E),SUMIF('[1]TrialBalance (YTD)'!$G:$G,B217,'[1]TrialBalance (YTD)'!$I:$I))</f>
        <v>#VALUE!</v>
      </c>
      <c r="G217" s="5">
        <f>IFERROR(INDEX('[1]TrialBalance (YTD)'!$G:$S,MATCH([1]TBMapping!$C219,'[1]TrialBalance (YTD)'!G:G,0),MATCH([1]TBMapping!H$3,'[1]TrialBalance (YTD)'!$G$7:$Z$7,0)),0)</f>
        <v>0</v>
      </c>
      <c r="H217" s="5" t="e">
        <f>SUMIF('[1]TrialBalance (YTD)'!G:G,B217,'[1]TrialBalance (YTD)'!H:H)</f>
        <v>#VALUE!</v>
      </c>
      <c r="I217" s="5">
        <f>IFERROR(INDEX('[1]TrialBalance (YTD)'!$G:$S,MATCH([1]TBMapping!$C219,'[1]TrialBalance (YTD)'!G:G,0),MATCH([1]TBMapping!J$3,'[1]TrialBalance (YTD)'!$G$7:$Z$7,0)),0)</f>
        <v>0</v>
      </c>
      <c r="K217" s="5" t="e">
        <f>SUMIF('[1]TrialBalance (Quarter)'!$A:$A,B217,'[1]TrialBalance (Quarter)'!$B:$B)</f>
        <v>#VALUE!</v>
      </c>
      <c r="L217" s="5">
        <f>IFERROR(INDEX('[1]TrialBalance (Quarter)'!$A:$L,MATCH([1]TBMapping!$C219,'[1]TrialBalance (Quarter)'!A:A,0),MATCH([1]TBMapping!M$3,'[1]TrialBalance (Quarter)'!$7:$7,0)),0)</f>
        <v>0</v>
      </c>
      <c r="M217" s="5">
        <f>IFERROR(INDEX('[1]TrialBalance (Quarter)'!$A:$L,MATCH([1]TBMapping!$C219,'[1]TrialBalance (Quarter)'!A:A,0),MATCH([1]TBMapping!N$3,'[1]TrialBalance (Quarter)'!$7:$7,0)),0)</f>
        <v>0</v>
      </c>
      <c r="N217" s="5">
        <f>IFERROR(INDEX('[1]TrialBalance (Quarter)'!$A:$L,MATCH([1]TBMapping!$C219,'[1]TrialBalance (Quarter)'!A:A,0),MATCH([1]TBMapping!O$3,'[1]TrialBalance (Quarter)'!$7:$7,0)),0)</f>
        <v>0</v>
      </c>
    </row>
    <row r="218" spans="1:14">
      <c r="B218" s="3">
        <v>114500</v>
      </c>
      <c r="C218" s="10" t="s">
        <v>203</v>
      </c>
      <c r="D218" s="10" t="s">
        <v>5</v>
      </c>
      <c r="E218" s="10"/>
      <c r="F218" s="5" t="e">
        <f>IF(DataExtraction="Manual",SUMIF('[1]TrialBalance (YTD)'!$C:$C,B218,'[1]TrialBalance (YTD)'!$E:$E),SUMIF('[1]TrialBalance (YTD)'!$G:$G,B218,'[1]TrialBalance (YTD)'!$I:$I))</f>
        <v>#VALUE!</v>
      </c>
      <c r="G218" s="5">
        <f>IFERROR(INDEX('[1]TrialBalance (YTD)'!$G:$S,MATCH([1]TBMapping!$C220,'[1]TrialBalance (YTD)'!G:G,0),MATCH([1]TBMapping!H$3,'[1]TrialBalance (YTD)'!$G$7:$Z$7,0)),0)</f>
        <v>0</v>
      </c>
      <c r="H218" s="5" t="e">
        <f>SUMIF('[1]TrialBalance (YTD)'!G:G,B218,'[1]TrialBalance (YTD)'!H:H)</f>
        <v>#VALUE!</v>
      </c>
      <c r="I218" s="5">
        <f>IFERROR(INDEX('[1]TrialBalance (YTD)'!$G:$S,MATCH([1]TBMapping!$C220,'[1]TrialBalance (YTD)'!G:G,0),MATCH([1]TBMapping!J$3,'[1]TrialBalance (YTD)'!$G$7:$Z$7,0)),0)</f>
        <v>0</v>
      </c>
      <c r="K218" s="5" t="e">
        <f>SUMIF('[1]TrialBalance (Quarter)'!$A:$A,B218,'[1]TrialBalance (Quarter)'!$B:$B)</f>
        <v>#VALUE!</v>
      </c>
      <c r="L218" s="5">
        <f>IFERROR(INDEX('[1]TrialBalance (Quarter)'!$A:$L,MATCH([1]TBMapping!$C220,'[1]TrialBalance (Quarter)'!A:A,0),MATCH([1]TBMapping!M$3,'[1]TrialBalance (Quarter)'!$7:$7,0)),0)</f>
        <v>0</v>
      </c>
      <c r="M218" s="5">
        <f>IFERROR(INDEX('[1]TrialBalance (Quarter)'!$A:$L,MATCH([1]TBMapping!$C220,'[1]TrialBalance (Quarter)'!A:A,0),MATCH([1]TBMapping!N$3,'[1]TrialBalance (Quarter)'!$7:$7,0)),0)</f>
        <v>0</v>
      </c>
      <c r="N218" s="5">
        <f>IFERROR(INDEX('[1]TrialBalance (Quarter)'!$A:$L,MATCH([1]TBMapping!$C220,'[1]TrialBalance (Quarter)'!A:A,0),MATCH([1]TBMapping!O$3,'[1]TrialBalance (Quarter)'!$7:$7,0)),0)</f>
        <v>0</v>
      </c>
    </row>
    <row r="219" spans="1:14">
      <c r="A219" s="2">
        <v>105</v>
      </c>
      <c r="B219" s="3">
        <v>114510</v>
      </c>
      <c r="C219" s="11" t="s">
        <v>204</v>
      </c>
      <c r="D219" s="11" t="s">
        <v>11</v>
      </c>
      <c r="E219" s="11"/>
      <c r="F219" s="5" t="e">
        <f>IF(DataExtraction="Manual",SUMIF('[1]TrialBalance (YTD)'!$C:$C,B219,'[1]TrialBalance (YTD)'!$E:$E),SUMIF('[1]TrialBalance (YTD)'!$G:$G,B219,'[1]TrialBalance (YTD)'!$I:$I))</f>
        <v>#VALUE!</v>
      </c>
      <c r="G219" s="5">
        <f>IFERROR(INDEX('[1]TrialBalance (YTD)'!$G:$S,MATCH([1]TBMapping!$C221,'[1]TrialBalance (YTD)'!G:G,0),MATCH([1]TBMapping!H$3,'[1]TrialBalance (YTD)'!$G$7:$Z$7,0)),0)</f>
        <v>0</v>
      </c>
      <c r="H219" s="5" t="e">
        <f>SUMIF('[1]TrialBalance (YTD)'!G:G,B219,'[1]TrialBalance (YTD)'!H:H)</f>
        <v>#VALUE!</v>
      </c>
      <c r="I219" s="5">
        <f>IFERROR(INDEX('[1]TrialBalance (YTD)'!$G:$S,MATCH([1]TBMapping!$C221,'[1]TrialBalance (YTD)'!G:G,0),MATCH([1]TBMapping!J$3,'[1]TrialBalance (YTD)'!$G$7:$Z$7,0)),0)</f>
        <v>0</v>
      </c>
      <c r="J219" s="5"/>
      <c r="K219" s="5" t="e">
        <f>SUMIF('[1]TrialBalance (Quarter)'!$A:$A,B219,'[1]TrialBalance (Quarter)'!$B:$B)</f>
        <v>#VALUE!</v>
      </c>
      <c r="L219" s="5">
        <f>IFERROR(INDEX('[1]TrialBalance (Quarter)'!$A:$L,MATCH([1]TBMapping!$C221,'[1]TrialBalance (Quarter)'!A:A,0),MATCH([1]TBMapping!M$3,'[1]TrialBalance (Quarter)'!$7:$7,0)),0)</f>
        <v>0</v>
      </c>
      <c r="M219" s="5">
        <f>IFERROR(INDEX('[1]TrialBalance (Quarter)'!$A:$L,MATCH([1]TBMapping!$C221,'[1]TrialBalance (Quarter)'!A:A,0),MATCH([1]TBMapping!N$3,'[1]TrialBalance (Quarter)'!$7:$7,0)),0)</f>
        <v>0</v>
      </c>
      <c r="N219" s="5">
        <f>IFERROR(INDEX('[1]TrialBalance (Quarter)'!$A:$L,MATCH([1]TBMapping!$C221,'[1]TrialBalance (Quarter)'!A:A,0),MATCH([1]TBMapping!O$3,'[1]TrialBalance (Quarter)'!$7:$7,0)),0)</f>
        <v>0</v>
      </c>
    </row>
    <row r="220" spans="1:14">
      <c r="A220" s="2">
        <v>105</v>
      </c>
      <c r="B220" s="3">
        <v>114520</v>
      </c>
      <c r="C220" s="10" t="s">
        <v>205</v>
      </c>
      <c r="D220" s="10" t="s">
        <v>11</v>
      </c>
      <c r="E220" s="10"/>
      <c r="F220" s="5" t="e">
        <f>IF(DataExtraction="Manual",SUMIF('[1]TrialBalance (YTD)'!$C:$C,B220,'[1]TrialBalance (YTD)'!$E:$E),SUMIF('[1]TrialBalance (YTD)'!$G:$G,B220,'[1]TrialBalance (YTD)'!$I:$I))</f>
        <v>#VALUE!</v>
      </c>
      <c r="G220" s="5">
        <f>IFERROR(INDEX('[1]TrialBalance (YTD)'!$G:$S,MATCH([1]TBMapping!$C222,'[1]TrialBalance (YTD)'!G:G,0),MATCH([1]TBMapping!H$3,'[1]TrialBalance (YTD)'!$G$7:$Z$7,0)),0)</f>
        <v>0</v>
      </c>
      <c r="H220" s="5" t="e">
        <f>SUMIF('[1]TrialBalance (YTD)'!G:G,B220,'[1]TrialBalance (YTD)'!H:H)</f>
        <v>#VALUE!</v>
      </c>
      <c r="I220" s="5">
        <f>IFERROR(INDEX('[1]TrialBalance (YTD)'!$G:$S,MATCH([1]TBMapping!$C222,'[1]TrialBalance (YTD)'!G:G,0),MATCH([1]TBMapping!J$3,'[1]TrialBalance (YTD)'!$G$7:$Z$7,0)),0)</f>
        <v>0</v>
      </c>
      <c r="J220" s="5"/>
      <c r="K220" s="5" t="e">
        <f>SUMIF('[1]TrialBalance (Quarter)'!$A:$A,B220,'[1]TrialBalance (Quarter)'!$B:$B)</f>
        <v>#VALUE!</v>
      </c>
      <c r="L220" s="5">
        <f>IFERROR(INDEX('[1]TrialBalance (Quarter)'!$A:$L,MATCH([1]TBMapping!$C222,'[1]TrialBalance (Quarter)'!A:A,0),MATCH([1]TBMapping!M$3,'[1]TrialBalance (Quarter)'!$7:$7,0)),0)</f>
        <v>0</v>
      </c>
      <c r="M220" s="5">
        <f>IFERROR(INDEX('[1]TrialBalance (Quarter)'!$A:$L,MATCH([1]TBMapping!$C222,'[1]TrialBalance (Quarter)'!A:A,0),MATCH([1]TBMapping!N$3,'[1]TrialBalance (Quarter)'!$7:$7,0)),0)</f>
        <v>0</v>
      </c>
      <c r="N220" s="5">
        <f>IFERROR(INDEX('[1]TrialBalance (Quarter)'!$A:$L,MATCH([1]TBMapping!$C222,'[1]TrialBalance (Quarter)'!A:A,0),MATCH([1]TBMapping!O$3,'[1]TrialBalance (Quarter)'!$7:$7,0)),0)</f>
        <v>0</v>
      </c>
    </row>
    <row r="221" spans="1:14">
      <c r="A221" s="2">
        <v>105</v>
      </c>
      <c r="B221" s="3">
        <v>114550</v>
      </c>
      <c r="C221" s="11" t="s">
        <v>206</v>
      </c>
      <c r="D221" s="11" t="s">
        <v>11</v>
      </c>
      <c r="E221" s="11"/>
      <c r="F221" s="5" t="e">
        <f>IF(DataExtraction="Manual",SUMIF('[1]TrialBalance (YTD)'!$C:$C,B221,'[1]TrialBalance (YTD)'!$E:$E),SUMIF('[1]TrialBalance (YTD)'!$G:$G,B221,'[1]TrialBalance (YTD)'!$I:$I))</f>
        <v>#VALUE!</v>
      </c>
      <c r="G221" s="5">
        <f>IFERROR(INDEX('[1]TrialBalance (YTD)'!$G:$S,MATCH([1]TBMapping!$C223,'[1]TrialBalance (YTD)'!G:G,0),MATCH([1]TBMapping!H$3,'[1]TrialBalance (YTD)'!$G$7:$Z$7,0)),0)</f>
        <v>0</v>
      </c>
      <c r="H221" s="5" t="e">
        <f>SUMIF('[1]TrialBalance (YTD)'!G:G,B221,'[1]TrialBalance (YTD)'!H:H)</f>
        <v>#VALUE!</v>
      </c>
      <c r="I221" s="5">
        <f>IFERROR(INDEX('[1]TrialBalance (YTD)'!$G:$S,MATCH([1]TBMapping!$C223,'[1]TrialBalance (YTD)'!G:G,0),MATCH([1]TBMapping!J$3,'[1]TrialBalance (YTD)'!$G$7:$Z$7,0)),0)</f>
        <v>0</v>
      </c>
      <c r="K221" s="5" t="e">
        <f>SUMIF('[1]TrialBalance (Quarter)'!$A:$A,B221,'[1]TrialBalance (Quarter)'!$B:$B)</f>
        <v>#VALUE!</v>
      </c>
      <c r="L221" s="5">
        <f>IFERROR(INDEX('[1]TrialBalance (Quarter)'!$A:$L,MATCH([1]TBMapping!$C223,'[1]TrialBalance (Quarter)'!A:A,0),MATCH([1]TBMapping!M$3,'[1]TrialBalance (Quarter)'!$7:$7,0)),0)</f>
        <v>0</v>
      </c>
      <c r="M221" s="5">
        <f>IFERROR(INDEX('[1]TrialBalance (Quarter)'!$A:$L,MATCH([1]TBMapping!$C223,'[1]TrialBalance (Quarter)'!A:A,0),MATCH([1]TBMapping!N$3,'[1]TrialBalance (Quarter)'!$7:$7,0)),0)</f>
        <v>0</v>
      </c>
      <c r="N221" s="5">
        <f>IFERROR(INDEX('[1]TrialBalance (Quarter)'!$A:$L,MATCH([1]TBMapping!$C223,'[1]TrialBalance (Quarter)'!A:A,0),MATCH([1]TBMapping!O$3,'[1]TrialBalance (Quarter)'!$7:$7,0)),0)</f>
        <v>0</v>
      </c>
    </row>
    <row r="222" spans="1:14">
      <c r="A222" s="2">
        <v>105</v>
      </c>
      <c r="B222" s="3">
        <v>114560</v>
      </c>
      <c r="C222" s="10" t="s">
        <v>207</v>
      </c>
      <c r="D222" s="10" t="s">
        <v>11</v>
      </c>
      <c r="E222" s="10"/>
      <c r="F222" s="5" t="e">
        <f>IF(DataExtraction="Manual",SUMIF('[1]TrialBalance (YTD)'!$C:$C,B222,'[1]TrialBalance (YTD)'!$E:$E),SUMIF('[1]TrialBalance (YTD)'!$G:$G,B222,'[1]TrialBalance (YTD)'!$I:$I))</f>
        <v>#VALUE!</v>
      </c>
      <c r="G222" s="5">
        <f>IFERROR(INDEX('[1]TrialBalance (YTD)'!$G:$S,MATCH([1]TBMapping!$C224,'[1]TrialBalance (YTD)'!G:G,0),MATCH([1]TBMapping!H$3,'[1]TrialBalance (YTD)'!$G$7:$Z$7,0)),0)</f>
        <v>0</v>
      </c>
      <c r="H222" s="5" t="e">
        <f>SUMIF('[1]TrialBalance (YTD)'!G:G,B222,'[1]TrialBalance (YTD)'!H:H)</f>
        <v>#VALUE!</v>
      </c>
      <c r="I222" s="5">
        <f>IFERROR(INDEX('[1]TrialBalance (YTD)'!$G:$S,MATCH([1]TBMapping!$C224,'[1]TrialBalance (YTD)'!G:G,0),MATCH([1]TBMapping!J$3,'[1]TrialBalance (YTD)'!$G$7:$Z$7,0)),0)</f>
        <v>0</v>
      </c>
      <c r="K222" s="5" t="e">
        <f>SUMIF('[1]TrialBalance (Quarter)'!$A:$A,B222,'[1]TrialBalance (Quarter)'!$B:$B)</f>
        <v>#VALUE!</v>
      </c>
      <c r="L222" s="5">
        <f>IFERROR(INDEX('[1]TrialBalance (Quarter)'!$A:$L,MATCH([1]TBMapping!$C224,'[1]TrialBalance (Quarter)'!A:A,0),MATCH([1]TBMapping!M$3,'[1]TrialBalance (Quarter)'!$7:$7,0)),0)</f>
        <v>0</v>
      </c>
      <c r="M222" s="5">
        <f>IFERROR(INDEX('[1]TrialBalance (Quarter)'!$A:$L,MATCH([1]TBMapping!$C224,'[1]TrialBalance (Quarter)'!A:A,0),MATCH([1]TBMapping!N$3,'[1]TrialBalance (Quarter)'!$7:$7,0)),0)</f>
        <v>0</v>
      </c>
      <c r="N222" s="5">
        <f>IFERROR(INDEX('[1]TrialBalance (Quarter)'!$A:$L,MATCH([1]TBMapping!$C224,'[1]TrialBalance (Quarter)'!A:A,0),MATCH([1]TBMapping!O$3,'[1]TrialBalance (Quarter)'!$7:$7,0)),0)</f>
        <v>0</v>
      </c>
    </row>
    <row r="223" spans="1:14">
      <c r="B223" s="3">
        <v>114599</v>
      </c>
      <c r="C223" s="11" t="s">
        <v>208</v>
      </c>
      <c r="D223" s="11" t="s">
        <v>16</v>
      </c>
      <c r="E223" s="11"/>
      <c r="F223" s="5" t="e">
        <f>IF(DataExtraction="Manual",SUMIF('[1]TrialBalance (YTD)'!$C:$C,B223,'[1]TrialBalance (YTD)'!$E:$E),SUMIF('[1]TrialBalance (YTD)'!$G:$G,B223,'[1]TrialBalance (YTD)'!$I:$I))</f>
        <v>#VALUE!</v>
      </c>
      <c r="G223" s="5">
        <f>IFERROR(INDEX('[1]TrialBalance (YTD)'!$G:$S,MATCH([1]TBMapping!$C225,'[1]TrialBalance (YTD)'!G:G,0),MATCH([1]TBMapping!H$3,'[1]TrialBalance (YTD)'!$G$7:$Z$7,0)),0)</f>
        <v>0</v>
      </c>
      <c r="H223" s="5" t="e">
        <f>SUMIF('[1]TrialBalance (YTD)'!G:G,B223,'[1]TrialBalance (YTD)'!H:H)</f>
        <v>#VALUE!</v>
      </c>
      <c r="I223" s="5">
        <f>IFERROR(INDEX('[1]TrialBalance (YTD)'!$G:$S,MATCH([1]TBMapping!$C225,'[1]TrialBalance (YTD)'!G:G,0),MATCH([1]TBMapping!J$3,'[1]TrialBalance (YTD)'!$G$7:$Z$7,0)),0)</f>
        <v>0</v>
      </c>
      <c r="K223" s="5" t="e">
        <f>SUMIF('[1]TrialBalance (Quarter)'!$A:$A,B223,'[1]TrialBalance (Quarter)'!$B:$B)</f>
        <v>#VALUE!</v>
      </c>
      <c r="L223" s="5">
        <f>IFERROR(INDEX('[1]TrialBalance (Quarter)'!$A:$L,MATCH([1]TBMapping!$C225,'[1]TrialBalance (Quarter)'!A:A,0),MATCH([1]TBMapping!M$3,'[1]TrialBalance (Quarter)'!$7:$7,0)),0)</f>
        <v>0</v>
      </c>
      <c r="M223" s="5">
        <f>IFERROR(INDEX('[1]TrialBalance (Quarter)'!$A:$L,MATCH([1]TBMapping!$C225,'[1]TrialBalance (Quarter)'!A:A,0),MATCH([1]TBMapping!N$3,'[1]TrialBalance (Quarter)'!$7:$7,0)),0)</f>
        <v>0</v>
      </c>
      <c r="N223" s="5">
        <f>IFERROR(INDEX('[1]TrialBalance (Quarter)'!$A:$L,MATCH([1]TBMapping!$C225,'[1]TrialBalance (Quarter)'!A:A,0),MATCH([1]TBMapping!O$3,'[1]TrialBalance (Quarter)'!$7:$7,0)),0)</f>
        <v>0</v>
      </c>
    </row>
    <row r="224" spans="1:14">
      <c r="B224" s="3">
        <v>114999</v>
      </c>
      <c r="C224" s="10" t="s">
        <v>209</v>
      </c>
      <c r="D224" s="10" t="s">
        <v>16</v>
      </c>
      <c r="E224" s="10"/>
      <c r="F224" s="5" t="e">
        <f>IF(DataExtraction="Manual",SUMIF('[1]TrialBalance (YTD)'!$C:$C,B224,'[1]TrialBalance (YTD)'!$E:$E),SUMIF('[1]TrialBalance (YTD)'!$G:$G,B224,'[1]TrialBalance (YTD)'!$I:$I))</f>
        <v>#VALUE!</v>
      </c>
      <c r="G224" s="5">
        <f>IFERROR(INDEX('[1]TrialBalance (YTD)'!$G:$S,MATCH([1]TBMapping!$C226,'[1]TrialBalance (YTD)'!G:G,0),MATCH([1]TBMapping!H$3,'[1]TrialBalance (YTD)'!$G$7:$Z$7,0)),0)</f>
        <v>0</v>
      </c>
      <c r="H224" s="5" t="e">
        <f>SUMIF('[1]TrialBalance (YTD)'!G:G,B224,'[1]TrialBalance (YTD)'!H:H)</f>
        <v>#VALUE!</v>
      </c>
      <c r="I224" s="5">
        <f>IFERROR(INDEX('[1]TrialBalance (YTD)'!$G:$S,MATCH([1]TBMapping!$C226,'[1]TrialBalance (YTD)'!G:G,0),MATCH([1]TBMapping!J$3,'[1]TrialBalance (YTD)'!$G$7:$Z$7,0)),0)</f>
        <v>0</v>
      </c>
      <c r="K224" s="5" t="e">
        <f>SUMIF('[1]TrialBalance (Quarter)'!$A:$A,B224,'[1]TrialBalance (Quarter)'!$B:$B)</f>
        <v>#VALUE!</v>
      </c>
      <c r="L224" s="5">
        <f>IFERROR(INDEX('[1]TrialBalance (Quarter)'!$A:$L,MATCH([1]TBMapping!$C226,'[1]TrialBalance (Quarter)'!A:A,0),MATCH([1]TBMapping!M$3,'[1]TrialBalance (Quarter)'!$7:$7,0)),0)</f>
        <v>0</v>
      </c>
      <c r="M224" s="5">
        <f>IFERROR(INDEX('[1]TrialBalance (Quarter)'!$A:$L,MATCH([1]TBMapping!$C226,'[1]TrialBalance (Quarter)'!A:A,0),MATCH([1]TBMapping!N$3,'[1]TrialBalance (Quarter)'!$7:$7,0)),0)</f>
        <v>0</v>
      </c>
      <c r="N224" s="5">
        <f>IFERROR(INDEX('[1]TrialBalance (Quarter)'!$A:$L,MATCH([1]TBMapping!$C226,'[1]TrialBalance (Quarter)'!A:A,0),MATCH([1]TBMapping!O$3,'[1]TrialBalance (Quarter)'!$7:$7,0)),0)</f>
        <v>0</v>
      </c>
    </row>
    <row r="225" spans="1:14">
      <c r="B225" s="3">
        <v>116999</v>
      </c>
      <c r="C225" s="11" t="s">
        <v>210</v>
      </c>
      <c r="D225" s="11" t="s">
        <v>16</v>
      </c>
      <c r="E225" s="11"/>
      <c r="F225" s="5" t="e">
        <f>IF(DataExtraction="Manual",SUMIF('[1]TrialBalance (YTD)'!$C:$C,B225,'[1]TrialBalance (YTD)'!$E:$E),SUMIF('[1]TrialBalance (YTD)'!$G:$G,B225,'[1]TrialBalance (YTD)'!$I:$I))</f>
        <v>#VALUE!</v>
      </c>
      <c r="G225" s="5">
        <f>IFERROR(INDEX('[1]TrialBalance (YTD)'!$G:$S,MATCH([1]TBMapping!$C227,'[1]TrialBalance (YTD)'!G:G,0),MATCH([1]TBMapping!H$3,'[1]TrialBalance (YTD)'!$G$7:$Z$7,0)),0)</f>
        <v>0</v>
      </c>
      <c r="H225" s="5" t="e">
        <f>SUMIF('[1]TrialBalance (YTD)'!G:G,B225,'[1]TrialBalance (YTD)'!H:H)</f>
        <v>#VALUE!</v>
      </c>
      <c r="I225" s="5">
        <f>IFERROR(INDEX('[1]TrialBalance (YTD)'!$G:$S,MATCH([1]TBMapping!$C227,'[1]TrialBalance (YTD)'!G:G,0),MATCH([1]TBMapping!J$3,'[1]TrialBalance (YTD)'!$G$7:$Z$7,0)),0)</f>
        <v>0</v>
      </c>
      <c r="K225" s="5" t="e">
        <f>SUMIF('[1]TrialBalance (Quarter)'!$A:$A,B225,'[1]TrialBalance (Quarter)'!$B:$B)</f>
        <v>#VALUE!</v>
      </c>
      <c r="L225" s="5">
        <f>IFERROR(INDEX('[1]TrialBalance (Quarter)'!$A:$L,MATCH([1]TBMapping!$C227,'[1]TrialBalance (Quarter)'!A:A,0),MATCH([1]TBMapping!M$3,'[1]TrialBalance (Quarter)'!$7:$7,0)),0)</f>
        <v>0</v>
      </c>
      <c r="M225" s="5">
        <f>IFERROR(INDEX('[1]TrialBalance (Quarter)'!$A:$L,MATCH([1]TBMapping!$C227,'[1]TrialBalance (Quarter)'!A:A,0),MATCH([1]TBMapping!N$3,'[1]TrialBalance (Quarter)'!$7:$7,0)),0)</f>
        <v>0</v>
      </c>
      <c r="N225" s="5">
        <f>IFERROR(INDEX('[1]TrialBalance (Quarter)'!$A:$L,MATCH([1]TBMapping!$C227,'[1]TrialBalance (Quarter)'!A:A,0),MATCH([1]TBMapping!O$3,'[1]TrialBalance (Quarter)'!$7:$7,0)),0)</f>
        <v>0</v>
      </c>
    </row>
    <row r="226" spans="1:14">
      <c r="B226" s="3">
        <v>117000</v>
      </c>
      <c r="C226" s="10" t="s">
        <v>211</v>
      </c>
      <c r="D226" s="10" t="s">
        <v>5</v>
      </c>
      <c r="E226" s="10"/>
      <c r="F226" s="5" t="e">
        <f>IF(DataExtraction="Manual",SUMIF('[1]TrialBalance (YTD)'!$C:$C,B226,'[1]TrialBalance (YTD)'!$E:$E),SUMIF('[1]TrialBalance (YTD)'!$G:$G,B226,'[1]TrialBalance (YTD)'!$I:$I))</f>
        <v>#VALUE!</v>
      </c>
      <c r="G226" s="5">
        <f>IFERROR(INDEX('[1]TrialBalance (YTD)'!$G:$S,MATCH([1]TBMapping!$C228,'[1]TrialBalance (YTD)'!G:G,0),MATCH([1]TBMapping!H$3,'[1]TrialBalance (YTD)'!$G$7:$Z$7,0)),0)</f>
        <v>0</v>
      </c>
      <c r="H226" s="5" t="e">
        <f>SUMIF('[1]TrialBalance (YTD)'!G:G,B226,'[1]TrialBalance (YTD)'!H:H)</f>
        <v>#VALUE!</v>
      </c>
      <c r="I226" s="5">
        <f>IFERROR(INDEX('[1]TrialBalance (YTD)'!$G:$S,MATCH([1]TBMapping!$C228,'[1]TrialBalance (YTD)'!G:G,0),MATCH([1]TBMapping!J$3,'[1]TrialBalance (YTD)'!$G$7:$Z$7,0)),0)</f>
        <v>0</v>
      </c>
      <c r="K226" s="5" t="e">
        <f>SUMIF('[1]TrialBalance (Quarter)'!$A:$A,B226,'[1]TrialBalance (Quarter)'!$B:$B)</f>
        <v>#VALUE!</v>
      </c>
      <c r="L226" s="5">
        <f>IFERROR(INDEX('[1]TrialBalance (Quarter)'!$A:$L,MATCH([1]TBMapping!$C228,'[1]TrialBalance (Quarter)'!A:A,0),MATCH([1]TBMapping!M$3,'[1]TrialBalance (Quarter)'!$7:$7,0)),0)</f>
        <v>0</v>
      </c>
      <c r="M226" s="5">
        <f>IFERROR(INDEX('[1]TrialBalance (Quarter)'!$A:$L,MATCH([1]TBMapping!$C228,'[1]TrialBalance (Quarter)'!A:A,0),MATCH([1]TBMapping!N$3,'[1]TrialBalance (Quarter)'!$7:$7,0)),0)</f>
        <v>0</v>
      </c>
      <c r="N226" s="5">
        <f>IFERROR(INDEX('[1]TrialBalance (Quarter)'!$A:$L,MATCH([1]TBMapping!$C228,'[1]TrialBalance (Quarter)'!A:A,0),MATCH([1]TBMapping!O$3,'[1]TrialBalance (Quarter)'!$7:$7,0)),0)</f>
        <v>0</v>
      </c>
    </row>
    <row r="227" spans="1:14">
      <c r="B227" s="3">
        <v>117001</v>
      </c>
      <c r="C227" s="10" t="s">
        <v>212</v>
      </c>
      <c r="D227" s="10" t="s">
        <v>5</v>
      </c>
      <c r="E227" s="10"/>
      <c r="F227" s="5" t="e">
        <f>IF(DataExtraction="Manual",SUMIF('[1]TrialBalance (YTD)'!$C:$C,B227,'[1]TrialBalance (YTD)'!$E:$E),SUMIF('[1]TrialBalance (YTD)'!$G:$G,B227,'[1]TrialBalance (YTD)'!$I:$I))</f>
        <v>#VALUE!</v>
      </c>
      <c r="G227" s="5">
        <f>IFERROR(INDEX('[1]TrialBalance (YTD)'!$G:$S,MATCH([1]TBMapping!$C229,'[1]TrialBalance (YTD)'!G:G,0),MATCH([1]TBMapping!H$3,'[1]TrialBalance (YTD)'!$G$7:$Z$7,0)),0)</f>
        <v>0</v>
      </c>
      <c r="H227" s="5" t="e">
        <f>SUMIF('[1]TrialBalance (YTD)'!G:G,B227,'[1]TrialBalance (YTD)'!H:H)</f>
        <v>#VALUE!</v>
      </c>
      <c r="I227" s="5">
        <f>IFERROR(INDEX('[1]TrialBalance (YTD)'!$G:$S,MATCH([1]TBMapping!$C229,'[1]TrialBalance (YTD)'!G:G,0),MATCH([1]TBMapping!J$3,'[1]TrialBalance (YTD)'!$G$7:$Z$7,0)),0)</f>
        <v>0</v>
      </c>
      <c r="K227" s="5" t="e">
        <f>SUMIF('[1]TrialBalance (Quarter)'!$A:$A,B227,'[1]TrialBalance (Quarter)'!$B:$B)</f>
        <v>#VALUE!</v>
      </c>
      <c r="L227" s="5">
        <f>IFERROR(INDEX('[1]TrialBalance (Quarter)'!$A:$L,MATCH([1]TBMapping!$C229,'[1]TrialBalance (Quarter)'!A:A,0),MATCH([1]TBMapping!M$3,'[1]TrialBalance (Quarter)'!$7:$7,0)),0)</f>
        <v>0</v>
      </c>
      <c r="M227" s="5">
        <f>IFERROR(INDEX('[1]TrialBalance (Quarter)'!$A:$L,MATCH([1]TBMapping!$C229,'[1]TrialBalance (Quarter)'!A:A,0),MATCH([1]TBMapping!N$3,'[1]TrialBalance (Quarter)'!$7:$7,0)),0)</f>
        <v>0</v>
      </c>
      <c r="N227" s="5">
        <f>IFERROR(INDEX('[1]TrialBalance (Quarter)'!$A:$L,MATCH([1]TBMapping!$C229,'[1]TrialBalance (Quarter)'!A:A,0),MATCH([1]TBMapping!O$3,'[1]TrialBalance (Quarter)'!$7:$7,0)),0)</f>
        <v>0</v>
      </c>
    </row>
    <row r="228" spans="1:14">
      <c r="A228" s="2">
        <v>105</v>
      </c>
      <c r="B228" s="3">
        <v>117010</v>
      </c>
      <c r="C228" s="11" t="s">
        <v>213</v>
      </c>
      <c r="D228" s="11" t="s">
        <v>11</v>
      </c>
      <c r="E228" s="11"/>
      <c r="F228" s="5" t="e">
        <f>IF(DataExtraction="Manual",SUMIF('[1]TrialBalance (YTD)'!$C:$C,B228,'[1]TrialBalance (YTD)'!$E:$E),SUMIF('[1]TrialBalance (YTD)'!$G:$G,B228,'[1]TrialBalance (YTD)'!$I:$I))</f>
        <v>#VALUE!</v>
      </c>
      <c r="G228" s="5">
        <f>IFERROR(INDEX('[1]TrialBalance (YTD)'!$G:$S,MATCH([1]TBMapping!$C230,'[1]TrialBalance (YTD)'!G:G,0),MATCH([1]TBMapping!H$3,'[1]TrialBalance (YTD)'!$G$7:$Z$7,0)),0)</f>
        <v>0</v>
      </c>
      <c r="H228" s="5" t="e">
        <f>SUMIF('[1]TrialBalance (YTD)'!G:G,B228,'[1]TrialBalance (YTD)'!H:H)</f>
        <v>#VALUE!</v>
      </c>
      <c r="I228" s="5">
        <f>IFERROR(INDEX('[1]TrialBalance (YTD)'!$G:$S,MATCH([1]TBMapping!$C230,'[1]TrialBalance (YTD)'!G:G,0),MATCH([1]TBMapping!J$3,'[1]TrialBalance (YTD)'!$G$7:$Z$7,0)),0)</f>
        <v>0</v>
      </c>
      <c r="K228" s="5" t="e">
        <f>SUMIF('[1]TrialBalance (Quarter)'!$A:$A,B228,'[1]TrialBalance (Quarter)'!$B:$B)</f>
        <v>#VALUE!</v>
      </c>
      <c r="L228" s="5">
        <f>IFERROR(INDEX('[1]TrialBalance (Quarter)'!$A:$L,MATCH([1]TBMapping!$C230,'[1]TrialBalance (Quarter)'!A:A,0),MATCH([1]TBMapping!M$3,'[1]TrialBalance (Quarter)'!$7:$7,0)),0)</f>
        <v>0</v>
      </c>
      <c r="M228" s="5">
        <f>IFERROR(INDEX('[1]TrialBalance (Quarter)'!$A:$L,MATCH([1]TBMapping!$C230,'[1]TrialBalance (Quarter)'!A:A,0),MATCH([1]TBMapping!N$3,'[1]TrialBalance (Quarter)'!$7:$7,0)),0)</f>
        <v>0</v>
      </c>
      <c r="N228" s="5">
        <f>IFERROR(INDEX('[1]TrialBalance (Quarter)'!$A:$L,MATCH([1]TBMapping!$C230,'[1]TrialBalance (Quarter)'!A:A,0),MATCH([1]TBMapping!O$3,'[1]TrialBalance (Quarter)'!$7:$7,0)),0)</f>
        <v>0</v>
      </c>
    </row>
    <row r="229" spans="1:14">
      <c r="A229" s="2">
        <v>105</v>
      </c>
      <c r="B229" s="3">
        <v>117020</v>
      </c>
      <c r="C229" s="10" t="s">
        <v>214</v>
      </c>
      <c r="D229" s="10" t="s">
        <v>11</v>
      </c>
      <c r="E229" s="10"/>
      <c r="F229" s="5" t="e">
        <f>IF(DataExtraction="Manual",SUMIF('[1]TrialBalance (YTD)'!$C:$C,B229,'[1]TrialBalance (YTD)'!$E:$E),SUMIF('[1]TrialBalance (YTD)'!$G:$G,B229,'[1]TrialBalance (YTD)'!$I:$I))</f>
        <v>#VALUE!</v>
      </c>
      <c r="G229" s="5">
        <f>IFERROR(INDEX('[1]TrialBalance (YTD)'!$G:$S,MATCH([1]TBMapping!$C231,'[1]TrialBalance (YTD)'!G:G,0),MATCH([1]TBMapping!H$3,'[1]TrialBalance (YTD)'!$G$7:$Z$7,0)),0)</f>
        <v>0</v>
      </c>
      <c r="H229" s="5" t="e">
        <f>SUMIF('[1]TrialBalance (YTD)'!G:G,B229,'[1]TrialBalance (YTD)'!H:H)</f>
        <v>#VALUE!</v>
      </c>
      <c r="I229" s="5">
        <f>IFERROR(INDEX('[1]TrialBalance (YTD)'!$G:$S,MATCH([1]TBMapping!$C231,'[1]TrialBalance (YTD)'!G:G,0),MATCH([1]TBMapping!J$3,'[1]TrialBalance (YTD)'!$G$7:$Z$7,0)),0)</f>
        <v>0</v>
      </c>
      <c r="K229" s="5" t="e">
        <f>SUMIF('[1]TrialBalance (Quarter)'!$A:$A,B229,'[1]TrialBalance (Quarter)'!$B:$B)</f>
        <v>#VALUE!</v>
      </c>
      <c r="L229" s="5">
        <f>IFERROR(INDEX('[1]TrialBalance (Quarter)'!$A:$L,MATCH([1]TBMapping!$C231,'[1]TrialBalance (Quarter)'!A:A,0),MATCH([1]TBMapping!M$3,'[1]TrialBalance (Quarter)'!$7:$7,0)),0)</f>
        <v>0</v>
      </c>
      <c r="M229" s="5">
        <f>IFERROR(INDEX('[1]TrialBalance (Quarter)'!$A:$L,MATCH([1]TBMapping!$C231,'[1]TrialBalance (Quarter)'!A:A,0),MATCH([1]TBMapping!N$3,'[1]TrialBalance (Quarter)'!$7:$7,0)),0)</f>
        <v>0</v>
      </c>
      <c r="N229" s="5">
        <f>IFERROR(INDEX('[1]TrialBalance (Quarter)'!$A:$L,MATCH([1]TBMapping!$C231,'[1]TrialBalance (Quarter)'!A:A,0),MATCH([1]TBMapping!O$3,'[1]TrialBalance (Quarter)'!$7:$7,0)),0)</f>
        <v>0</v>
      </c>
    </row>
    <row r="230" spans="1:14">
      <c r="A230" s="2">
        <v>105</v>
      </c>
      <c r="B230" s="3">
        <v>117030</v>
      </c>
      <c r="C230" s="11" t="s">
        <v>215</v>
      </c>
      <c r="D230" s="11" t="s">
        <v>11</v>
      </c>
      <c r="E230" s="11"/>
      <c r="F230" s="5" t="e">
        <f>IF(DataExtraction="Manual",SUMIF('[1]TrialBalance (YTD)'!$C:$C,B230,'[1]TrialBalance (YTD)'!$E:$E),SUMIF('[1]TrialBalance (YTD)'!$G:$G,B230,'[1]TrialBalance (YTD)'!$I:$I))</f>
        <v>#VALUE!</v>
      </c>
      <c r="G230" s="5">
        <f>IFERROR(INDEX('[1]TrialBalance (YTD)'!$G:$S,MATCH([1]TBMapping!$C232,'[1]TrialBalance (YTD)'!G:G,0),MATCH([1]TBMapping!H$3,'[1]TrialBalance (YTD)'!$G$7:$Z$7,0)),0)</f>
        <v>0</v>
      </c>
      <c r="H230" s="5" t="e">
        <f>SUMIF('[1]TrialBalance (YTD)'!G:G,B230,'[1]TrialBalance (YTD)'!H:H)</f>
        <v>#VALUE!</v>
      </c>
      <c r="I230" s="5">
        <f>IFERROR(INDEX('[1]TrialBalance (YTD)'!$G:$S,MATCH([1]TBMapping!$C232,'[1]TrialBalance (YTD)'!G:G,0),MATCH([1]TBMapping!J$3,'[1]TrialBalance (YTD)'!$G$7:$Z$7,0)),0)</f>
        <v>0</v>
      </c>
      <c r="K230" s="5" t="e">
        <f>SUMIF('[1]TrialBalance (Quarter)'!$A:$A,B230,'[1]TrialBalance (Quarter)'!$B:$B)</f>
        <v>#VALUE!</v>
      </c>
      <c r="L230" s="5">
        <f>IFERROR(INDEX('[1]TrialBalance (Quarter)'!$A:$L,MATCH([1]TBMapping!$C232,'[1]TrialBalance (Quarter)'!A:A,0),MATCH([1]TBMapping!M$3,'[1]TrialBalance (Quarter)'!$7:$7,0)),0)</f>
        <v>0</v>
      </c>
      <c r="M230" s="5">
        <f>IFERROR(INDEX('[1]TrialBalance (Quarter)'!$A:$L,MATCH([1]TBMapping!$C232,'[1]TrialBalance (Quarter)'!A:A,0),MATCH([1]TBMapping!N$3,'[1]TrialBalance (Quarter)'!$7:$7,0)),0)</f>
        <v>0</v>
      </c>
      <c r="N230" s="5">
        <f>IFERROR(INDEX('[1]TrialBalance (Quarter)'!$A:$L,MATCH([1]TBMapping!$C232,'[1]TrialBalance (Quarter)'!A:A,0),MATCH([1]TBMapping!O$3,'[1]TrialBalance (Quarter)'!$7:$7,0)),0)</f>
        <v>0</v>
      </c>
    </row>
    <row r="231" spans="1:14">
      <c r="B231" s="3">
        <v>117040</v>
      </c>
      <c r="C231" s="10" t="s">
        <v>216</v>
      </c>
      <c r="D231" s="10" t="s">
        <v>16</v>
      </c>
      <c r="E231" s="10"/>
      <c r="F231" s="5" t="e">
        <f>IF(DataExtraction="Manual",SUMIF('[1]TrialBalance (YTD)'!$C:$C,B231,'[1]TrialBalance (YTD)'!$E:$E),SUMIF('[1]TrialBalance (YTD)'!$G:$G,B231,'[1]TrialBalance (YTD)'!$I:$I))</f>
        <v>#VALUE!</v>
      </c>
      <c r="G231" s="5">
        <f>IFERROR(INDEX('[1]TrialBalance (YTD)'!$G:$S,MATCH([1]TBMapping!$C233,'[1]TrialBalance (YTD)'!G:G,0),MATCH([1]TBMapping!H$3,'[1]TrialBalance (YTD)'!$G$7:$Z$7,0)),0)</f>
        <v>0</v>
      </c>
      <c r="H231" s="5" t="e">
        <f>SUMIF('[1]TrialBalance (YTD)'!G:G,B231,'[1]TrialBalance (YTD)'!H:H)</f>
        <v>#VALUE!</v>
      </c>
      <c r="I231" s="5">
        <f>IFERROR(INDEX('[1]TrialBalance (YTD)'!$G:$S,MATCH([1]TBMapping!$C233,'[1]TrialBalance (YTD)'!G:G,0),MATCH([1]TBMapping!J$3,'[1]TrialBalance (YTD)'!$G$7:$Z$7,0)),0)</f>
        <v>0</v>
      </c>
      <c r="K231" s="5" t="e">
        <f>SUMIF('[1]TrialBalance (Quarter)'!$A:$A,B231,'[1]TrialBalance (Quarter)'!$B:$B)</f>
        <v>#VALUE!</v>
      </c>
      <c r="L231" s="5">
        <f>IFERROR(INDEX('[1]TrialBalance (Quarter)'!$A:$L,MATCH([1]TBMapping!$C233,'[1]TrialBalance (Quarter)'!A:A,0),MATCH([1]TBMapping!M$3,'[1]TrialBalance (Quarter)'!$7:$7,0)),0)</f>
        <v>0</v>
      </c>
      <c r="M231" s="5">
        <f>IFERROR(INDEX('[1]TrialBalance (Quarter)'!$A:$L,MATCH([1]TBMapping!$C233,'[1]TrialBalance (Quarter)'!A:A,0),MATCH([1]TBMapping!N$3,'[1]TrialBalance (Quarter)'!$7:$7,0)),0)</f>
        <v>0</v>
      </c>
      <c r="N231" s="5">
        <f>IFERROR(INDEX('[1]TrialBalance (Quarter)'!$A:$L,MATCH([1]TBMapping!$C233,'[1]TrialBalance (Quarter)'!A:A,0),MATCH([1]TBMapping!O$3,'[1]TrialBalance (Quarter)'!$7:$7,0)),0)</f>
        <v>0</v>
      </c>
    </row>
    <row r="232" spans="1:14">
      <c r="B232" s="3">
        <v>117100</v>
      </c>
      <c r="C232" s="11" t="s">
        <v>217</v>
      </c>
      <c r="D232" s="11" t="s">
        <v>5</v>
      </c>
      <c r="E232" s="11"/>
      <c r="F232" s="5" t="e">
        <f>IF(DataExtraction="Manual",SUMIF('[1]TrialBalance (YTD)'!$C:$C,B232,'[1]TrialBalance (YTD)'!$E:$E),SUMIF('[1]TrialBalance (YTD)'!$G:$G,B232,'[1]TrialBalance (YTD)'!$I:$I))</f>
        <v>#VALUE!</v>
      </c>
      <c r="G232" s="5">
        <f>IFERROR(INDEX('[1]TrialBalance (YTD)'!$G:$S,MATCH([1]TBMapping!$C234,'[1]TrialBalance (YTD)'!G:G,0),MATCH([1]TBMapping!H$3,'[1]TrialBalance (YTD)'!$G$7:$Z$7,0)),0)</f>
        <v>0</v>
      </c>
      <c r="H232" s="5" t="e">
        <f>SUMIF('[1]TrialBalance (YTD)'!G:G,B232,'[1]TrialBalance (YTD)'!H:H)</f>
        <v>#VALUE!</v>
      </c>
      <c r="I232" s="5">
        <f>IFERROR(INDEX('[1]TrialBalance (YTD)'!$G:$S,MATCH([1]TBMapping!$C234,'[1]TrialBalance (YTD)'!G:G,0),MATCH([1]TBMapping!J$3,'[1]TrialBalance (YTD)'!$G$7:$Z$7,0)),0)</f>
        <v>0</v>
      </c>
      <c r="K232" s="5" t="e">
        <f>SUMIF('[1]TrialBalance (Quarter)'!$A:$A,B232,'[1]TrialBalance (Quarter)'!$B:$B)</f>
        <v>#VALUE!</v>
      </c>
      <c r="L232" s="5">
        <f>IFERROR(INDEX('[1]TrialBalance (Quarter)'!$A:$L,MATCH([1]TBMapping!$C234,'[1]TrialBalance (Quarter)'!A:A,0),MATCH([1]TBMapping!M$3,'[1]TrialBalance (Quarter)'!$7:$7,0)),0)</f>
        <v>0</v>
      </c>
      <c r="M232" s="5">
        <f>IFERROR(INDEX('[1]TrialBalance (Quarter)'!$A:$L,MATCH([1]TBMapping!$C234,'[1]TrialBalance (Quarter)'!A:A,0),MATCH([1]TBMapping!N$3,'[1]TrialBalance (Quarter)'!$7:$7,0)),0)</f>
        <v>0</v>
      </c>
      <c r="N232" s="5">
        <f>IFERROR(INDEX('[1]TrialBalance (Quarter)'!$A:$L,MATCH([1]TBMapping!$C234,'[1]TrialBalance (Quarter)'!A:A,0),MATCH([1]TBMapping!O$3,'[1]TrialBalance (Quarter)'!$7:$7,0)),0)</f>
        <v>0</v>
      </c>
    </row>
    <row r="233" spans="1:14">
      <c r="A233" s="2">
        <v>105</v>
      </c>
      <c r="B233" s="3">
        <v>117101</v>
      </c>
      <c r="C233" s="10" t="s">
        <v>118</v>
      </c>
      <c r="D233" s="10" t="s">
        <v>11</v>
      </c>
      <c r="E233" s="10"/>
      <c r="F233" s="5" t="e">
        <f>IF(DataExtraction="Manual",SUMIF('[1]TrialBalance (YTD)'!$C:$C,B233,'[1]TrialBalance (YTD)'!$E:$E),SUMIF('[1]TrialBalance (YTD)'!$G:$G,B233,'[1]TrialBalance (YTD)'!$I:$I))</f>
        <v>#VALUE!</v>
      </c>
      <c r="G233" s="5">
        <f>IFERROR(INDEX('[1]TrialBalance (YTD)'!$G:$S,MATCH([1]TBMapping!$C235,'[1]TrialBalance (YTD)'!G:G,0),MATCH([1]TBMapping!H$3,'[1]TrialBalance (YTD)'!$G$7:$Z$7,0)),0)</f>
        <v>0</v>
      </c>
      <c r="H233" s="5" t="e">
        <f>SUMIF('[1]TrialBalance (YTD)'!G:G,B233,'[1]TrialBalance (YTD)'!H:H)</f>
        <v>#VALUE!</v>
      </c>
      <c r="I233" s="5">
        <f>IFERROR(INDEX('[1]TrialBalance (YTD)'!$G:$S,MATCH([1]TBMapping!$C235,'[1]TrialBalance (YTD)'!G:G,0),MATCH([1]TBMapping!J$3,'[1]TrialBalance (YTD)'!$G$7:$Z$7,0)),0)</f>
        <v>0</v>
      </c>
      <c r="K233" s="5" t="e">
        <f>SUMIF('[1]TrialBalance (Quarter)'!$A:$A,B233,'[1]TrialBalance (Quarter)'!$B:$B)</f>
        <v>#VALUE!</v>
      </c>
      <c r="L233" s="5">
        <f>IFERROR(INDEX('[1]TrialBalance (Quarter)'!$A:$L,MATCH([1]TBMapping!$C235,'[1]TrialBalance (Quarter)'!A:A,0),MATCH([1]TBMapping!M$3,'[1]TrialBalance (Quarter)'!$7:$7,0)),0)</f>
        <v>0</v>
      </c>
      <c r="M233" s="5">
        <f>IFERROR(INDEX('[1]TrialBalance (Quarter)'!$A:$L,MATCH([1]TBMapping!$C235,'[1]TrialBalance (Quarter)'!A:A,0),MATCH([1]TBMapping!N$3,'[1]TrialBalance (Quarter)'!$7:$7,0)),0)</f>
        <v>0</v>
      </c>
      <c r="N233" s="5">
        <f>IFERROR(INDEX('[1]TrialBalance (Quarter)'!$A:$L,MATCH([1]TBMapping!$C235,'[1]TrialBalance (Quarter)'!A:A,0),MATCH([1]TBMapping!O$3,'[1]TrialBalance (Quarter)'!$7:$7,0)),0)</f>
        <v>0</v>
      </c>
    </row>
    <row r="234" spans="1:14">
      <c r="A234" s="2">
        <v>105</v>
      </c>
      <c r="B234" s="3">
        <v>117110</v>
      </c>
      <c r="C234" s="11" t="s">
        <v>218</v>
      </c>
      <c r="D234" s="11" t="s">
        <v>11</v>
      </c>
      <c r="E234" s="11"/>
      <c r="F234" s="5" t="e">
        <f>IF(DataExtraction="Manual",SUMIF('[1]TrialBalance (YTD)'!$C:$C,B234,'[1]TrialBalance (YTD)'!$E:$E),SUMIF('[1]TrialBalance (YTD)'!$G:$G,B234,'[1]TrialBalance (YTD)'!$I:$I))</f>
        <v>#VALUE!</v>
      </c>
      <c r="G234" s="5">
        <f>IFERROR(INDEX('[1]TrialBalance (YTD)'!$G:$S,MATCH([1]TBMapping!$C236,'[1]TrialBalance (YTD)'!G:G,0),MATCH([1]TBMapping!H$3,'[1]TrialBalance (YTD)'!$G$7:$Z$7,0)),0)</f>
        <v>0</v>
      </c>
      <c r="H234" s="5" t="e">
        <f>SUMIF('[1]TrialBalance (YTD)'!G:G,B234,'[1]TrialBalance (YTD)'!H:H)</f>
        <v>#VALUE!</v>
      </c>
      <c r="I234" s="5">
        <f>IFERROR(INDEX('[1]TrialBalance (YTD)'!$G:$S,MATCH([1]TBMapping!$C236,'[1]TrialBalance (YTD)'!G:G,0),MATCH([1]TBMapping!J$3,'[1]TrialBalance (YTD)'!$G$7:$Z$7,0)),0)</f>
        <v>0</v>
      </c>
      <c r="K234" s="5" t="e">
        <f>SUMIF('[1]TrialBalance (Quarter)'!$A:$A,B234,'[1]TrialBalance (Quarter)'!$B:$B)</f>
        <v>#VALUE!</v>
      </c>
      <c r="L234" s="5">
        <f>IFERROR(INDEX('[1]TrialBalance (Quarter)'!$A:$L,MATCH([1]TBMapping!$C236,'[1]TrialBalance (Quarter)'!A:A,0),MATCH([1]TBMapping!M$3,'[1]TrialBalance (Quarter)'!$7:$7,0)),0)</f>
        <v>0</v>
      </c>
      <c r="M234" s="5">
        <f>IFERROR(INDEX('[1]TrialBalance (Quarter)'!$A:$L,MATCH([1]TBMapping!$C236,'[1]TrialBalance (Quarter)'!A:A,0),MATCH([1]TBMapping!N$3,'[1]TrialBalance (Quarter)'!$7:$7,0)),0)</f>
        <v>0</v>
      </c>
      <c r="N234" s="5">
        <f>IFERROR(INDEX('[1]TrialBalance (Quarter)'!$A:$L,MATCH([1]TBMapping!$C236,'[1]TrialBalance (Quarter)'!A:A,0),MATCH([1]TBMapping!O$3,'[1]TrialBalance (Quarter)'!$7:$7,0)),0)</f>
        <v>0</v>
      </c>
    </row>
    <row r="235" spans="1:14">
      <c r="A235" s="2">
        <v>105</v>
      </c>
      <c r="B235" s="3">
        <v>117120</v>
      </c>
      <c r="C235" s="10" t="s">
        <v>219</v>
      </c>
      <c r="D235" s="10" t="s">
        <v>11</v>
      </c>
      <c r="E235" s="10"/>
      <c r="F235" s="5" t="e">
        <f>IF(DataExtraction="Manual",SUMIF('[1]TrialBalance (YTD)'!$C:$C,B235,'[1]TrialBalance (YTD)'!$E:$E),SUMIF('[1]TrialBalance (YTD)'!$G:$G,B235,'[1]TrialBalance (YTD)'!$I:$I))</f>
        <v>#VALUE!</v>
      </c>
      <c r="G235" s="5">
        <f>IFERROR(INDEX('[1]TrialBalance (YTD)'!$G:$S,MATCH([1]TBMapping!$C237,'[1]TrialBalance (YTD)'!G:G,0),MATCH([1]TBMapping!H$3,'[1]TrialBalance (YTD)'!$G$7:$Z$7,0)),0)</f>
        <v>0</v>
      </c>
      <c r="H235" s="5" t="e">
        <f>SUMIF('[1]TrialBalance (YTD)'!G:G,B235,'[1]TrialBalance (YTD)'!H:H)</f>
        <v>#VALUE!</v>
      </c>
      <c r="I235" s="5">
        <f>IFERROR(INDEX('[1]TrialBalance (YTD)'!$G:$S,MATCH([1]TBMapping!$C237,'[1]TrialBalance (YTD)'!G:G,0),MATCH([1]TBMapping!J$3,'[1]TrialBalance (YTD)'!$G$7:$Z$7,0)),0)</f>
        <v>0</v>
      </c>
      <c r="K235" s="5" t="e">
        <f>SUMIF('[1]TrialBalance (Quarter)'!$A:$A,B235,'[1]TrialBalance (Quarter)'!$B:$B)</f>
        <v>#VALUE!</v>
      </c>
      <c r="L235" s="5">
        <f>IFERROR(INDEX('[1]TrialBalance (Quarter)'!$A:$L,MATCH([1]TBMapping!$C237,'[1]TrialBalance (Quarter)'!A:A,0),MATCH([1]TBMapping!M$3,'[1]TrialBalance (Quarter)'!$7:$7,0)),0)</f>
        <v>0</v>
      </c>
      <c r="M235" s="5">
        <f>IFERROR(INDEX('[1]TrialBalance (Quarter)'!$A:$L,MATCH([1]TBMapping!$C237,'[1]TrialBalance (Quarter)'!A:A,0),MATCH([1]TBMapping!N$3,'[1]TrialBalance (Quarter)'!$7:$7,0)),0)</f>
        <v>0</v>
      </c>
      <c r="N235" s="5">
        <f>IFERROR(INDEX('[1]TrialBalance (Quarter)'!$A:$L,MATCH([1]TBMapping!$C237,'[1]TrialBalance (Quarter)'!A:A,0),MATCH([1]TBMapping!O$3,'[1]TrialBalance (Quarter)'!$7:$7,0)),0)</f>
        <v>0</v>
      </c>
    </row>
    <row r="236" spans="1:14">
      <c r="B236" s="3">
        <v>117199</v>
      </c>
      <c r="C236" s="11" t="s">
        <v>220</v>
      </c>
      <c r="D236" s="11" t="s">
        <v>16</v>
      </c>
      <c r="E236" s="11"/>
      <c r="F236" s="5" t="e">
        <f>IF(DataExtraction="Manual",SUMIF('[1]TrialBalance (YTD)'!$C:$C,B236,'[1]TrialBalance (YTD)'!$E:$E),SUMIF('[1]TrialBalance (YTD)'!$G:$G,B236,'[1]TrialBalance (YTD)'!$I:$I))</f>
        <v>#VALUE!</v>
      </c>
      <c r="G236" s="5">
        <f>IFERROR(INDEX('[1]TrialBalance (YTD)'!$G:$S,MATCH([1]TBMapping!$C238,'[1]TrialBalance (YTD)'!G:G,0),MATCH([1]TBMapping!H$3,'[1]TrialBalance (YTD)'!$G$7:$Z$7,0)),0)</f>
        <v>0</v>
      </c>
      <c r="H236" s="5" t="e">
        <f>SUMIF('[1]TrialBalance (YTD)'!G:G,B236,'[1]TrialBalance (YTD)'!H:H)</f>
        <v>#VALUE!</v>
      </c>
      <c r="I236" s="5">
        <f>IFERROR(INDEX('[1]TrialBalance (YTD)'!$G:$S,MATCH([1]TBMapping!$C238,'[1]TrialBalance (YTD)'!G:G,0),MATCH([1]TBMapping!J$3,'[1]TrialBalance (YTD)'!$G$7:$Z$7,0)),0)</f>
        <v>0</v>
      </c>
      <c r="K236" s="5" t="e">
        <f>SUMIF('[1]TrialBalance (Quarter)'!$A:$A,B236,'[1]TrialBalance (Quarter)'!$B:$B)</f>
        <v>#VALUE!</v>
      </c>
      <c r="L236" s="5">
        <f>IFERROR(INDEX('[1]TrialBalance (Quarter)'!$A:$L,MATCH([1]TBMapping!$C238,'[1]TrialBalance (Quarter)'!A:A,0),MATCH([1]TBMapping!M$3,'[1]TrialBalance (Quarter)'!$7:$7,0)),0)</f>
        <v>0</v>
      </c>
      <c r="M236" s="5">
        <f>IFERROR(INDEX('[1]TrialBalance (Quarter)'!$A:$L,MATCH([1]TBMapping!$C238,'[1]TrialBalance (Quarter)'!A:A,0),MATCH([1]TBMapping!N$3,'[1]TrialBalance (Quarter)'!$7:$7,0)),0)</f>
        <v>0</v>
      </c>
      <c r="N236" s="5">
        <f>IFERROR(INDEX('[1]TrialBalance (Quarter)'!$A:$L,MATCH([1]TBMapping!$C238,'[1]TrialBalance (Quarter)'!A:A,0),MATCH([1]TBMapping!O$3,'[1]TrialBalance (Quarter)'!$7:$7,0)),0)</f>
        <v>0</v>
      </c>
    </row>
    <row r="237" spans="1:14">
      <c r="B237" s="3">
        <v>119998</v>
      </c>
      <c r="C237" s="10" t="s">
        <v>221</v>
      </c>
      <c r="D237" s="10" t="s">
        <v>16</v>
      </c>
      <c r="E237" s="10"/>
      <c r="F237" s="5" t="e">
        <f>IF(DataExtraction="Manual",SUMIF('[1]TrialBalance (YTD)'!$C:$C,B237,'[1]TrialBalance (YTD)'!$E:$E),SUMIF('[1]TrialBalance (YTD)'!$G:$G,B237,'[1]TrialBalance (YTD)'!$I:$I))</f>
        <v>#VALUE!</v>
      </c>
      <c r="G237" s="5">
        <f>IFERROR(INDEX('[1]TrialBalance (YTD)'!$G:$S,MATCH([1]TBMapping!$C239,'[1]TrialBalance (YTD)'!G:G,0),MATCH([1]TBMapping!H$3,'[1]TrialBalance (YTD)'!$G$7:$Z$7,0)),0)</f>
        <v>0</v>
      </c>
      <c r="H237" s="5" t="e">
        <f>SUMIF('[1]TrialBalance (YTD)'!G:G,B237,'[1]TrialBalance (YTD)'!H:H)</f>
        <v>#VALUE!</v>
      </c>
      <c r="I237" s="5">
        <f>IFERROR(INDEX('[1]TrialBalance (YTD)'!$G:$S,MATCH([1]TBMapping!$C239,'[1]TrialBalance (YTD)'!G:G,0),MATCH([1]TBMapping!J$3,'[1]TrialBalance (YTD)'!$G$7:$Z$7,0)),0)</f>
        <v>0</v>
      </c>
      <c r="K237" s="5" t="e">
        <f>SUMIF('[1]TrialBalance (Quarter)'!$A:$A,B237,'[1]TrialBalance (Quarter)'!$B:$B)</f>
        <v>#VALUE!</v>
      </c>
      <c r="L237" s="5">
        <f>IFERROR(INDEX('[1]TrialBalance (Quarter)'!$A:$L,MATCH([1]TBMapping!$C239,'[1]TrialBalance (Quarter)'!A:A,0),MATCH([1]TBMapping!M$3,'[1]TrialBalance (Quarter)'!$7:$7,0)),0)</f>
        <v>0</v>
      </c>
      <c r="M237" s="5">
        <f>IFERROR(INDEX('[1]TrialBalance (Quarter)'!$A:$L,MATCH([1]TBMapping!$C239,'[1]TrialBalance (Quarter)'!A:A,0),MATCH([1]TBMapping!N$3,'[1]TrialBalance (Quarter)'!$7:$7,0)),0)</f>
        <v>0</v>
      </c>
      <c r="N237" s="5">
        <f>IFERROR(INDEX('[1]TrialBalance (Quarter)'!$A:$L,MATCH([1]TBMapping!$C239,'[1]TrialBalance (Quarter)'!A:A,0),MATCH([1]TBMapping!O$3,'[1]TrialBalance (Quarter)'!$7:$7,0)),0)</f>
        <v>0</v>
      </c>
    </row>
    <row r="238" spans="1:14">
      <c r="B238" s="3">
        <v>119999</v>
      </c>
      <c r="C238" s="11" t="s">
        <v>222</v>
      </c>
      <c r="D238" s="11" t="s">
        <v>16</v>
      </c>
      <c r="E238" s="11"/>
      <c r="F238" s="5" t="e">
        <f>IF(DataExtraction="Manual",SUMIF('[1]TrialBalance (YTD)'!$C:$C,B238,'[1]TrialBalance (YTD)'!$E:$E),SUMIF('[1]TrialBalance (YTD)'!$G:$G,B238,'[1]TrialBalance (YTD)'!$I:$I))</f>
        <v>#VALUE!</v>
      </c>
      <c r="G238" s="5">
        <f>IFERROR(INDEX('[1]TrialBalance (YTD)'!$G:$S,MATCH([1]TBMapping!$C240,'[1]TrialBalance (YTD)'!G:G,0),MATCH([1]TBMapping!H$3,'[1]TrialBalance (YTD)'!$G$7:$Z$7,0)),0)</f>
        <v>0</v>
      </c>
      <c r="H238" s="5" t="e">
        <f>SUMIF('[1]TrialBalance (YTD)'!G:G,B238,'[1]TrialBalance (YTD)'!H:H)</f>
        <v>#VALUE!</v>
      </c>
      <c r="I238" s="5">
        <f>IFERROR(INDEX('[1]TrialBalance (YTD)'!$G:$S,MATCH([1]TBMapping!$C240,'[1]TrialBalance (YTD)'!G:G,0),MATCH([1]TBMapping!J$3,'[1]TrialBalance (YTD)'!$G$7:$Z$7,0)),0)</f>
        <v>0</v>
      </c>
      <c r="K238" s="5" t="e">
        <f>SUMIF('[1]TrialBalance (Quarter)'!$A:$A,B238,'[1]TrialBalance (Quarter)'!$B:$B)</f>
        <v>#VALUE!</v>
      </c>
      <c r="L238" s="5">
        <f>IFERROR(INDEX('[1]TrialBalance (Quarter)'!$A:$L,MATCH([1]TBMapping!$C240,'[1]TrialBalance (Quarter)'!A:A,0),MATCH([1]TBMapping!M$3,'[1]TrialBalance (Quarter)'!$7:$7,0)),0)</f>
        <v>0</v>
      </c>
      <c r="M238" s="5">
        <f>IFERROR(INDEX('[1]TrialBalance (Quarter)'!$A:$L,MATCH([1]TBMapping!$C240,'[1]TrialBalance (Quarter)'!A:A,0),MATCH([1]TBMapping!N$3,'[1]TrialBalance (Quarter)'!$7:$7,0)),0)</f>
        <v>0</v>
      </c>
      <c r="N238" s="5">
        <f>IFERROR(INDEX('[1]TrialBalance (Quarter)'!$A:$L,MATCH([1]TBMapping!$C240,'[1]TrialBalance (Quarter)'!A:A,0),MATCH([1]TBMapping!O$3,'[1]TrialBalance (Quarter)'!$7:$7,0)),0)</f>
        <v>0</v>
      </c>
    </row>
    <row r="239" spans="1:14">
      <c r="B239" s="3">
        <v>120000</v>
      </c>
      <c r="C239" s="10" t="s">
        <v>223</v>
      </c>
      <c r="D239" s="10" t="s">
        <v>5</v>
      </c>
      <c r="E239" s="10"/>
      <c r="F239" s="5" t="e">
        <f>IF(DataExtraction="Manual",SUMIF('[1]TrialBalance (YTD)'!$C:$C,B239,'[1]TrialBalance (YTD)'!$E:$E),SUMIF('[1]TrialBalance (YTD)'!$G:$G,B239,'[1]TrialBalance (YTD)'!$I:$I))</f>
        <v>#VALUE!</v>
      </c>
      <c r="G239" s="5">
        <f>IFERROR(INDEX('[1]TrialBalance (YTD)'!$G:$S,MATCH([1]TBMapping!$C241,'[1]TrialBalance (YTD)'!G:G,0),MATCH([1]TBMapping!H$3,'[1]TrialBalance (YTD)'!$G$7:$Z$7,0)),0)</f>
        <v>0</v>
      </c>
      <c r="H239" s="5" t="e">
        <f>SUMIF('[1]TrialBalance (YTD)'!G:G,B239,'[1]TrialBalance (YTD)'!H:H)</f>
        <v>#VALUE!</v>
      </c>
      <c r="I239" s="5">
        <f>IFERROR(INDEX('[1]TrialBalance (YTD)'!$G:$S,MATCH([1]TBMapping!$C241,'[1]TrialBalance (YTD)'!G:G,0),MATCH([1]TBMapping!J$3,'[1]TrialBalance (YTD)'!$G$7:$Z$7,0)),0)</f>
        <v>0</v>
      </c>
      <c r="K239" s="5" t="e">
        <f>SUMIF('[1]TrialBalance (Quarter)'!$A:$A,B239,'[1]TrialBalance (Quarter)'!$B:$B)</f>
        <v>#VALUE!</v>
      </c>
      <c r="L239" s="5">
        <f>IFERROR(INDEX('[1]TrialBalance (Quarter)'!$A:$L,MATCH([1]TBMapping!$C241,'[1]TrialBalance (Quarter)'!A:A,0),MATCH([1]TBMapping!M$3,'[1]TrialBalance (Quarter)'!$7:$7,0)),0)</f>
        <v>0</v>
      </c>
      <c r="M239" s="5">
        <f>IFERROR(INDEX('[1]TrialBalance (Quarter)'!$A:$L,MATCH([1]TBMapping!$C241,'[1]TrialBalance (Quarter)'!A:A,0),MATCH([1]TBMapping!N$3,'[1]TrialBalance (Quarter)'!$7:$7,0)),0)</f>
        <v>0</v>
      </c>
      <c r="N239" s="5">
        <f>IFERROR(INDEX('[1]TrialBalance (Quarter)'!$A:$L,MATCH([1]TBMapping!$C241,'[1]TrialBalance (Quarter)'!A:A,0),MATCH([1]TBMapping!O$3,'[1]TrialBalance (Quarter)'!$7:$7,0)),0)</f>
        <v>0</v>
      </c>
    </row>
    <row r="240" spans="1:14">
      <c r="B240" s="3">
        <v>121000</v>
      </c>
      <c r="C240" s="11" t="s">
        <v>224</v>
      </c>
      <c r="D240" s="11" t="s">
        <v>5</v>
      </c>
      <c r="E240" s="11"/>
      <c r="F240" s="5" t="e">
        <f>IF(DataExtraction="Manual",SUMIF('[1]TrialBalance (YTD)'!$C:$C,B240,'[1]TrialBalance (YTD)'!$E:$E),SUMIF('[1]TrialBalance (YTD)'!$G:$G,B240,'[1]TrialBalance (YTD)'!$I:$I))</f>
        <v>#VALUE!</v>
      </c>
      <c r="G240" s="5">
        <f>IFERROR(INDEX('[1]TrialBalance (YTD)'!$G:$S,MATCH([1]TBMapping!$C242,'[1]TrialBalance (YTD)'!G:G,0),MATCH([1]TBMapping!H$3,'[1]TrialBalance (YTD)'!$G$7:$Z$7,0)),0)</f>
        <v>0</v>
      </c>
      <c r="H240" s="5" t="e">
        <f>SUMIF('[1]TrialBalance (YTD)'!G:G,B240,'[1]TrialBalance (YTD)'!H:H)</f>
        <v>#VALUE!</v>
      </c>
      <c r="I240" s="5">
        <f>IFERROR(INDEX('[1]TrialBalance (YTD)'!$G:$S,MATCH([1]TBMapping!$C242,'[1]TrialBalance (YTD)'!G:G,0),MATCH([1]TBMapping!J$3,'[1]TrialBalance (YTD)'!$G$7:$Z$7,0)),0)</f>
        <v>0</v>
      </c>
      <c r="K240" s="5" t="e">
        <f>SUMIF('[1]TrialBalance (Quarter)'!$A:$A,B240,'[1]TrialBalance (Quarter)'!$B:$B)</f>
        <v>#VALUE!</v>
      </c>
      <c r="L240" s="5">
        <f>IFERROR(INDEX('[1]TrialBalance (Quarter)'!$A:$L,MATCH([1]TBMapping!$C242,'[1]TrialBalance (Quarter)'!A:A,0),MATCH([1]TBMapping!M$3,'[1]TrialBalance (Quarter)'!$7:$7,0)),0)</f>
        <v>0</v>
      </c>
      <c r="M240" s="5">
        <f>IFERROR(INDEX('[1]TrialBalance (Quarter)'!$A:$L,MATCH([1]TBMapping!$C242,'[1]TrialBalance (Quarter)'!A:A,0),MATCH([1]TBMapping!N$3,'[1]TrialBalance (Quarter)'!$7:$7,0)),0)</f>
        <v>0</v>
      </c>
      <c r="N240" s="5">
        <f>IFERROR(INDEX('[1]TrialBalance (Quarter)'!$A:$L,MATCH([1]TBMapping!$C242,'[1]TrialBalance (Quarter)'!A:A,0),MATCH([1]TBMapping!O$3,'[1]TrialBalance (Quarter)'!$7:$7,0)),0)</f>
        <v>0</v>
      </c>
    </row>
    <row r="241" spans="1:14">
      <c r="B241" s="3">
        <v>121100</v>
      </c>
      <c r="C241" s="10" t="s">
        <v>225</v>
      </c>
      <c r="D241" s="10" t="s">
        <v>5</v>
      </c>
      <c r="E241" s="10"/>
      <c r="F241" s="5" t="e">
        <f>IF(DataExtraction="Manual",SUMIF('[1]TrialBalance (YTD)'!$C:$C,B241,'[1]TrialBalance (YTD)'!$E:$E),SUMIF('[1]TrialBalance (YTD)'!$G:$G,B241,'[1]TrialBalance (YTD)'!$I:$I))</f>
        <v>#VALUE!</v>
      </c>
      <c r="G241" s="5">
        <f>IFERROR(INDEX('[1]TrialBalance (YTD)'!$G:$S,MATCH([1]TBMapping!$C243,'[1]TrialBalance (YTD)'!G:G,0),MATCH([1]TBMapping!H$3,'[1]TrialBalance (YTD)'!$G$7:$Z$7,0)),0)</f>
        <v>0</v>
      </c>
      <c r="H241" s="5" t="e">
        <f>SUMIF('[1]TrialBalance (YTD)'!G:G,B241,'[1]TrialBalance (YTD)'!H:H)</f>
        <v>#VALUE!</v>
      </c>
      <c r="I241" s="5">
        <f>IFERROR(INDEX('[1]TrialBalance (YTD)'!$G:$S,MATCH([1]TBMapping!$C243,'[1]TrialBalance (YTD)'!G:G,0),MATCH([1]TBMapping!J$3,'[1]TrialBalance (YTD)'!$G$7:$Z$7,0)),0)</f>
        <v>0</v>
      </c>
      <c r="K241" s="5" t="e">
        <f>SUMIF('[1]TrialBalance (Quarter)'!$A:$A,B241,'[1]TrialBalance (Quarter)'!$B:$B)</f>
        <v>#VALUE!</v>
      </c>
      <c r="L241" s="5">
        <f>IFERROR(INDEX('[1]TrialBalance (Quarter)'!$A:$L,MATCH([1]TBMapping!$C243,'[1]TrialBalance (Quarter)'!A:A,0),MATCH([1]TBMapping!M$3,'[1]TrialBalance (Quarter)'!$7:$7,0)),0)</f>
        <v>0</v>
      </c>
      <c r="M241" s="5">
        <f>IFERROR(INDEX('[1]TrialBalance (Quarter)'!$A:$L,MATCH([1]TBMapping!$C243,'[1]TrialBalance (Quarter)'!A:A,0),MATCH([1]TBMapping!N$3,'[1]TrialBalance (Quarter)'!$7:$7,0)),0)</f>
        <v>0</v>
      </c>
      <c r="N241" s="5">
        <f>IFERROR(INDEX('[1]TrialBalance (Quarter)'!$A:$L,MATCH([1]TBMapping!$C243,'[1]TrialBalance (Quarter)'!A:A,0),MATCH([1]TBMapping!O$3,'[1]TrialBalance (Quarter)'!$7:$7,0)),0)</f>
        <v>0</v>
      </c>
    </row>
    <row r="242" spans="1:14">
      <c r="A242" s="2">
        <v>106</v>
      </c>
      <c r="B242" s="3">
        <v>121110</v>
      </c>
      <c r="C242" s="11" t="s">
        <v>226</v>
      </c>
      <c r="D242" s="11" t="s">
        <v>11</v>
      </c>
      <c r="E242" s="11"/>
      <c r="F242" s="5" t="e">
        <f>IF(DataExtraction="Manual",SUMIF('[1]TrialBalance (YTD)'!$C:$C,B242,'[1]TrialBalance (YTD)'!$E:$E),SUMIF('[1]TrialBalance (YTD)'!$G:$G,B242,'[1]TrialBalance (YTD)'!$I:$I))</f>
        <v>#VALUE!</v>
      </c>
      <c r="G242" s="5">
        <f>IFERROR(INDEX('[1]TrialBalance (YTD)'!$G:$S,MATCH([1]TBMapping!$C244,'[1]TrialBalance (YTD)'!G:G,0),MATCH([1]TBMapping!H$3,'[1]TrialBalance (YTD)'!$G$7:$Z$7,0)),0)</f>
        <v>0</v>
      </c>
      <c r="H242" s="5" t="e">
        <f>SUMIF('[1]TrialBalance (YTD)'!G:G,B242,'[1]TrialBalance (YTD)'!H:H)</f>
        <v>#VALUE!</v>
      </c>
      <c r="I242" s="5">
        <f>IFERROR(INDEX('[1]TrialBalance (YTD)'!$G:$S,MATCH([1]TBMapping!$C244,'[1]TrialBalance (YTD)'!G:G,0),MATCH([1]TBMapping!J$3,'[1]TrialBalance (YTD)'!$G$7:$Z$7,0)),0)</f>
        <v>0</v>
      </c>
      <c r="K242" s="5" t="e">
        <f>SUMIF('[1]TrialBalance (Quarter)'!$A:$A,B242,'[1]TrialBalance (Quarter)'!$B:$B)</f>
        <v>#VALUE!</v>
      </c>
      <c r="L242" s="5">
        <f>IFERROR(INDEX('[1]TrialBalance (Quarter)'!$A:$L,MATCH([1]TBMapping!$C244,'[1]TrialBalance (Quarter)'!A:A,0),MATCH([1]TBMapping!M$3,'[1]TrialBalance (Quarter)'!$7:$7,0)),0)</f>
        <v>0</v>
      </c>
      <c r="M242" s="5">
        <f>IFERROR(INDEX('[1]TrialBalance (Quarter)'!$A:$L,MATCH([1]TBMapping!$C244,'[1]TrialBalance (Quarter)'!A:A,0),MATCH([1]TBMapping!N$3,'[1]TrialBalance (Quarter)'!$7:$7,0)),0)</f>
        <v>0</v>
      </c>
      <c r="N242" s="5">
        <f>IFERROR(INDEX('[1]TrialBalance (Quarter)'!$A:$L,MATCH([1]TBMapping!$C244,'[1]TrialBalance (Quarter)'!A:A,0),MATCH([1]TBMapping!O$3,'[1]TrialBalance (Quarter)'!$7:$7,0)),0)</f>
        <v>0</v>
      </c>
    </row>
    <row r="243" spans="1:14">
      <c r="A243" s="2">
        <v>106</v>
      </c>
      <c r="B243" s="3">
        <v>121115</v>
      </c>
      <c r="C243" s="10" t="s">
        <v>227</v>
      </c>
      <c r="D243" s="10" t="s">
        <v>11</v>
      </c>
      <c r="E243" s="10"/>
      <c r="F243" s="5" t="e">
        <f>IF(DataExtraction="Manual",SUMIF('[1]TrialBalance (YTD)'!$C:$C,B243,'[1]TrialBalance (YTD)'!$E:$E),SUMIF('[1]TrialBalance (YTD)'!$G:$G,B243,'[1]TrialBalance (YTD)'!$I:$I))</f>
        <v>#VALUE!</v>
      </c>
      <c r="G243" s="5">
        <f>IFERROR(INDEX('[1]TrialBalance (YTD)'!$G:$S,MATCH([1]TBMapping!$C245,'[1]TrialBalance (YTD)'!G:G,0),MATCH([1]TBMapping!H$3,'[1]TrialBalance (YTD)'!$G$7:$Z$7,0)),0)</f>
        <v>0</v>
      </c>
      <c r="H243" s="5" t="e">
        <f>SUMIF('[1]TrialBalance (YTD)'!G:G,B243,'[1]TrialBalance (YTD)'!H:H)</f>
        <v>#VALUE!</v>
      </c>
      <c r="I243" s="5">
        <f>IFERROR(INDEX('[1]TrialBalance (YTD)'!$G:$S,MATCH([1]TBMapping!$C245,'[1]TrialBalance (YTD)'!G:G,0),MATCH([1]TBMapping!J$3,'[1]TrialBalance (YTD)'!$G$7:$Z$7,0)),0)</f>
        <v>0</v>
      </c>
      <c r="K243" s="5" t="e">
        <f>SUMIF('[1]TrialBalance (Quarter)'!$A:$A,B243,'[1]TrialBalance (Quarter)'!$B:$B)</f>
        <v>#VALUE!</v>
      </c>
      <c r="L243" s="5">
        <f>IFERROR(INDEX('[1]TrialBalance (Quarter)'!$A:$L,MATCH([1]TBMapping!$C245,'[1]TrialBalance (Quarter)'!A:A,0),MATCH([1]TBMapping!M$3,'[1]TrialBalance (Quarter)'!$7:$7,0)),0)</f>
        <v>0</v>
      </c>
      <c r="M243" s="5">
        <f>IFERROR(INDEX('[1]TrialBalance (Quarter)'!$A:$L,MATCH([1]TBMapping!$C245,'[1]TrialBalance (Quarter)'!A:A,0),MATCH([1]TBMapping!N$3,'[1]TrialBalance (Quarter)'!$7:$7,0)),0)</f>
        <v>0</v>
      </c>
      <c r="N243" s="5">
        <f>IFERROR(INDEX('[1]TrialBalance (Quarter)'!$A:$L,MATCH([1]TBMapping!$C245,'[1]TrialBalance (Quarter)'!A:A,0),MATCH([1]TBMapping!O$3,'[1]TrialBalance (Quarter)'!$7:$7,0)),0)</f>
        <v>0</v>
      </c>
    </row>
    <row r="244" spans="1:14">
      <c r="A244" s="2">
        <v>106</v>
      </c>
      <c r="B244" s="3">
        <v>121120</v>
      </c>
      <c r="C244" s="11" t="s">
        <v>228</v>
      </c>
      <c r="D244" s="11" t="s">
        <v>11</v>
      </c>
      <c r="E244" s="11"/>
      <c r="F244" s="5" t="e">
        <f>IF(DataExtraction="Manual",SUMIF('[1]TrialBalance (YTD)'!$C:$C,B244,'[1]TrialBalance (YTD)'!$E:$E),SUMIF('[1]TrialBalance (YTD)'!$G:$G,B244,'[1]TrialBalance (YTD)'!$I:$I))</f>
        <v>#VALUE!</v>
      </c>
      <c r="G244" s="5">
        <f>IFERROR(INDEX('[1]TrialBalance (YTD)'!$G:$S,MATCH([1]TBMapping!$C246,'[1]TrialBalance (YTD)'!G:G,0),MATCH([1]TBMapping!H$3,'[1]TrialBalance (YTD)'!$G$7:$Z$7,0)),0)</f>
        <v>0</v>
      </c>
      <c r="H244" s="5" t="e">
        <f>SUMIF('[1]TrialBalance (YTD)'!G:G,B244,'[1]TrialBalance (YTD)'!H:H)</f>
        <v>#VALUE!</v>
      </c>
      <c r="I244" s="5">
        <f>IFERROR(INDEX('[1]TrialBalance (YTD)'!$G:$S,MATCH([1]TBMapping!$C246,'[1]TrialBalance (YTD)'!G:G,0),MATCH([1]TBMapping!J$3,'[1]TrialBalance (YTD)'!$G$7:$Z$7,0)),0)</f>
        <v>0</v>
      </c>
      <c r="K244" s="5" t="e">
        <f>SUMIF('[1]TrialBalance (Quarter)'!$A:$A,B244,'[1]TrialBalance (Quarter)'!$B:$B)</f>
        <v>#VALUE!</v>
      </c>
      <c r="L244" s="5">
        <f>IFERROR(INDEX('[1]TrialBalance (Quarter)'!$A:$L,MATCH([1]TBMapping!$C246,'[1]TrialBalance (Quarter)'!A:A,0),MATCH([1]TBMapping!M$3,'[1]TrialBalance (Quarter)'!$7:$7,0)),0)</f>
        <v>0</v>
      </c>
      <c r="M244" s="5">
        <f>IFERROR(INDEX('[1]TrialBalance (Quarter)'!$A:$L,MATCH([1]TBMapping!$C246,'[1]TrialBalance (Quarter)'!A:A,0),MATCH([1]TBMapping!N$3,'[1]TrialBalance (Quarter)'!$7:$7,0)),0)</f>
        <v>0</v>
      </c>
      <c r="N244" s="5">
        <f>IFERROR(INDEX('[1]TrialBalance (Quarter)'!$A:$L,MATCH([1]TBMapping!$C246,'[1]TrialBalance (Quarter)'!A:A,0),MATCH([1]TBMapping!O$3,'[1]TrialBalance (Quarter)'!$7:$7,0)),0)</f>
        <v>0</v>
      </c>
    </row>
    <row r="245" spans="1:14">
      <c r="A245" s="2">
        <v>106</v>
      </c>
      <c r="B245" s="3">
        <v>121121</v>
      </c>
      <c r="C245" s="10" t="s">
        <v>229</v>
      </c>
      <c r="D245" s="10" t="s">
        <v>11</v>
      </c>
      <c r="E245" s="10"/>
      <c r="F245" s="5" t="e">
        <f>IF(DataExtraction="Manual",SUMIF('[1]TrialBalance (YTD)'!$C:$C,B245,'[1]TrialBalance (YTD)'!$E:$E),SUMIF('[1]TrialBalance (YTD)'!$G:$G,B245,'[1]TrialBalance (YTD)'!$I:$I))</f>
        <v>#VALUE!</v>
      </c>
      <c r="G245" s="5">
        <f>IFERROR(INDEX('[1]TrialBalance (YTD)'!$G:$S,MATCH([1]TBMapping!$C247,'[1]TrialBalance (YTD)'!G:G,0),MATCH([1]TBMapping!H$3,'[1]TrialBalance (YTD)'!$G$7:$Z$7,0)),0)</f>
        <v>0</v>
      </c>
      <c r="H245" s="5" t="e">
        <f>SUMIF('[1]TrialBalance (YTD)'!G:G,B245,'[1]TrialBalance (YTD)'!H:H)</f>
        <v>#VALUE!</v>
      </c>
      <c r="I245" s="5">
        <f>IFERROR(INDEX('[1]TrialBalance (YTD)'!$G:$S,MATCH([1]TBMapping!$C247,'[1]TrialBalance (YTD)'!G:G,0),MATCH([1]TBMapping!J$3,'[1]TrialBalance (YTD)'!$G$7:$Z$7,0)),0)</f>
        <v>0</v>
      </c>
      <c r="K245" s="5" t="e">
        <f>SUMIF('[1]TrialBalance (Quarter)'!$A:$A,B245,'[1]TrialBalance (Quarter)'!$B:$B)</f>
        <v>#VALUE!</v>
      </c>
      <c r="L245" s="5">
        <f>IFERROR(INDEX('[1]TrialBalance (Quarter)'!$A:$L,MATCH([1]TBMapping!$C247,'[1]TrialBalance (Quarter)'!A:A,0),MATCH([1]TBMapping!M$3,'[1]TrialBalance (Quarter)'!$7:$7,0)),0)</f>
        <v>0</v>
      </c>
      <c r="M245" s="5">
        <f>IFERROR(INDEX('[1]TrialBalance (Quarter)'!$A:$L,MATCH([1]TBMapping!$C247,'[1]TrialBalance (Quarter)'!A:A,0),MATCH([1]TBMapping!N$3,'[1]TrialBalance (Quarter)'!$7:$7,0)),0)</f>
        <v>0</v>
      </c>
      <c r="N245" s="5">
        <f>IFERROR(INDEX('[1]TrialBalance (Quarter)'!$A:$L,MATCH([1]TBMapping!$C247,'[1]TrialBalance (Quarter)'!A:A,0),MATCH([1]TBMapping!O$3,'[1]TrialBalance (Quarter)'!$7:$7,0)),0)</f>
        <v>0</v>
      </c>
    </row>
    <row r="246" spans="1:14">
      <c r="A246" s="2">
        <v>106</v>
      </c>
      <c r="B246" s="3">
        <v>121130</v>
      </c>
      <c r="C246" s="11" t="s">
        <v>230</v>
      </c>
      <c r="D246" s="11" t="s">
        <v>11</v>
      </c>
      <c r="E246" s="11"/>
      <c r="F246" s="5" t="e">
        <f>IF(DataExtraction="Manual",SUMIF('[1]TrialBalance (YTD)'!$C:$C,B246,'[1]TrialBalance (YTD)'!$E:$E),SUMIF('[1]TrialBalance (YTD)'!$G:$G,B246,'[1]TrialBalance (YTD)'!$I:$I))</f>
        <v>#VALUE!</v>
      </c>
      <c r="G246" s="5">
        <f>IFERROR(INDEX('[1]TrialBalance (YTD)'!$G:$S,MATCH([1]TBMapping!$C248,'[1]TrialBalance (YTD)'!G:G,0),MATCH([1]TBMapping!H$3,'[1]TrialBalance (YTD)'!$G$7:$Z$7,0)),0)</f>
        <v>0</v>
      </c>
      <c r="H246" s="5" t="e">
        <f>SUMIF('[1]TrialBalance (YTD)'!G:G,B246,'[1]TrialBalance (YTD)'!H:H)</f>
        <v>#VALUE!</v>
      </c>
      <c r="I246" s="5">
        <f>IFERROR(INDEX('[1]TrialBalance (YTD)'!$G:$S,MATCH([1]TBMapping!$C248,'[1]TrialBalance (YTD)'!G:G,0),MATCH([1]TBMapping!J$3,'[1]TrialBalance (YTD)'!$G$7:$Z$7,0)),0)</f>
        <v>0</v>
      </c>
      <c r="K246" s="5" t="e">
        <f>SUMIF('[1]TrialBalance (Quarter)'!$A:$A,B246,'[1]TrialBalance (Quarter)'!$B:$B)</f>
        <v>#VALUE!</v>
      </c>
      <c r="L246" s="5">
        <f>IFERROR(INDEX('[1]TrialBalance (Quarter)'!$A:$L,MATCH([1]TBMapping!$C248,'[1]TrialBalance (Quarter)'!A:A,0),MATCH([1]TBMapping!M$3,'[1]TrialBalance (Quarter)'!$7:$7,0)),0)</f>
        <v>0</v>
      </c>
      <c r="M246" s="5">
        <f>IFERROR(INDEX('[1]TrialBalance (Quarter)'!$A:$L,MATCH([1]TBMapping!$C248,'[1]TrialBalance (Quarter)'!A:A,0),MATCH([1]TBMapping!N$3,'[1]TrialBalance (Quarter)'!$7:$7,0)),0)</f>
        <v>0</v>
      </c>
      <c r="N246" s="5">
        <f>IFERROR(INDEX('[1]TrialBalance (Quarter)'!$A:$L,MATCH([1]TBMapping!$C248,'[1]TrialBalance (Quarter)'!A:A,0),MATCH([1]TBMapping!O$3,'[1]TrialBalance (Quarter)'!$7:$7,0)),0)</f>
        <v>0</v>
      </c>
    </row>
    <row r="247" spans="1:14">
      <c r="A247" s="2">
        <v>106</v>
      </c>
      <c r="B247" s="3">
        <v>121131</v>
      </c>
      <c r="C247" s="10" t="s">
        <v>231</v>
      </c>
      <c r="D247" s="10" t="s">
        <v>11</v>
      </c>
      <c r="E247" s="10"/>
      <c r="F247" s="5" t="e">
        <f>IF(DataExtraction="Manual",SUMIF('[1]TrialBalance (YTD)'!$C:$C,B247,'[1]TrialBalance (YTD)'!$E:$E),SUMIF('[1]TrialBalance (YTD)'!$G:$G,B247,'[1]TrialBalance (YTD)'!$I:$I))</f>
        <v>#VALUE!</v>
      </c>
      <c r="G247" s="5">
        <f>IFERROR(INDEX('[1]TrialBalance (YTD)'!$G:$S,MATCH([1]TBMapping!$C249,'[1]TrialBalance (YTD)'!G:G,0),MATCH([1]TBMapping!H$3,'[1]TrialBalance (YTD)'!$G$7:$Z$7,0)),0)</f>
        <v>0</v>
      </c>
      <c r="H247" s="5" t="e">
        <f>SUMIF('[1]TrialBalance (YTD)'!G:G,B247,'[1]TrialBalance (YTD)'!H:H)</f>
        <v>#VALUE!</v>
      </c>
      <c r="I247" s="5">
        <f>IFERROR(INDEX('[1]TrialBalance (YTD)'!$G:$S,MATCH([1]TBMapping!$C249,'[1]TrialBalance (YTD)'!G:G,0),MATCH([1]TBMapping!J$3,'[1]TrialBalance (YTD)'!$G$7:$Z$7,0)),0)</f>
        <v>0</v>
      </c>
      <c r="K247" s="5" t="e">
        <f>SUMIF('[1]TrialBalance (Quarter)'!$A:$A,B247,'[1]TrialBalance (Quarter)'!$B:$B)</f>
        <v>#VALUE!</v>
      </c>
      <c r="L247" s="5">
        <f>IFERROR(INDEX('[1]TrialBalance (Quarter)'!$A:$L,MATCH([1]TBMapping!$C249,'[1]TrialBalance (Quarter)'!A:A,0),MATCH([1]TBMapping!M$3,'[1]TrialBalance (Quarter)'!$7:$7,0)),0)</f>
        <v>0</v>
      </c>
      <c r="M247" s="5">
        <f>IFERROR(INDEX('[1]TrialBalance (Quarter)'!$A:$L,MATCH([1]TBMapping!$C249,'[1]TrialBalance (Quarter)'!A:A,0),MATCH([1]TBMapping!N$3,'[1]TrialBalance (Quarter)'!$7:$7,0)),0)</f>
        <v>0</v>
      </c>
      <c r="N247" s="5">
        <f>IFERROR(INDEX('[1]TrialBalance (Quarter)'!$A:$L,MATCH([1]TBMapping!$C249,'[1]TrialBalance (Quarter)'!A:A,0),MATCH([1]TBMapping!O$3,'[1]TrialBalance (Quarter)'!$7:$7,0)),0)</f>
        <v>0</v>
      </c>
    </row>
    <row r="248" spans="1:14">
      <c r="A248" s="2">
        <v>106</v>
      </c>
      <c r="B248" s="3">
        <v>121132</v>
      </c>
      <c r="C248" s="11" t="s">
        <v>232</v>
      </c>
      <c r="D248" s="11" t="s">
        <v>11</v>
      </c>
      <c r="E248" s="11"/>
      <c r="F248" s="5" t="e">
        <f>IF(DataExtraction="Manual",SUMIF('[1]TrialBalance (YTD)'!$C:$C,B248,'[1]TrialBalance (YTD)'!$E:$E),SUMIF('[1]TrialBalance (YTD)'!$G:$G,B248,'[1]TrialBalance (YTD)'!$I:$I))</f>
        <v>#VALUE!</v>
      </c>
      <c r="G248" s="5">
        <f>IFERROR(INDEX('[1]TrialBalance (YTD)'!$G:$S,MATCH([1]TBMapping!$C250,'[1]TrialBalance (YTD)'!G:G,0),MATCH([1]TBMapping!H$3,'[1]TrialBalance (YTD)'!$G$7:$Z$7,0)),0)</f>
        <v>0</v>
      </c>
      <c r="H248" s="5" t="e">
        <f>SUMIF('[1]TrialBalance (YTD)'!G:G,B248,'[1]TrialBalance (YTD)'!H:H)</f>
        <v>#VALUE!</v>
      </c>
      <c r="I248" s="5">
        <f>IFERROR(INDEX('[1]TrialBalance (YTD)'!$G:$S,MATCH([1]TBMapping!$C250,'[1]TrialBalance (YTD)'!G:G,0),MATCH([1]TBMapping!J$3,'[1]TrialBalance (YTD)'!$G$7:$Z$7,0)),0)</f>
        <v>0</v>
      </c>
      <c r="K248" s="5" t="e">
        <f>SUMIF('[1]TrialBalance (Quarter)'!$A:$A,B248,'[1]TrialBalance (Quarter)'!$B:$B)</f>
        <v>#VALUE!</v>
      </c>
      <c r="L248" s="5">
        <f>IFERROR(INDEX('[1]TrialBalance (Quarter)'!$A:$L,MATCH([1]TBMapping!$C250,'[1]TrialBalance (Quarter)'!A:A,0),MATCH([1]TBMapping!M$3,'[1]TrialBalance (Quarter)'!$7:$7,0)),0)</f>
        <v>0</v>
      </c>
      <c r="M248" s="5">
        <f>IFERROR(INDEX('[1]TrialBalance (Quarter)'!$A:$L,MATCH([1]TBMapping!$C250,'[1]TrialBalance (Quarter)'!A:A,0),MATCH([1]TBMapping!N$3,'[1]TrialBalance (Quarter)'!$7:$7,0)),0)</f>
        <v>0</v>
      </c>
      <c r="N248" s="5">
        <f>IFERROR(INDEX('[1]TrialBalance (Quarter)'!$A:$L,MATCH([1]TBMapping!$C250,'[1]TrialBalance (Quarter)'!A:A,0),MATCH([1]TBMapping!O$3,'[1]TrialBalance (Quarter)'!$7:$7,0)),0)</f>
        <v>0</v>
      </c>
    </row>
    <row r="249" spans="1:14">
      <c r="B249" s="3">
        <v>121199</v>
      </c>
      <c r="C249" s="10" t="s">
        <v>225</v>
      </c>
      <c r="D249" s="10" t="s">
        <v>16</v>
      </c>
      <c r="E249" s="10"/>
      <c r="F249" s="5" t="e">
        <f>IF(DataExtraction="Manual",SUMIF('[1]TrialBalance (YTD)'!$C:$C,B249,'[1]TrialBalance (YTD)'!$E:$E),SUMIF('[1]TrialBalance (YTD)'!$G:$G,B249,'[1]TrialBalance (YTD)'!$I:$I))</f>
        <v>#VALUE!</v>
      </c>
      <c r="G249" s="5">
        <f>IFERROR(INDEX('[1]TrialBalance (YTD)'!$G:$S,MATCH([1]TBMapping!$C251,'[1]TrialBalance (YTD)'!G:G,0),MATCH([1]TBMapping!H$3,'[1]TrialBalance (YTD)'!$G$7:$Z$7,0)),0)</f>
        <v>0</v>
      </c>
      <c r="H249" s="5" t="e">
        <f>SUMIF('[1]TrialBalance (YTD)'!G:G,B249,'[1]TrialBalance (YTD)'!H:H)</f>
        <v>#VALUE!</v>
      </c>
      <c r="I249" s="5">
        <f>IFERROR(INDEX('[1]TrialBalance (YTD)'!$G:$S,MATCH([1]TBMapping!$C251,'[1]TrialBalance (YTD)'!G:G,0),MATCH([1]TBMapping!J$3,'[1]TrialBalance (YTD)'!$G$7:$Z$7,0)),0)</f>
        <v>0</v>
      </c>
      <c r="K249" s="5" t="e">
        <f>SUMIF('[1]TrialBalance (Quarter)'!$A:$A,B249,'[1]TrialBalance (Quarter)'!$B:$B)</f>
        <v>#VALUE!</v>
      </c>
      <c r="L249" s="5">
        <f>IFERROR(INDEX('[1]TrialBalance (Quarter)'!$A:$L,MATCH([1]TBMapping!$C251,'[1]TrialBalance (Quarter)'!A:A,0),MATCH([1]TBMapping!M$3,'[1]TrialBalance (Quarter)'!$7:$7,0)),0)</f>
        <v>0</v>
      </c>
      <c r="M249" s="5">
        <f>IFERROR(INDEX('[1]TrialBalance (Quarter)'!$A:$L,MATCH([1]TBMapping!$C251,'[1]TrialBalance (Quarter)'!A:A,0),MATCH([1]TBMapping!N$3,'[1]TrialBalance (Quarter)'!$7:$7,0)),0)</f>
        <v>0</v>
      </c>
      <c r="N249" s="5">
        <f>IFERROR(INDEX('[1]TrialBalance (Quarter)'!$A:$L,MATCH([1]TBMapping!$C251,'[1]TrialBalance (Quarter)'!A:A,0),MATCH([1]TBMapping!O$3,'[1]TrialBalance (Quarter)'!$7:$7,0)),0)</f>
        <v>0</v>
      </c>
    </row>
    <row r="250" spans="1:14">
      <c r="B250" s="3">
        <v>121200</v>
      </c>
      <c r="C250" s="11" t="s">
        <v>233</v>
      </c>
      <c r="D250" s="11" t="s">
        <v>5</v>
      </c>
      <c r="E250" s="11"/>
      <c r="F250" s="5" t="e">
        <f>IF(DataExtraction="Manual",SUMIF('[1]TrialBalance (YTD)'!$C:$C,B250,'[1]TrialBalance (YTD)'!$E:$E),SUMIF('[1]TrialBalance (YTD)'!$G:$G,B250,'[1]TrialBalance (YTD)'!$I:$I))</f>
        <v>#VALUE!</v>
      </c>
      <c r="G250" s="5">
        <f>IFERROR(INDEX('[1]TrialBalance (YTD)'!$G:$S,MATCH([1]TBMapping!$C252,'[1]TrialBalance (YTD)'!G:G,0),MATCH([1]TBMapping!H$3,'[1]TrialBalance (YTD)'!$G$7:$Z$7,0)),0)</f>
        <v>0</v>
      </c>
      <c r="H250" s="5" t="e">
        <f>SUMIF('[1]TrialBalance (YTD)'!G:G,B250,'[1]TrialBalance (YTD)'!H:H)</f>
        <v>#VALUE!</v>
      </c>
      <c r="I250" s="5">
        <f>IFERROR(INDEX('[1]TrialBalance (YTD)'!$G:$S,MATCH([1]TBMapping!$C252,'[1]TrialBalance (YTD)'!G:G,0),MATCH([1]TBMapping!J$3,'[1]TrialBalance (YTD)'!$G$7:$Z$7,0)),0)</f>
        <v>0</v>
      </c>
      <c r="K250" s="5" t="e">
        <f>SUMIF('[1]TrialBalance (Quarter)'!$A:$A,B250,'[1]TrialBalance (Quarter)'!$B:$B)</f>
        <v>#VALUE!</v>
      </c>
      <c r="L250" s="5">
        <f>IFERROR(INDEX('[1]TrialBalance (Quarter)'!$A:$L,MATCH([1]TBMapping!$C252,'[1]TrialBalance (Quarter)'!A:A,0),MATCH([1]TBMapping!M$3,'[1]TrialBalance (Quarter)'!$7:$7,0)),0)</f>
        <v>0</v>
      </c>
      <c r="M250" s="5">
        <f>IFERROR(INDEX('[1]TrialBalance (Quarter)'!$A:$L,MATCH([1]TBMapping!$C252,'[1]TrialBalance (Quarter)'!A:A,0),MATCH([1]TBMapping!N$3,'[1]TrialBalance (Quarter)'!$7:$7,0)),0)</f>
        <v>0</v>
      </c>
      <c r="N250" s="5">
        <f>IFERROR(INDEX('[1]TrialBalance (Quarter)'!$A:$L,MATCH([1]TBMapping!$C252,'[1]TrialBalance (Quarter)'!A:A,0),MATCH([1]TBMapping!O$3,'[1]TrialBalance (Quarter)'!$7:$7,0)),0)</f>
        <v>0</v>
      </c>
    </row>
    <row r="251" spans="1:14">
      <c r="A251" s="2">
        <v>106</v>
      </c>
      <c r="B251" s="3">
        <v>121210</v>
      </c>
      <c r="C251" s="10" t="s">
        <v>234</v>
      </c>
      <c r="D251" s="10" t="s">
        <v>11</v>
      </c>
      <c r="E251" s="10"/>
      <c r="F251" s="5" t="e">
        <f>IF(DataExtraction="Manual",SUMIF('[1]TrialBalance (YTD)'!$C:$C,B251,'[1]TrialBalance (YTD)'!$E:$E),SUMIF('[1]TrialBalance (YTD)'!$G:$G,B251,'[1]TrialBalance (YTD)'!$I:$I))</f>
        <v>#VALUE!</v>
      </c>
      <c r="G251" s="5">
        <f>IFERROR(INDEX('[1]TrialBalance (YTD)'!$G:$S,MATCH([1]TBMapping!$C253,'[1]TrialBalance (YTD)'!G:G,0),MATCH([1]TBMapping!H$3,'[1]TrialBalance (YTD)'!$G$7:$Z$7,0)),0)</f>
        <v>0</v>
      </c>
      <c r="H251" s="5" t="e">
        <f>SUMIF('[1]TrialBalance (YTD)'!G:G,B251,'[1]TrialBalance (YTD)'!H:H)</f>
        <v>#VALUE!</v>
      </c>
      <c r="I251" s="5">
        <f>IFERROR(INDEX('[1]TrialBalance (YTD)'!$G:$S,MATCH([1]TBMapping!$C253,'[1]TrialBalance (YTD)'!G:G,0),MATCH([1]TBMapping!J$3,'[1]TrialBalance (YTD)'!$G$7:$Z$7,0)),0)</f>
        <v>0</v>
      </c>
      <c r="K251" s="5" t="e">
        <f>SUMIF('[1]TrialBalance (Quarter)'!$A:$A,B251,'[1]TrialBalance (Quarter)'!$B:$B)</f>
        <v>#VALUE!</v>
      </c>
      <c r="L251" s="5">
        <f>IFERROR(INDEX('[1]TrialBalance (Quarter)'!$A:$L,MATCH([1]TBMapping!$C253,'[1]TrialBalance (Quarter)'!A:A,0),MATCH([1]TBMapping!M$3,'[1]TrialBalance (Quarter)'!$7:$7,0)),0)</f>
        <v>0</v>
      </c>
      <c r="M251" s="5">
        <f>IFERROR(INDEX('[1]TrialBalance (Quarter)'!$A:$L,MATCH([1]TBMapping!$C253,'[1]TrialBalance (Quarter)'!A:A,0),MATCH([1]TBMapping!N$3,'[1]TrialBalance (Quarter)'!$7:$7,0)),0)</f>
        <v>0</v>
      </c>
      <c r="N251" s="5">
        <f>IFERROR(INDEX('[1]TrialBalance (Quarter)'!$A:$L,MATCH([1]TBMapping!$C253,'[1]TrialBalance (Quarter)'!A:A,0),MATCH([1]TBMapping!O$3,'[1]TrialBalance (Quarter)'!$7:$7,0)),0)</f>
        <v>0</v>
      </c>
    </row>
    <row r="252" spans="1:14">
      <c r="B252" s="3">
        <v>121299</v>
      </c>
      <c r="C252" s="11" t="s">
        <v>235</v>
      </c>
      <c r="D252" s="11" t="s">
        <v>16</v>
      </c>
      <c r="E252" s="11"/>
      <c r="F252" s="5" t="e">
        <f>IF(DataExtraction="Manual",SUMIF('[1]TrialBalance (YTD)'!$C:$C,B252,'[1]TrialBalance (YTD)'!$E:$E),SUMIF('[1]TrialBalance (YTD)'!$G:$G,B252,'[1]TrialBalance (YTD)'!$I:$I))</f>
        <v>#VALUE!</v>
      </c>
      <c r="G252" s="5">
        <f>IFERROR(INDEX('[1]TrialBalance (YTD)'!$G:$S,MATCH([1]TBMapping!$C254,'[1]TrialBalance (YTD)'!G:G,0),MATCH([1]TBMapping!H$3,'[1]TrialBalance (YTD)'!$G$7:$Z$7,0)),0)</f>
        <v>0</v>
      </c>
      <c r="H252" s="5" t="e">
        <f>SUMIF('[1]TrialBalance (YTD)'!G:G,B252,'[1]TrialBalance (YTD)'!H:H)</f>
        <v>#VALUE!</v>
      </c>
      <c r="I252" s="5">
        <f>IFERROR(INDEX('[1]TrialBalance (YTD)'!$G:$S,MATCH([1]TBMapping!$C254,'[1]TrialBalance (YTD)'!G:G,0),MATCH([1]TBMapping!J$3,'[1]TrialBalance (YTD)'!$G$7:$Z$7,0)),0)</f>
        <v>0</v>
      </c>
      <c r="K252" s="5" t="e">
        <f>SUMIF('[1]TrialBalance (Quarter)'!$A:$A,B252,'[1]TrialBalance (Quarter)'!$B:$B)</f>
        <v>#VALUE!</v>
      </c>
      <c r="L252" s="5">
        <f>IFERROR(INDEX('[1]TrialBalance (Quarter)'!$A:$L,MATCH([1]TBMapping!$C254,'[1]TrialBalance (Quarter)'!A:A,0),MATCH([1]TBMapping!M$3,'[1]TrialBalance (Quarter)'!$7:$7,0)),0)</f>
        <v>0</v>
      </c>
      <c r="M252" s="5">
        <f>IFERROR(INDEX('[1]TrialBalance (Quarter)'!$A:$L,MATCH([1]TBMapping!$C254,'[1]TrialBalance (Quarter)'!A:A,0),MATCH([1]TBMapping!N$3,'[1]TrialBalance (Quarter)'!$7:$7,0)),0)</f>
        <v>0</v>
      </c>
      <c r="N252" s="5">
        <f>IFERROR(INDEX('[1]TrialBalance (Quarter)'!$A:$L,MATCH([1]TBMapping!$C254,'[1]TrialBalance (Quarter)'!A:A,0),MATCH([1]TBMapping!O$3,'[1]TrialBalance (Quarter)'!$7:$7,0)),0)</f>
        <v>0</v>
      </c>
    </row>
    <row r="253" spans="1:14">
      <c r="B253" s="3">
        <v>121300</v>
      </c>
      <c r="C253" s="10" t="s">
        <v>236</v>
      </c>
      <c r="D253" s="10" t="s">
        <v>5</v>
      </c>
      <c r="E253" s="10"/>
      <c r="F253" s="5" t="e">
        <f>IF(DataExtraction="Manual",SUMIF('[1]TrialBalance (YTD)'!$C:$C,B253,'[1]TrialBalance (YTD)'!$E:$E),SUMIF('[1]TrialBalance (YTD)'!$G:$G,B253,'[1]TrialBalance (YTD)'!$I:$I))</f>
        <v>#VALUE!</v>
      </c>
      <c r="G253" s="5">
        <f>IFERROR(INDEX('[1]TrialBalance (YTD)'!$G:$S,MATCH([1]TBMapping!$C255,'[1]TrialBalance (YTD)'!G:G,0),MATCH([1]TBMapping!H$3,'[1]TrialBalance (YTD)'!$G$7:$Z$7,0)),0)</f>
        <v>0</v>
      </c>
      <c r="H253" s="5" t="e">
        <f>SUMIF('[1]TrialBalance (YTD)'!G:G,B253,'[1]TrialBalance (YTD)'!H:H)</f>
        <v>#VALUE!</v>
      </c>
      <c r="I253" s="5">
        <f>IFERROR(INDEX('[1]TrialBalance (YTD)'!$G:$S,MATCH([1]TBMapping!$C255,'[1]TrialBalance (YTD)'!G:G,0),MATCH([1]TBMapping!J$3,'[1]TrialBalance (YTD)'!$G$7:$Z$7,0)),0)</f>
        <v>0</v>
      </c>
      <c r="K253" s="5" t="e">
        <f>SUMIF('[1]TrialBalance (Quarter)'!$A:$A,B253,'[1]TrialBalance (Quarter)'!$B:$B)</f>
        <v>#VALUE!</v>
      </c>
      <c r="L253" s="5">
        <f>IFERROR(INDEX('[1]TrialBalance (Quarter)'!$A:$L,MATCH([1]TBMapping!$C255,'[1]TrialBalance (Quarter)'!A:A,0),MATCH([1]TBMapping!M$3,'[1]TrialBalance (Quarter)'!$7:$7,0)),0)</f>
        <v>0</v>
      </c>
      <c r="M253" s="5">
        <f>IFERROR(INDEX('[1]TrialBalance (Quarter)'!$A:$L,MATCH([1]TBMapping!$C255,'[1]TrialBalance (Quarter)'!A:A,0),MATCH([1]TBMapping!N$3,'[1]TrialBalance (Quarter)'!$7:$7,0)),0)</f>
        <v>0</v>
      </c>
      <c r="N253" s="5">
        <f>IFERROR(INDEX('[1]TrialBalance (Quarter)'!$A:$L,MATCH([1]TBMapping!$C255,'[1]TrialBalance (Quarter)'!A:A,0),MATCH([1]TBMapping!O$3,'[1]TrialBalance (Quarter)'!$7:$7,0)),0)</f>
        <v>0</v>
      </c>
    </row>
    <row r="254" spans="1:14">
      <c r="A254" s="2">
        <v>106</v>
      </c>
      <c r="B254" s="3">
        <v>121310</v>
      </c>
      <c r="C254" s="11" t="s">
        <v>236</v>
      </c>
      <c r="D254" s="11" t="s">
        <v>11</v>
      </c>
      <c r="E254" s="11"/>
      <c r="F254" s="5" t="e">
        <f>IF(DataExtraction="Manual",SUMIF('[1]TrialBalance (YTD)'!$C:$C,B254,'[1]TrialBalance (YTD)'!$E:$E),SUMIF('[1]TrialBalance (YTD)'!$G:$G,B254,'[1]TrialBalance (YTD)'!$I:$I))</f>
        <v>#VALUE!</v>
      </c>
      <c r="G254" s="5">
        <f>IFERROR(INDEX('[1]TrialBalance (YTD)'!$G:$S,MATCH([1]TBMapping!$C256,'[1]TrialBalance (YTD)'!G:G,0),MATCH([1]TBMapping!H$3,'[1]TrialBalance (YTD)'!$G$7:$Z$7,0)),0)</f>
        <v>0</v>
      </c>
      <c r="H254" s="5" t="e">
        <f>SUMIF('[1]TrialBalance (YTD)'!G:G,B254,'[1]TrialBalance (YTD)'!H:H)</f>
        <v>#VALUE!</v>
      </c>
      <c r="I254" s="5">
        <f>IFERROR(INDEX('[1]TrialBalance (YTD)'!$G:$S,MATCH([1]TBMapping!$C256,'[1]TrialBalance (YTD)'!G:G,0),MATCH([1]TBMapping!J$3,'[1]TrialBalance (YTD)'!$G$7:$Z$7,0)),0)</f>
        <v>0</v>
      </c>
      <c r="K254" s="5" t="e">
        <f>SUMIF('[1]TrialBalance (Quarter)'!$A:$A,B254,'[1]TrialBalance (Quarter)'!$B:$B)</f>
        <v>#VALUE!</v>
      </c>
      <c r="L254" s="5">
        <f>IFERROR(INDEX('[1]TrialBalance (Quarter)'!$A:$L,MATCH([1]TBMapping!$C256,'[1]TrialBalance (Quarter)'!A:A,0),MATCH([1]TBMapping!M$3,'[1]TrialBalance (Quarter)'!$7:$7,0)),0)</f>
        <v>0</v>
      </c>
      <c r="M254" s="5">
        <f>IFERROR(INDEX('[1]TrialBalance (Quarter)'!$A:$L,MATCH([1]TBMapping!$C256,'[1]TrialBalance (Quarter)'!A:A,0),MATCH([1]TBMapping!N$3,'[1]TrialBalance (Quarter)'!$7:$7,0)),0)</f>
        <v>0</v>
      </c>
      <c r="N254" s="5">
        <f>IFERROR(INDEX('[1]TrialBalance (Quarter)'!$A:$L,MATCH([1]TBMapping!$C256,'[1]TrialBalance (Quarter)'!A:A,0),MATCH([1]TBMapping!O$3,'[1]TrialBalance (Quarter)'!$7:$7,0)),0)</f>
        <v>0</v>
      </c>
    </row>
    <row r="255" spans="1:14">
      <c r="A255" s="2">
        <v>106</v>
      </c>
      <c r="B255" s="3">
        <v>121340</v>
      </c>
      <c r="C255" s="10" t="s">
        <v>237</v>
      </c>
      <c r="D255" s="10" t="s">
        <v>11</v>
      </c>
      <c r="E255" s="10"/>
      <c r="F255" s="5" t="e">
        <f>IF(DataExtraction="Manual",SUMIF('[1]TrialBalance (YTD)'!$C:$C,B255,'[1]TrialBalance (YTD)'!$E:$E),SUMIF('[1]TrialBalance (YTD)'!$G:$G,B255,'[1]TrialBalance (YTD)'!$I:$I))</f>
        <v>#VALUE!</v>
      </c>
      <c r="G255" s="5">
        <f>IFERROR(INDEX('[1]TrialBalance (YTD)'!$G:$S,MATCH([1]TBMapping!$C257,'[1]TrialBalance (YTD)'!G:G,0),MATCH([1]TBMapping!H$3,'[1]TrialBalance (YTD)'!$G$7:$Z$7,0)),0)</f>
        <v>0</v>
      </c>
      <c r="H255" s="5" t="e">
        <f>SUMIF('[1]TrialBalance (YTD)'!G:G,B255,'[1]TrialBalance (YTD)'!H:H)</f>
        <v>#VALUE!</v>
      </c>
      <c r="I255" s="5">
        <f>IFERROR(INDEX('[1]TrialBalance (YTD)'!$G:$S,MATCH([1]TBMapping!$C257,'[1]TrialBalance (YTD)'!G:G,0),MATCH([1]TBMapping!J$3,'[1]TrialBalance (YTD)'!$G$7:$Z$7,0)),0)</f>
        <v>0</v>
      </c>
      <c r="K255" s="5" t="e">
        <f>SUMIF('[1]TrialBalance (Quarter)'!$A:$A,B255,'[1]TrialBalance (Quarter)'!$B:$B)</f>
        <v>#VALUE!</v>
      </c>
      <c r="L255" s="5">
        <f>IFERROR(INDEX('[1]TrialBalance (Quarter)'!$A:$L,MATCH([1]TBMapping!$C257,'[1]TrialBalance (Quarter)'!A:A,0),MATCH([1]TBMapping!M$3,'[1]TrialBalance (Quarter)'!$7:$7,0)),0)</f>
        <v>0</v>
      </c>
      <c r="M255" s="5">
        <f>IFERROR(INDEX('[1]TrialBalance (Quarter)'!$A:$L,MATCH([1]TBMapping!$C257,'[1]TrialBalance (Quarter)'!A:A,0),MATCH([1]TBMapping!N$3,'[1]TrialBalance (Quarter)'!$7:$7,0)),0)</f>
        <v>0</v>
      </c>
      <c r="N255" s="5">
        <f>IFERROR(INDEX('[1]TrialBalance (Quarter)'!$A:$L,MATCH([1]TBMapping!$C257,'[1]TrialBalance (Quarter)'!A:A,0),MATCH([1]TBMapping!O$3,'[1]TrialBalance (Quarter)'!$7:$7,0)),0)</f>
        <v>0</v>
      </c>
    </row>
    <row r="256" spans="1:14">
      <c r="B256" s="3">
        <v>121399</v>
      </c>
      <c r="C256" s="11" t="s">
        <v>236</v>
      </c>
      <c r="D256" s="11" t="s">
        <v>16</v>
      </c>
      <c r="E256" s="11"/>
      <c r="F256" s="5" t="e">
        <f>IF(DataExtraction="Manual",SUMIF('[1]TrialBalance (YTD)'!$C:$C,B256,'[1]TrialBalance (YTD)'!$E:$E),SUMIF('[1]TrialBalance (YTD)'!$G:$G,B256,'[1]TrialBalance (YTD)'!$I:$I))</f>
        <v>#VALUE!</v>
      </c>
      <c r="G256" s="5">
        <f>IFERROR(INDEX('[1]TrialBalance (YTD)'!$G:$S,MATCH([1]TBMapping!$C258,'[1]TrialBalance (YTD)'!G:G,0),MATCH([1]TBMapping!H$3,'[1]TrialBalance (YTD)'!$G$7:$Z$7,0)),0)</f>
        <v>0</v>
      </c>
      <c r="H256" s="5" t="e">
        <f>SUMIF('[1]TrialBalance (YTD)'!G:G,B256,'[1]TrialBalance (YTD)'!H:H)</f>
        <v>#VALUE!</v>
      </c>
      <c r="I256" s="5">
        <f>IFERROR(INDEX('[1]TrialBalance (YTD)'!$G:$S,MATCH([1]TBMapping!$C258,'[1]TrialBalance (YTD)'!G:G,0),MATCH([1]TBMapping!J$3,'[1]TrialBalance (YTD)'!$G$7:$Z$7,0)),0)</f>
        <v>0</v>
      </c>
      <c r="K256" s="5" t="e">
        <f>SUMIF('[1]TrialBalance (Quarter)'!$A:$A,B256,'[1]TrialBalance (Quarter)'!$B:$B)</f>
        <v>#VALUE!</v>
      </c>
      <c r="L256" s="5">
        <f>IFERROR(INDEX('[1]TrialBalance (Quarter)'!$A:$L,MATCH([1]TBMapping!$C258,'[1]TrialBalance (Quarter)'!A:A,0),MATCH([1]TBMapping!M$3,'[1]TrialBalance (Quarter)'!$7:$7,0)),0)</f>
        <v>0</v>
      </c>
      <c r="M256" s="5">
        <f>IFERROR(INDEX('[1]TrialBalance (Quarter)'!$A:$L,MATCH([1]TBMapping!$C258,'[1]TrialBalance (Quarter)'!A:A,0),MATCH([1]TBMapping!N$3,'[1]TrialBalance (Quarter)'!$7:$7,0)),0)</f>
        <v>0</v>
      </c>
      <c r="N256" s="5">
        <f>IFERROR(INDEX('[1]TrialBalance (Quarter)'!$A:$L,MATCH([1]TBMapping!$C258,'[1]TrialBalance (Quarter)'!A:A,0),MATCH([1]TBMapping!O$3,'[1]TrialBalance (Quarter)'!$7:$7,0)),0)</f>
        <v>0</v>
      </c>
    </row>
    <row r="257" spans="1:14">
      <c r="B257" s="3">
        <v>121999</v>
      </c>
      <c r="C257" s="10" t="s">
        <v>238</v>
      </c>
      <c r="D257" s="10" t="s">
        <v>16</v>
      </c>
      <c r="E257" s="10"/>
      <c r="F257" s="5" t="e">
        <f>IF(DataExtraction="Manual",SUMIF('[1]TrialBalance (YTD)'!$C:$C,B257,'[1]TrialBalance (YTD)'!$E:$E),SUMIF('[1]TrialBalance (YTD)'!$G:$G,B257,'[1]TrialBalance (YTD)'!$I:$I))</f>
        <v>#VALUE!</v>
      </c>
      <c r="G257" s="5">
        <f>IFERROR(INDEX('[1]TrialBalance (YTD)'!$G:$S,MATCH([1]TBMapping!$C259,'[1]TrialBalance (YTD)'!G:G,0),MATCH([1]TBMapping!H$3,'[1]TrialBalance (YTD)'!$G$7:$Z$7,0)),0)</f>
        <v>0</v>
      </c>
      <c r="H257" s="5" t="e">
        <f>SUMIF('[1]TrialBalance (YTD)'!G:G,B257,'[1]TrialBalance (YTD)'!H:H)</f>
        <v>#VALUE!</v>
      </c>
      <c r="I257" s="5">
        <f>IFERROR(INDEX('[1]TrialBalance (YTD)'!$G:$S,MATCH([1]TBMapping!$C259,'[1]TrialBalance (YTD)'!G:G,0),MATCH([1]TBMapping!J$3,'[1]TrialBalance (YTD)'!$G$7:$Z$7,0)),0)</f>
        <v>0</v>
      </c>
      <c r="K257" s="5" t="e">
        <f>SUMIF('[1]TrialBalance (Quarter)'!$A:$A,B257,'[1]TrialBalance (Quarter)'!$B:$B)</f>
        <v>#VALUE!</v>
      </c>
      <c r="L257" s="5">
        <f>IFERROR(INDEX('[1]TrialBalance (Quarter)'!$A:$L,MATCH([1]TBMapping!$C259,'[1]TrialBalance (Quarter)'!A:A,0),MATCH([1]TBMapping!M$3,'[1]TrialBalance (Quarter)'!$7:$7,0)),0)</f>
        <v>0</v>
      </c>
      <c r="M257" s="5">
        <f>IFERROR(INDEX('[1]TrialBalance (Quarter)'!$A:$L,MATCH([1]TBMapping!$C259,'[1]TrialBalance (Quarter)'!A:A,0),MATCH([1]TBMapping!N$3,'[1]TrialBalance (Quarter)'!$7:$7,0)),0)</f>
        <v>0</v>
      </c>
      <c r="N257" s="5">
        <f>IFERROR(INDEX('[1]TrialBalance (Quarter)'!$A:$L,MATCH([1]TBMapping!$C259,'[1]TrialBalance (Quarter)'!A:A,0),MATCH([1]TBMapping!O$3,'[1]TrialBalance (Quarter)'!$7:$7,0)),0)</f>
        <v>0</v>
      </c>
    </row>
    <row r="258" spans="1:14">
      <c r="B258" s="3">
        <v>122000</v>
      </c>
      <c r="C258" s="11" t="s">
        <v>239</v>
      </c>
      <c r="D258" s="11" t="s">
        <v>5</v>
      </c>
      <c r="E258" s="11"/>
      <c r="F258" s="5" t="e">
        <f>IF(DataExtraction="Manual",SUMIF('[1]TrialBalance (YTD)'!$C:$C,B258,'[1]TrialBalance (YTD)'!$E:$E),SUMIF('[1]TrialBalance (YTD)'!$G:$G,B258,'[1]TrialBalance (YTD)'!$I:$I))</f>
        <v>#VALUE!</v>
      </c>
      <c r="G258" s="5">
        <f>IFERROR(INDEX('[1]TrialBalance (YTD)'!$G:$S,MATCH([1]TBMapping!$C260,'[1]TrialBalance (YTD)'!G:G,0),MATCH([1]TBMapping!H$3,'[1]TrialBalance (YTD)'!$G$7:$Z$7,0)),0)</f>
        <v>0</v>
      </c>
      <c r="H258" s="5" t="e">
        <f>SUMIF('[1]TrialBalance (YTD)'!G:G,B258,'[1]TrialBalance (YTD)'!H:H)</f>
        <v>#VALUE!</v>
      </c>
      <c r="I258" s="5">
        <f>IFERROR(INDEX('[1]TrialBalance (YTD)'!$G:$S,MATCH([1]TBMapping!$C260,'[1]TrialBalance (YTD)'!G:G,0),MATCH([1]TBMapping!J$3,'[1]TrialBalance (YTD)'!$G$7:$Z$7,0)),0)</f>
        <v>0</v>
      </c>
      <c r="K258" s="5" t="e">
        <f>SUMIF('[1]TrialBalance (Quarter)'!$A:$A,B258,'[1]TrialBalance (Quarter)'!$B:$B)</f>
        <v>#VALUE!</v>
      </c>
      <c r="L258" s="5">
        <f>IFERROR(INDEX('[1]TrialBalance (Quarter)'!$A:$L,MATCH([1]TBMapping!$C260,'[1]TrialBalance (Quarter)'!A:A,0),MATCH([1]TBMapping!M$3,'[1]TrialBalance (Quarter)'!$7:$7,0)),0)</f>
        <v>0</v>
      </c>
      <c r="M258" s="5">
        <f>IFERROR(INDEX('[1]TrialBalance (Quarter)'!$A:$L,MATCH([1]TBMapping!$C260,'[1]TrialBalance (Quarter)'!A:A,0),MATCH([1]TBMapping!N$3,'[1]TrialBalance (Quarter)'!$7:$7,0)),0)</f>
        <v>0</v>
      </c>
      <c r="N258" s="5">
        <f>IFERROR(INDEX('[1]TrialBalance (Quarter)'!$A:$L,MATCH([1]TBMapping!$C260,'[1]TrialBalance (Quarter)'!A:A,0),MATCH([1]TBMapping!O$3,'[1]TrialBalance (Quarter)'!$7:$7,0)),0)</f>
        <v>0</v>
      </c>
    </row>
    <row r="259" spans="1:14">
      <c r="A259" s="2">
        <v>106</v>
      </c>
      <c r="B259" s="3">
        <v>122110</v>
      </c>
      <c r="C259" s="10" t="s">
        <v>240</v>
      </c>
      <c r="D259" s="10" t="s">
        <v>11</v>
      </c>
      <c r="E259" s="10"/>
      <c r="F259" s="5" t="e">
        <f>IF(DataExtraction="Manual",SUMIF('[1]TrialBalance (YTD)'!$C:$C,B259,'[1]TrialBalance (YTD)'!$E:$E),SUMIF('[1]TrialBalance (YTD)'!$G:$G,B259,'[1]TrialBalance (YTD)'!$I:$I))</f>
        <v>#VALUE!</v>
      </c>
      <c r="G259" s="5">
        <f>IFERROR(INDEX('[1]TrialBalance (YTD)'!$G:$S,MATCH([1]TBMapping!$C261,'[1]TrialBalance (YTD)'!G:G,0),MATCH([1]TBMapping!H$3,'[1]TrialBalance (YTD)'!$G$7:$Z$7,0)),0)</f>
        <v>0</v>
      </c>
      <c r="H259" s="5" t="e">
        <f>SUMIF('[1]TrialBalance (YTD)'!G:G,B259,'[1]TrialBalance (YTD)'!H:H)</f>
        <v>#VALUE!</v>
      </c>
      <c r="I259" s="5">
        <f>IFERROR(INDEX('[1]TrialBalance (YTD)'!$G:$S,MATCH([1]TBMapping!$C261,'[1]TrialBalance (YTD)'!G:G,0),MATCH([1]TBMapping!J$3,'[1]TrialBalance (YTD)'!$G$7:$Z$7,0)),0)</f>
        <v>0</v>
      </c>
      <c r="K259" s="5" t="e">
        <f>SUMIF('[1]TrialBalance (Quarter)'!$A:$A,B259,'[1]TrialBalance (Quarter)'!$B:$B)</f>
        <v>#VALUE!</v>
      </c>
      <c r="L259" s="5">
        <f>IFERROR(INDEX('[1]TrialBalance (Quarter)'!$A:$L,MATCH([1]TBMapping!$C261,'[1]TrialBalance (Quarter)'!A:A,0),MATCH([1]TBMapping!M$3,'[1]TrialBalance (Quarter)'!$7:$7,0)),0)</f>
        <v>0</v>
      </c>
      <c r="M259" s="5">
        <f>IFERROR(INDEX('[1]TrialBalance (Quarter)'!$A:$L,MATCH([1]TBMapping!$C261,'[1]TrialBalance (Quarter)'!A:A,0),MATCH([1]TBMapping!N$3,'[1]TrialBalance (Quarter)'!$7:$7,0)),0)</f>
        <v>0</v>
      </c>
      <c r="N259" s="5">
        <f>IFERROR(INDEX('[1]TrialBalance (Quarter)'!$A:$L,MATCH([1]TBMapping!$C261,'[1]TrialBalance (Quarter)'!A:A,0),MATCH([1]TBMapping!O$3,'[1]TrialBalance (Quarter)'!$7:$7,0)),0)</f>
        <v>0</v>
      </c>
    </row>
    <row r="260" spans="1:14">
      <c r="B260" s="3">
        <v>122999</v>
      </c>
      <c r="C260" s="11" t="s">
        <v>241</v>
      </c>
      <c r="D260" s="11" t="s">
        <v>16</v>
      </c>
      <c r="E260" s="11"/>
      <c r="F260" s="5" t="e">
        <f>IF(DataExtraction="Manual",SUMIF('[1]TrialBalance (YTD)'!$C:$C,B260,'[1]TrialBalance (YTD)'!$E:$E),SUMIF('[1]TrialBalance (YTD)'!$G:$G,B260,'[1]TrialBalance (YTD)'!$I:$I))</f>
        <v>#VALUE!</v>
      </c>
      <c r="G260" s="5">
        <f>IFERROR(INDEX('[1]TrialBalance (YTD)'!$G:$S,MATCH([1]TBMapping!$C262,'[1]TrialBalance (YTD)'!G:G,0),MATCH([1]TBMapping!H$3,'[1]TrialBalance (YTD)'!$G$7:$Z$7,0)),0)</f>
        <v>0</v>
      </c>
      <c r="H260" s="5" t="e">
        <f>SUMIF('[1]TrialBalance (YTD)'!G:G,B260,'[1]TrialBalance (YTD)'!H:H)</f>
        <v>#VALUE!</v>
      </c>
      <c r="I260" s="5">
        <f>IFERROR(INDEX('[1]TrialBalance (YTD)'!$G:$S,MATCH([1]TBMapping!$C262,'[1]TrialBalance (YTD)'!G:G,0),MATCH([1]TBMapping!J$3,'[1]TrialBalance (YTD)'!$G$7:$Z$7,0)),0)</f>
        <v>0</v>
      </c>
      <c r="K260" s="5" t="e">
        <f>SUMIF('[1]TrialBalance (Quarter)'!$A:$A,B260,'[1]TrialBalance (Quarter)'!$B:$B)</f>
        <v>#VALUE!</v>
      </c>
      <c r="L260" s="5">
        <f>IFERROR(INDEX('[1]TrialBalance (Quarter)'!$A:$L,MATCH([1]TBMapping!$C262,'[1]TrialBalance (Quarter)'!A:A,0),MATCH([1]TBMapping!M$3,'[1]TrialBalance (Quarter)'!$7:$7,0)),0)</f>
        <v>0</v>
      </c>
      <c r="M260" s="5">
        <f>IFERROR(INDEX('[1]TrialBalance (Quarter)'!$A:$L,MATCH([1]TBMapping!$C262,'[1]TrialBalance (Quarter)'!A:A,0),MATCH([1]TBMapping!N$3,'[1]TrialBalance (Quarter)'!$7:$7,0)),0)</f>
        <v>0</v>
      </c>
      <c r="N260" s="5">
        <f>IFERROR(INDEX('[1]TrialBalance (Quarter)'!$A:$L,MATCH([1]TBMapping!$C262,'[1]TrialBalance (Quarter)'!A:A,0),MATCH([1]TBMapping!O$3,'[1]TrialBalance (Quarter)'!$7:$7,0)),0)</f>
        <v>0</v>
      </c>
    </row>
    <row r="261" spans="1:14">
      <c r="B261" s="3">
        <v>123000</v>
      </c>
      <c r="C261" s="10" t="s">
        <v>242</v>
      </c>
      <c r="D261" s="10" t="s">
        <v>5</v>
      </c>
      <c r="E261" s="10"/>
      <c r="F261" s="5" t="e">
        <f>IF(DataExtraction="Manual",SUMIF('[1]TrialBalance (YTD)'!$C:$C,B261,'[1]TrialBalance (YTD)'!$E:$E),SUMIF('[1]TrialBalance (YTD)'!$G:$G,B261,'[1]TrialBalance (YTD)'!$I:$I))</f>
        <v>#VALUE!</v>
      </c>
      <c r="G261" s="5">
        <f>IFERROR(INDEX('[1]TrialBalance (YTD)'!$G:$S,MATCH([1]TBMapping!$C263,'[1]TrialBalance (YTD)'!G:G,0),MATCH([1]TBMapping!H$3,'[1]TrialBalance (YTD)'!$G$7:$Z$7,0)),0)</f>
        <v>0</v>
      </c>
      <c r="H261" s="5" t="e">
        <f>SUMIF('[1]TrialBalance (YTD)'!G:G,B261,'[1]TrialBalance (YTD)'!H:H)</f>
        <v>#VALUE!</v>
      </c>
      <c r="I261" s="5">
        <f>IFERROR(INDEX('[1]TrialBalance (YTD)'!$G:$S,MATCH([1]TBMapping!$C263,'[1]TrialBalance (YTD)'!G:G,0),MATCH([1]TBMapping!J$3,'[1]TrialBalance (YTD)'!$G$7:$Z$7,0)),0)</f>
        <v>0</v>
      </c>
      <c r="K261" s="5" t="e">
        <f>SUMIF('[1]TrialBalance (Quarter)'!$A:$A,B261,'[1]TrialBalance (Quarter)'!$B:$B)</f>
        <v>#VALUE!</v>
      </c>
      <c r="L261" s="5">
        <f>IFERROR(INDEX('[1]TrialBalance (Quarter)'!$A:$L,MATCH([1]TBMapping!$C263,'[1]TrialBalance (Quarter)'!A:A,0),MATCH([1]TBMapping!M$3,'[1]TrialBalance (Quarter)'!$7:$7,0)),0)</f>
        <v>0</v>
      </c>
      <c r="M261" s="5">
        <f>IFERROR(INDEX('[1]TrialBalance (Quarter)'!$A:$L,MATCH([1]TBMapping!$C263,'[1]TrialBalance (Quarter)'!A:A,0),MATCH([1]TBMapping!N$3,'[1]TrialBalance (Quarter)'!$7:$7,0)),0)</f>
        <v>0</v>
      </c>
      <c r="N261" s="5">
        <f>IFERROR(INDEX('[1]TrialBalance (Quarter)'!$A:$L,MATCH([1]TBMapping!$C263,'[1]TrialBalance (Quarter)'!A:A,0),MATCH([1]TBMapping!O$3,'[1]TrialBalance (Quarter)'!$7:$7,0)),0)</f>
        <v>0</v>
      </c>
    </row>
    <row r="262" spans="1:14">
      <c r="A262" s="2">
        <v>106</v>
      </c>
      <c r="B262" s="3">
        <v>123110</v>
      </c>
      <c r="C262" s="11" t="s">
        <v>243</v>
      </c>
      <c r="D262" s="11" t="s">
        <v>11</v>
      </c>
      <c r="E262" s="11"/>
      <c r="F262" s="5" t="e">
        <f>IF(DataExtraction="Manual",SUMIF('[1]TrialBalance (YTD)'!$C:$C,B262,'[1]TrialBalance (YTD)'!$E:$E),SUMIF('[1]TrialBalance (YTD)'!$G:$G,B262,'[1]TrialBalance (YTD)'!$I:$I))</f>
        <v>#VALUE!</v>
      </c>
      <c r="G262" s="5">
        <f>IFERROR(INDEX('[1]TrialBalance (YTD)'!$G:$S,MATCH([1]TBMapping!$C264,'[1]TrialBalance (YTD)'!G:G,0),MATCH([1]TBMapping!H$3,'[1]TrialBalance (YTD)'!$G$7:$Z$7,0)),0)</f>
        <v>0</v>
      </c>
      <c r="H262" s="5" t="e">
        <f>SUMIF('[1]TrialBalance (YTD)'!G:G,B262,'[1]TrialBalance (YTD)'!H:H)</f>
        <v>#VALUE!</v>
      </c>
      <c r="I262" s="5">
        <f>IFERROR(INDEX('[1]TrialBalance (YTD)'!$G:$S,MATCH([1]TBMapping!$C264,'[1]TrialBalance (YTD)'!G:G,0),MATCH([1]TBMapping!J$3,'[1]TrialBalance (YTD)'!$G$7:$Z$7,0)),0)</f>
        <v>0</v>
      </c>
      <c r="K262" s="5" t="e">
        <f>SUMIF('[1]TrialBalance (Quarter)'!$A:$A,B262,'[1]TrialBalance (Quarter)'!$B:$B)</f>
        <v>#VALUE!</v>
      </c>
      <c r="L262" s="5">
        <f>IFERROR(INDEX('[1]TrialBalance (Quarter)'!$A:$L,MATCH([1]TBMapping!$C264,'[1]TrialBalance (Quarter)'!A:A,0),MATCH([1]TBMapping!M$3,'[1]TrialBalance (Quarter)'!$7:$7,0)),0)</f>
        <v>0</v>
      </c>
      <c r="M262" s="5">
        <f>IFERROR(INDEX('[1]TrialBalance (Quarter)'!$A:$L,MATCH([1]TBMapping!$C264,'[1]TrialBalance (Quarter)'!A:A,0),MATCH([1]TBMapping!N$3,'[1]TrialBalance (Quarter)'!$7:$7,0)),0)</f>
        <v>0</v>
      </c>
      <c r="N262" s="5">
        <f>IFERROR(INDEX('[1]TrialBalance (Quarter)'!$A:$L,MATCH([1]TBMapping!$C264,'[1]TrialBalance (Quarter)'!A:A,0),MATCH([1]TBMapping!O$3,'[1]TrialBalance (Quarter)'!$7:$7,0)),0)</f>
        <v>0</v>
      </c>
    </row>
    <row r="263" spans="1:14">
      <c r="A263" s="2">
        <v>106</v>
      </c>
      <c r="B263" s="3">
        <v>123111</v>
      </c>
      <c r="C263" s="10" t="s">
        <v>244</v>
      </c>
      <c r="D263" s="10" t="s">
        <v>11</v>
      </c>
      <c r="E263" s="10"/>
      <c r="F263" s="5" t="e">
        <f>IF(DataExtraction="Manual",SUMIF('[1]TrialBalance (YTD)'!$C:$C,B263,'[1]TrialBalance (YTD)'!$E:$E),SUMIF('[1]TrialBalance (YTD)'!$G:$G,B263,'[1]TrialBalance (YTD)'!$I:$I))</f>
        <v>#VALUE!</v>
      </c>
      <c r="G263" s="5">
        <f>IFERROR(INDEX('[1]TrialBalance (YTD)'!$G:$S,MATCH([1]TBMapping!$C265,'[1]TrialBalance (YTD)'!G:G,0),MATCH([1]TBMapping!H$3,'[1]TrialBalance (YTD)'!$G$7:$Z$7,0)),0)</f>
        <v>0</v>
      </c>
      <c r="H263" s="5" t="e">
        <f>SUMIF('[1]TrialBalance (YTD)'!G:G,B263,'[1]TrialBalance (YTD)'!H:H)</f>
        <v>#VALUE!</v>
      </c>
      <c r="I263" s="5">
        <f>IFERROR(INDEX('[1]TrialBalance (YTD)'!$G:$S,MATCH([1]TBMapping!$C265,'[1]TrialBalance (YTD)'!G:G,0),MATCH([1]TBMapping!J$3,'[1]TrialBalance (YTD)'!$G$7:$Z$7,0)),0)</f>
        <v>0</v>
      </c>
      <c r="K263" s="5" t="e">
        <f>SUMIF('[1]TrialBalance (Quarter)'!$A:$A,B263,'[1]TrialBalance (Quarter)'!$B:$B)</f>
        <v>#VALUE!</v>
      </c>
      <c r="L263" s="5">
        <f>IFERROR(INDEX('[1]TrialBalance (Quarter)'!$A:$L,MATCH([1]TBMapping!$C265,'[1]TrialBalance (Quarter)'!A:A,0),MATCH([1]TBMapping!M$3,'[1]TrialBalance (Quarter)'!$7:$7,0)),0)</f>
        <v>0</v>
      </c>
      <c r="M263" s="5">
        <f>IFERROR(INDEX('[1]TrialBalance (Quarter)'!$A:$L,MATCH([1]TBMapping!$C265,'[1]TrialBalance (Quarter)'!A:A,0),MATCH([1]TBMapping!N$3,'[1]TrialBalance (Quarter)'!$7:$7,0)),0)</f>
        <v>0</v>
      </c>
      <c r="N263" s="5">
        <f>IFERROR(INDEX('[1]TrialBalance (Quarter)'!$A:$L,MATCH([1]TBMapping!$C265,'[1]TrialBalance (Quarter)'!A:A,0),MATCH([1]TBMapping!O$3,'[1]TrialBalance (Quarter)'!$7:$7,0)),0)</f>
        <v>0</v>
      </c>
    </row>
    <row r="264" spans="1:14">
      <c r="A264" s="2">
        <v>106</v>
      </c>
      <c r="B264" s="3">
        <v>123112</v>
      </c>
      <c r="C264" s="11" t="s">
        <v>245</v>
      </c>
      <c r="D264" s="11" t="s">
        <v>11</v>
      </c>
      <c r="E264" s="11"/>
      <c r="F264" s="5" t="e">
        <f>IF(DataExtraction="Manual",SUMIF('[1]TrialBalance (YTD)'!$C:$C,B264,'[1]TrialBalance (YTD)'!$E:$E),SUMIF('[1]TrialBalance (YTD)'!$G:$G,B264,'[1]TrialBalance (YTD)'!$I:$I))</f>
        <v>#VALUE!</v>
      </c>
      <c r="G264" s="5">
        <f>IFERROR(INDEX('[1]TrialBalance (YTD)'!$G:$S,MATCH([1]TBMapping!$C266,'[1]TrialBalance (YTD)'!G:G,0),MATCH([1]TBMapping!H$3,'[1]TrialBalance (YTD)'!$G$7:$Z$7,0)),0)</f>
        <v>0</v>
      </c>
      <c r="H264" s="5" t="e">
        <f>SUMIF('[1]TrialBalance (YTD)'!G:G,B264,'[1]TrialBalance (YTD)'!H:H)</f>
        <v>#VALUE!</v>
      </c>
      <c r="I264" s="5">
        <f>IFERROR(INDEX('[1]TrialBalance (YTD)'!$G:$S,MATCH([1]TBMapping!$C266,'[1]TrialBalance (YTD)'!G:G,0),MATCH([1]TBMapping!J$3,'[1]TrialBalance (YTD)'!$G$7:$Z$7,0)),0)</f>
        <v>0</v>
      </c>
      <c r="K264" s="5" t="e">
        <f>SUMIF('[1]TrialBalance (Quarter)'!$A:$A,B264,'[1]TrialBalance (Quarter)'!$B:$B)</f>
        <v>#VALUE!</v>
      </c>
      <c r="L264" s="5">
        <f>IFERROR(INDEX('[1]TrialBalance (Quarter)'!$A:$L,MATCH([1]TBMapping!$C266,'[1]TrialBalance (Quarter)'!A:A,0),MATCH([1]TBMapping!M$3,'[1]TrialBalance (Quarter)'!$7:$7,0)),0)</f>
        <v>0</v>
      </c>
      <c r="M264" s="5">
        <f>IFERROR(INDEX('[1]TrialBalance (Quarter)'!$A:$L,MATCH([1]TBMapping!$C266,'[1]TrialBalance (Quarter)'!A:A,0),MATCH([1]TBMapping!N$3,'[1]TrialBalance (Quarter)'!$7:$7,0)),0)</f>
        <v>0</v>
      </c>
      <c r="N264" s="5">
        <f>IFERROR(INDEX('[1]TrialBalance (Quarter)'!$A:$L,MATCH([1]TBMapping!$C266,'[1]TrialBalance (Quarter)'!A:A,0),MATCH([1]TBMapping!O$3,'[1]TrialBalance (Quarter)'!$7:$7,0)),0)</f>
        <v>0</v>
      </c>
    </row>
    <row r="265" spans="1:14">
      <c r="A265" s="2">
        <v>106</v>
      </c>
      <c r="B265" s="3">
        <v>123120</v>
      </c>
      <c r="C265" s="10" t="s">
        <v>246</v>
      </c>
      <c r="D265" s="10" t="s">
        <v>11</v>
      </c>
      <c r="E265" s="10"/>
      <c r="F265" s="5" t="e">
        <f>IF(DataExtraction="Manual",SUMIF('[1]TrialBalance (YTD)'!$C:$C,B265,'[1]TrialBalance (YTD)'!$E:$E),SUMIF('[1]TrialBalance (YTD)'!$G:$G,B265,'[1]TrialBalance (YTD)'!$I:$I))</f>
        <v>#VALUE!</v>
      </c>
      <c r="G265" s="5">
        <f>IFERROR(INDEX('[1]TrialBalance (YTD)'!$G:$S,MATCH([1]TBMapping!$C267,'[1]TrialBalance (YTD)'!G:G,0),MATCH([1]TBMapping!H$3,'[1]TrialBalance (YTD)'!$G$7:$Z$7,0)),0)</f>
        <v>0</v>
      </c>
      <c r="H265" s="5" t="e">
        <f>SUMIF('[1]TrialBalance (YTD)'!G:G,B265,'[1]TrialBalance (YTD)'!H:H)</f>
        <v>#VALUE!</v>
      </c>
      <c r="I265" s="5">
        <f>IFERROR(INDEX('[1]TrialBalance (YTD)'!$G:$S,MATCH([1]TBMapping!$C267,'[1]TrialBalance (YTD)'!G:G,0),MATCH([1]TBMapping!J$3,'[1]TrialBalance (YTD)'!$G$7:$Z$7,0)),0)</f>
        <v>0</v>
      </c>
      <c r="K265" s="5" t="e">
        <f>SUMIF('[1]TrialBalance (Quarter)'!$A:$A,B265,'[1]TrialBalance (Quarter)'!$B:$B)</f>
        <v>#VALUE!</v>
      </c>
      <c r="L265" s="5">
        <f>IFERROR(INDEX('[1]TrialBalance (Quarter)'!$A:$L,MATCH([1]TBMapping!$C267,'[1]TrialBalance (Quarter)'!A:A,0),MATCH([1]TBMapping!M$3,'[1]TrialBalance (Quarter)'!$7:$7,0)),0)</f>
        <v>0</v>
      </c>
      <c r="M265" s="5">
        <f>IFERROR(INDEX('[1]TrialBalance (Quarter)'!$A:$L,MATCH([1]TBMapping!$C267,'[1]TrialBalance (Quarter)'!A:A,0),MATCH([1]TBMapping!N$3,'[1]TrialBalance (Quarter)'!$7:$7,0)),0)</f>
        <v>0</v>
      </c>
      <c r="N265" s="5">
        <f>IFERROR(INDEX('[1]TrialBalance (Quarter)'!$A:$L,MATCH([1]TBMapping!$C267,'[1]TrialBalance (Quarter)'!A:A,0),MATCH([1]TBMapping!O$3,'[1]TrialBalance (Quarter)'!$7:$7,0)),0)</f>
        <v>0</v>
      </c>
    </row>
    <row r="266" spans="1:14">
      <c r="A266" s="2">
        <v>106</v>
      </c>
      <c r="B266" s="3">
        <v>123130</v>
      </c>
      <c r="C266" s="11" t="s">
        <v>242</v>
      </c>
      <c r="D266" s="11" t="s">
        <v>11</v>
      </c>
      <c r="E266" s="11"/>
      <c r="F266" s="5" t="e">
        <f>IF(DataExtraction="Manual",SUMIF('[1]TrialBalance (YTD)'!$C:$C,B266,'[1]TrialBalance (YTD)'!$E:$E),SUMIF('[1]TrialBalance (YTD)'!$G:$G,B266,'[1]TrialBalance (YTD)'!$I:$I))</f>
        <v>#VALUE!</v>
      </c>
      <c r="G266" s="5">
        <f>IFERROR(INDEX('[1]TrialBalance (YTD)'!$G:$S,MATCH([1]TBMapping!$C268,'[1]TrialBalance (YTD)'!G:G,0),MATCH([1]TBMapping!H$3,'[1]TrialBalance (YTD)'!$G$7:$Z$7,0)),0)</f>
        <v>0</v>
      </c>
      <c r="H266" s="5" t="e">
        <f>SUMIF('[1]TrialBalance (YTD)'!G:G,B266,'[1]TrialBalance (YTD)'!H:H)</f>
        <v>#VALUE!</v>
      </c>
      <c r="I266" s="5">
        <f>IFERROR(INDEX('[1]TrialBalance (YTD)'!$G:$S,MATCH([1]TBMapping!$C268,'[1]TrialBalance (YTD)'!G:G,0),MATCH([1]TBMapping!J$3,'[1]TrialBalance (YTD)'!$G$7:$Z$7,0)),0)</f>
        <v>0</v>
      </c>
      <c r="K266" s="5" t="e">
        <f>SUMIF('[1]TrialBalance (Quarter)'!$A:$A,B266,'[1]TrialBalance (Quarter)'!$B:$B)</f>
        <v>#VALUE!</v>
      </c>
      <c r="L266" s="5">
        <f>IFERROR(INDEX('[1]TrialBalance (Quarter)'!$A:$L,MATCH([1]TBMapping!$C268,'[1]TrialBalance (Quarter)'!A:A,0),MATCH([1]TBMapping!M$3,'[1]TrialBalance (Quarter)'!$7:$7,0)),0)</f>
        <v>0</v>
      </c>
      <c r="M266" s="5">
        <f>IFERROR(INDEX('[1]TrialBalance (Quarter)'!$A:$L,MATCH([1]TBMapping!$C268,'[1]TrialBalance (Quarter)'!A:A,0),MATCH([1]TBMapping!N$3,'[1]TrialBalance (Quarter)'!$7:$7,0)),0)</f>
        <v>0</v>
      </c>
      <c r="N266" s="5">
        <f>IFERROR(INDEX('[1]TrialBalance (Quarter)'!$A:$L,MATCH([1]TBMapping!$C268,'[1]TrialBalance (Quarter)'!A:A,0),MATCH([1]TBMapping!O$3,'[1]TrialBalance (Quarter)'!$7:$7,0)),0)</f>
        <v>0</v>
      </c>
    </row>
    <row r="267" spans="1:14">
      <c r="B267" s="3">
        <v>123999</v>
      </c>
      <c r="C267" s="10" t="s">
        <v>242</v>
      </c>
      <c r="D267" s="10" t="s">
        <v>16</v>
      </c>
      <c r="E267" s="10"/>
      <c r="F267" s="5" t="e">
        <f>IF(DataExtraction="Manual",SUMIF('[1]TrialBalance (YTD)'!$C:$C,B267,'[1]TrialBalance (YTD)'!$E:$E),SUMIF('[1]TrialBalance (YTD)'!$G:$G,B267,'[1]TrialBalance (YTD)'!$I:$I))</f>
        <v>#VALUE!</v>
      </c>
      <c r="G267" s="5">
        <f>IFERROR(INDEX('[1]TrialBalance (YTD)'!$G:$S,MATCH([1]TBMapping!$C269,'[1]TrialBalance (YTD)'!G:G,0),MATCH([1]TBMapping!H$3,'[1]TrialBalance (YTD)'!$G$7:$Z$7,0)),0)</f>
        <v>0</v>
      </c>
      <c r="H267" s="5" t="e">
        <f>SUMIF('[1]TrialBalance (YTD)'!G:G,B267,'[1]TrialBalance (YTD)'!H:H)</f>
        <v>#VALUE!</v>
      </c>
      <c r="I267" s="5">
        <f>IFERROR(INDEX('[1]TrialBalance (YTD)'!$G:$S,MATCH([1]TBMapping!$C269,'[1]TrialBalance (YTD)'!G:G,0),MATCH([1]TBMapping!J$3,'[1]TrialBalance (YTD)'!$G$7:$Z$7,0)),0)</f>
        <v>0</v>
      </c>
      <c r="K267" s="5" t="e">
        <f>SUMIF('[1]TrialBalance (Quarter)'!$A:$A,B267,'[1]TrialBalance (Quarter)'!$B:$B)</f>
        <v>#VALUE!</v>
      </c>
      <c r="L267" s="5">
        <f>IFERROR(INDEX('[1]TrialBalance (Quarter)'!$A:$L,MATCH([1]TBMapping!$C269,'[1]TrialBalance (Quarter)'!A:A,0),MATCH([1]TBMapping!M$3,'[1]TrialBalance (Quarter)'!$7:$7,0)),0)</f>
        <v>0</v>
      </c>
      <c r="M267" s="5">
        <f>IFERROR(INDEX('[1]TrialBalance (Quarter)'!$A:$L,MATCH([1]TBMapping!$C269,'[1]TrialBalance (Quarter)'!A:A,0),MATCH([1]TBMapping!N$3,'[1]TrialBalance (Quarter)'!$7:$7,0)),0)</f>
        <v>0</v>
      </c>
      <c r="N267" s="5">
        <f>IFERROR(INDEX('[1]TrialBalance (Quarter)'!$A:$L,MATCH([1]TBMapping!$C269,'[1]TrialBalance (Quarter)'!A:A,0),MATCH([1]TBMapping!O$3,'[1]TrialBalance (Quarter)'!$7:$7,0)),0)</f>
        <v>0</v>
      </c>
    </row>
    <row r="268" spans="1:14">
      <c r="B268" s="3">
        <v>124000</v>
      </c>
      <c r="C268" s="11" t="s">
        <v>247</v>
      </c>
      <c r="D268" s="11" t="s">
        <v>5</v>
      </c>
      <c r="E268" s="11"/>
      <c r="F268" s="5" t="e">
        <f>IF(DataExtraction="Manual",SUMIF('[1]TrialBalance (YTD)'!$C:$C,B268,'[1]TrialBalance (YTD)'!$E:$E),SUMIF('[1]TrialBalance (YTD)'!$G:$G,B268,'[1]TrialBalance (YTD)'!$I:$I))</f>
        <v>#VALUE!</v>
      </c>
      <c r="G268" s="5">
        <f>IFERROR(INDEX('[1]TrialBalance (YTD)'!$G:$S,MATCH([1]TBMapping!$C270,'[1]TrialBalance (YTD)'!G:G,0),MATCH([1]TBMapping!H$3,'[1]TrialBalance (YTD)'!$G$7:$Z$7,0)),0)</f>
        <v>0</v>
      </c>
      <c r="H268" s="5" t="e">
        <f>SUMIF('[1]TrialBalance (YTD)'!G:G,B268,'[1]TrialBalance (YTD)'!H:H)</f>
        <v>#VALUE!</v>
      </c>
      <c r="I268" s="5">
        <f>IFERROR(INDEX('[1]TrialBalance (YTD)'!$G:$S,MATCH([1]TBMapping!$C270,'[1]TrialBalance (YTD)'!G:G,0),MATCH([1]TBMapping!J$3,'[1]TrialBalance (YTD)'!$G$7:$Z$7,0)),0)</f>
        <v>0</v>
      </c>
      <c r="K268" s="5" t="e">
        <f>SUMIF('[1]TrialBalance (Quarter)'!$A:$A,B268,'[1]TrialBalance (Quarter)'!$B:$B)</f>
        <v>#VALUE!</v>
      </c>
      <c r="L268" s="5">
        <f>IFERROR(INDEX('[1]TrialBalance (Quarter)'!$A:$L,MATCH([1]TBMapping!$C270,'[1]TrialBalance (Quarter)'!A:A,0),MATCH([1]TBMapping!M$3,'[1]TrialBalance (Quarter)'!$7:$7,0)),0)</f>
        <v>0</v>
      </c>
      <c r="M268" s="5">
        <f>IFERROR(INDEX('[1]TrialBalance (Quarter)'!$A:$L,MATCH([1]TBMapping!$C270,'[1]TrialBalance (Quarter)'!A:A,0),MATCH([1]TBMapping!N$3,'[1]TrialBalance (Quarter)'!$7:$7,0)),0)</f>
        <v>0</v>
      </c>
      <c r="N268" s="5">
        <f>IFERROR(INDEX('[1]TrialBalance (Quarter)'!$A:$L,MATCH([1]TBMapping!$C270,'[1]TrialBalance (Quarter)'!A:A,0),MATCH([1]TBMapping!O$3,'[1]TrialBalance (Quarter)'!$7:$7,0)),0)</f>
        <v>0</v>
      </c>
    </row>
    <row r="269" spans="1:14">
      <c r="B269" s="3">
        <v>124100</v>
      </c>
      <c r="C269" s="10" t="s">
        <v>248</v>
      </c>
      <c r="D269" s="10" t="s">
        <v>5</v>
      </c>
      <c r="E269" s="10"/>
      <c r="F269" s="5" t="e">
        <f>IF(DataExtraction="Manual",SUMIF('[1]TrialBalance (YTD)'!$C:$C,B269,'[1]TrialBalance (YTD)'!$E:$E),SUMIF('[1]TrialBalance (YTD)'!$G:$G,B269,'[1]TrialBalance (YTD)'!$I:$I))</f>
        <v>#VALUE!</v>
      </c>
      <c r="G269" s="5">
        <f>IFERROR(INDEX('[1]TrialBalance (YTD)'!$G:$S,MATCH([1]TBMapping!$C271,'[1]TrialBalance (YTD)'!G:G,0),MATCH([1]TBMapping!H$3,'[1]TrialBalance (YTD)'!$G$7:$Z$7,0)),0)</f>
        <v>0</v>
      </c>
      <c r="H269" s="5" t="e">
        <f>SUMIF('[1]TrialBalance (YTD)'!G:G,B269,'[1]TrialBalance (YTD)'!H:H)</f>
        <v>#VALUE!</v>
      </c>
      <c r="I269" s="5">
        <f>IFERROR(INDEX('[1]TrialBalance (YTD)'!$G:$S,MATCH([1]TBMapping!$C271,'[1]TrialBalance (YTD)'!G:G,0),MATCH([1]TBMapping!J$3,'[1]TrialBalance (YTD)'!$G$7:$Z$7,0)),0)</f>
        <v>0</v>
      </c>
      <c r="K269" s="5" t="e">
        <f>SUMIF('[1]TrialBalance (Quarter)'!$A:$A,B269,'[1]TrialBalance (Quarter)'!$B:$B)</f>
        <v>#VALUE!</v>
      </c>
      <c r="L269" s="5">
        <f>IFERROR(INDEX('[1]TrialBalance (Quarter)'!$A:$L,MATCH([1]TBMapping!$C271,'[1]TrialBalance (Quarter)'!A:A,0),MATCH([1]TBMapping!M$3,'[1]TrialBalance (Quarter)'!$7:$7,0)),0)</f>
        <v>0</v>
      </c>
      <c r="M269" s="5">
        <f>IFERROR(INDEX('[1]TrialBalance (Quarter)'!$A:$L,MATCH([1]TBMapping!$C271,'[1]TrialBalance (Quarter)'!A:A,0),MATCH([1]TBMapping!N$3,'[1]TrialBalance (Quarter)'!$7:$7,0)),0)</f>
        <v>0</v>
      </c>
      <c r="N269" s="5">
        <f>IFERROR(INDEX('[1]TrialBalance (Quarter)'!$A:$L,MATCH([1]TBMapping!$C271,'[1]TrialBalance (Quarter)'!A:A,0),MATCH([1]TBMapping!O$3,'[1]TrialBalance (Quarter)'!$7:$7,0)),0)</f>
        <v>0</v>
      </c>
    </row>
    <row r="270" spans="1:14">
      <c r="A270" s="2">
        <v>106</v>
      </c>
      <c r="B270" s="3">
        <v>124110</v>
      </c>
      <c r="C270" s="11" t="s">
        <v>249</v>
      </c>
      <c r="D270" s="11" t="s">
        <v>11</v>
      </c>
      <c r="E270" s="11"/>
      <c r="F270" s="5" t="e">
        <f>IF(DataExtraction="Manual",SUMIF('[1]TrialBalance (YTD)'!$C:$C,B270,'[1]TrialBalance (YTD)'!$E:$E),SUMIF('[1]TrialBalance (YTD)'!$G:$G,B270,'[1]TrialBalance (YTD)'!$I:$I))</f>
        <v>#VALUE!</v>
      </c>
      <c r="G270" s="5">
        <f>IFERROR(INDEX('[1]TrialBalance (YTD)'!$G:$S,MATCH([1]TBMapping!$C272,'[1]TrialBalance (YTD)'!G:G,0),MATCH([1]TBMapping!H$3,'[1]TrialBalance (YTD)'!$G$7:$Z$7,0)),0)</f>
        <v>0</v>
      </c>
      <c r="H270" s="5" t="e">
        <f>SUMIF('[1]TrialBalance (YTD)'!G:G,B270,'[1]TrialBalance (YTD)'!H:H)</f>
        <v>#VALUE!</v>
      </c>
      <c r="I270" s="5">
        <f>IFERROR(INDEX('[1]TrialBalance (YTD)'!$G:$S,MATCH([1]TBMapping!$C272,'[1]TrialBalance (YTD)'!G:G,0),MATCH([1]TBMapping!J$3,'[1]TrialBalance (YTD)'!$G$7:$Z$7,0)),0)</f>
        <v>0</v>
      </c>
      <c r="K270" s="5" t="e">
        <f>SUMIF('[1]TrialBalance (Quarter)'!$A:$A,B270,'[1]TrialBalance (Quarter)'!$B:$B)</f>
        <v>#VALUE!</v>
      </c>
      <c r="L270" s="5">
        <f>IFERROR(INDEX('[1]TrialBalance (Quarter)'!$A:$L,MATCH([1]TBMapping!$C272,'[1]TrialBalance (Quarter)'!A:A,0),MATCH([1]TBMapping!M$3,'[1]TrialBalance (Quarter)'!$7:$7,0)),0)</f>
        <v>0</v>
      </c>
      <c r="M270" s="5">
        <f>IFERROR(INDEX('[1]TrialBalance (Quarter)'!$A:$L,MATCH([1]TBMapping!$C272,'[1]TrialBalance (Quarter)'!A:A,0),MATCH([1]TBMapping!N$3,'[1]TrialBalance (Quarter)'!$7:$7,0)),0)</f>
        <v>0</v>
      </c>
      <c r="N270" s="5">
        <f>IFERROR(INDEX('[1]TrialBalance (Quarter)'!$A:$L,MATCH([1]TBMapping!$C272,'[1]TrialBalance (Quarter)'!A:A,0),MATCH([1]TBMapping!O$3,'[1]TrialBalance (Quarter)'!$7:$7,0)),0)</f>
        <v>0</v>
      </c>
    </row>
    <row r="271" spans="1:14">
      <c r="A271" s="2">
        <v>106</v>
      </c>
      <c r="B271" s="3">
        <v>124120</v>
      </c>
      <c r="C271" s="10" t="s">
        <v>250</v>
      </c>
      <c r="D271" s="10" t="s">
        <v>11</v>
      </c>
      <c r="E271" s="10"/>
      <c r="F271" s="5" t="e">
        <f>IF(DataExtraction="Manual",SUMIF('[1]TrialBalance (YTD)'!$C:$C,B271,'[1]TrialBalance (YTD)'!$E:$E),SUMIF('[1]TrialBalance (YTD)'!$G:$G,B271,'[1]TrialBalance (YTD)'!$I:$I))</f>
        <v>#VALUE!</v>
      </c>
      <c r="G271" s="5">
        <f>IFERROR(INDEX('[1]TrialBalance (YTD)'!$G:$S,MATCH([1]TBMapping!$C273,'[1]TrialBalance (YTD)'!G:G,0),MATCH([1]TBMapping!H$3,'[1]TrialBalance (YTD)'!$G$7:$Z$7,0)),0)</f>
        <v>0</v>
      </c>
      <c r="H271" s="5" t="e">
        <f>SUMIF('[1]TrialBalance (YTD)'!G:G,B271,'[1]TrialBalance (YTD)'!H:H)</f>
        <v>#VALUE!</v>
      </c>
      <c r="I271" s="5">
        <f>IFERROR(INDEX('[1]TrialBalance (YTD)'!$G:$S,MATCH([1]TBMapping!$C273,'[1]TrialBalance (YTD)'!G:G,0),MATCH([1]TBMapping!J$3,'[1]TrialBalance (YTD)'!$G$7:$Z$7,0)),0)</f>
        <v>0</v>
      </c>
      <c r="K271" s="5" t="e">
        <f>SUMIF('[1]TrialBalance (Quarter)'!$A:$A,B271,'[1]TrialBalance (Quarter)'!$B:$B)</f>
        <v>#VALUE!</v>
      </c>
      <c r="L271" s="5">
        <f>IFERROR(INDEX('[1]TrialBalance (Quarter)'!$A:$L,MATCH([1]TBMapping!$C273,'[1]TrialBalance (Quarter)'!A:A,0),MATCH([1]TBMapping!M$3,'[1]TrialBalance (Quarter)'!$7:$7,0)),0)</f>
        <v>0</v>
      </c>
      <c r="M271" s="5">
        <f>IFERROR(INDEX('[1]TrialBalance (Quarter)'!$A:$L,MATCH([1]TBMapping!$C273,'[1]TrialBalance (Quarter)'!A:A,0),MATCH([1]TBMapping!N$3,'[1]TrialBalance (Quarter)'!$7:$7,0)),0)</f>
        <v>0</v>
      </c>
      <c r="N271" s="5">
        <f>IFERROR(INDEX('[1]TrialBalance (Quarter)'!$A:$L,MATCH([1]TBMapping!$C273,'[1]TrialBalance (Quarter)'!A:A,0),MATCH([1]TBMapping!O$3,'[1]TrialBalance (Quarter)'!$7:$7,0)),0)</f>
        <v>0</v>
      </c>
    </row>
    <row r="272" spans="1:14">
      <c r="A272" s="2">
        <v>106</v>
      </c>
      <c r="B272" s="3">
        <v>124130</v>
      </c>
      <c r="C272" s="11" t="s">
        <v>251</v>
      </c>
      <c r="D272" s="11" t="s">
        <v>11</v>
      </c>
      <c r="E272" s="11"/>
      <c r="F272" s="5" t="e">
        <f>IF(DataExtraction="Manual",SUMIF('[1]TrialBalance (YTD)'!$C:$C,B272,'[1]TrialBalance (YTD)'!$E:$E),SUMIF('[1]TrialBalance (YTD)'!$G:$G,B272,'[1]TrialBalance (YTD)'!$I:$I))</f>
        <v>#VALUE!</v>
      </c>
      <c r="G272" s="5">
        <f>IFERROR(INDEX('[1]TrialBalance (YTD)'!$G:$S,MATCH([1]TBMapping!$C274,'[1]TrialBalance (YTD)'!G:G,0),MATCH([1]TBMapping!H$3,'[1]TrialBalance (YTD)'!$G$7:$Z$7,0)),0)</f>
        <v>0</v>
      </c>
      <c r="H272" s="5" t="e">
        <f>SUMIF('[1]TrialBalance (YTD)'!G:G,B272,'[1]TrialBalance (YTD)'!H:H)</f>
        <v>#VALUE!</v>
      </c>
      <c r="I272" s="5">
        <f>IFERROR(INDEX('[1]TrialBalance (YTD)'!$G:$S,MATCH([1]TBMapping!$C274,'[1]TrialBalance (YTD)'!G:G,0),MATCH([1]TBMapping!J$3,'[1]TrialBalance (YTD)'!$G$7:$Z$7,0)),0)</f>
        <v>0</v>
      </c>
      <c r="K272" s="5" t="e">
        <f>SUMIF('[1]TrialBalance (Quarter)'!$A:$A,B272,'[1]TrialBalance (Quarter)'!$B:$B)</f>
        <v>#VALUE!</v>
      </c>
      <c r="L272" s="5">
        <f>IFERROR(INDEX('[1]TrialBalance (Quarter)'!$A:$L,MATCH([1]TBMapping!$C274,'[1]TrialBalance (Quarter)'!A:A,0),MATCH([1]TBMapping!M$3,'[1]TrialBalance (Quarter)'!$7:$7,0)),0)</f>
        <v>0</v>
      </c>
      <c r="M272" s="5">
        <f>IFERROR(INDEX('[1]TrialBalance (Quarter)'!$A:$L,MATCH([1]TBMapping!$C274,'[1]TrialBalance (Quarter)'!A:A,0),MATCH([1]TBMapping!N$3,'[1]TrialBalance (Quarter)'!$7:$7,0)),0)</f>
        <v>0</v>
      </c>
      <c r="N272" s="5">
        <f>IFERROR(INDEX('[1]TrialBalance (Quarter)'!$A:$L,MATCH([1]TBMapping!$C274,'[1]TrialBalance (Quarter)'!A:A,0),MATCH([1]TBMapping!O$3,'[1]TrialBalance (Quarter)'!$7:$7,0)),0)</f>
        <v>0</v>
      </c>
    </row>
    <row r="273" spans="1:14">
      <c r="A273" s="2">
        <v>106</v>
      </c>
      <c r="B273" s="3">
        <v>124140</v>
      </c>
      <c r="C273" s="10" t="s">
        <v>252</v>
      </c>
      <c r="D273" s="10" t="s">
        <v>11</v>
      </c>
      <c r="E273" s="10"/>
      <c r="F273" s="5" t="e">
        <f>IF(DataExtraction="Manual",SUMIF('[1]TrialBalance (YTD)'!$C:$C,B273,'[1]TrialBalance (YTD)'!$E:$E),SUMIF('[1]TrialBalance (YTD)'!$G:$G,B273,'[1]TrialBalance (YTD)'!$I:$I))</f>
        <v>#VALUE!</v>
      </c>
      <c r="G273" s="5">
        <f>IFERROR(INDEX('[1]TrialBalance (YTD)'!$G:$S,MATCH([1]TBMapping!$C275,'[1]TrialBalance (YTD)'!G:G,0),MATCH([1]TBMapping!H$3,'[1]TrialBalance (YTD)'!$G$7:$Z$7,0)),0)</f>
        <v>0</v>
      </c>
      <c r="H273" s="5" t="e">
        <f>SUMIF('[1]TrialBalance (YTD)'!G:G,B273,'[1]TrialBalance (YTD)'!H:H)</f>
        <v>#VALUE!</v>
      </c>
      <c r="I273" s="5">
        <f>IFERROR(INDEX('[1]TrialBalance (YTD)'!$G:$S,MATCH([1]TBMapping!$C275,'[1]TrialBalance (YTD)'!G:G,0),MATCH([1]TBMapping!J$3,'[1]TrialBalance (YTD)'!$G$7:$Z$7,0)),0)</f>
        <v>0</v>
      </c>
      <c r="J273" s="5"/>
      <c r="K273" s="5" t="e">
        <f>SUMIF('[1]TrialBalance (Quarter)'!$A:$A,B273,'[1]TrialBalance (Quarter)'!$B:$B)</f>
        <v>#VALUE!</v>
      </c>
      <c r="L273" s="5">
        <f>IFERROR(INDEX('[1]TrialBalance (Quarter)'!$A:$L,MATCH([1]TBMapping!$C275,'[1]TrialBalance (Quarter)'!A:A,0),MATCH([1]TBMapping!M$3,'[1]TrialBalance (Quarter)'!$7:$7,0)),0)</f>
        <v>0</v>
      </c>
      <c r="M273" s="5">
        <f>IFERROR(INDEX('[1]TrialBalance (Quarter)'!$A:$L,MATCH([1]TBMapping!$C275,'[1]TrialBalance (Quarter)'!A:A,0),MATCH([1]TBMapping!N$3,'[1]TrialBalance (Quarter)'!$7:$7,0)),0)</f>
        <v>0</v>
      </c>
      <c r="N273" s="5">
        <f>IFERROR(INDEX('[1]TrialBalance (Quarter)'!$A:$L,MATCH([1]TBMapping!$C275,'[1]TrialBalance (Quarter)'!A:A,0),MATCH([1]TBMapping!O$3,'[1]TrialBalance (Quarter)'!$7:$7,0)),0)</f>
        <v>0</v>
      </c>
    </row>
    <row r="274" spans="1:14">
      <c r="A274" s="2">
        <v>106</v>
      </c>
      <c r="B274" s="3">
        <v>124150</v>
      </c>
      <c r="C274" s="11" t="s">
        <v>253</v>
      </c>
      <c r="D274" s="11" t="s">
        <v>11</v>
      </c>
      <c r="E274" s="11"/>
      <c r="F274" s="5" t="e">
        <f>IF(DataExtraction="Manual",SUMIF('[1]TrialBalance (YTD)'!$C:$C,B274,'[1]TrialBalance (YTD)'!$E:$E),SUMIF('[1]TrialBalance (YTD)'!$G:$G,B274,'[1]TrialBalance (YTD)'!$I:$I))</f>
        <v>#VALUE!</v>
      </c>
      <c r="G274" s="5">
        <f>IFERROR(INDEX('[1]TrialBalance (YTD)'!$G:$S,MATCH([1]TBMapping!$C276,'[1]TrialBalance (YTD)'!G:G,0),MATCH([1]TBMapping!H$3,'[1]TrialBalance (YTD)'!$G$7:$Z$7,0)),0)</f>
        <v>0</v>
      </c>
      <c r="H274" s="5" t="e">
        <f>SUMIF('[1]TrialBalance (YTD)'!G:G,B274,'[1]TrialBalance (YTD)'!H:H)</f>
        <v>#VALUE!</v>
      </c>
      <c r="I274" s="5">
        <f>IFERROR(INDEX('[1]TrialBalance (YTD)'!$G:$S,MATCH([1]TBMapping!$C276,'[1]TrialBalance (YTD)'!G:G,0),MATCH([1]TBMapping!J$3,'[1]TrialBalance (YTD)'!$G$7:$Z$7,0)),0)</f>
        <v>0</v>
      </c>
      <c r="K274" s="5" t="e">
        <f>SUMIF('[1]TrialBalance (Quarter)'!$A:$A,B274,'[1]TrialBalance (Quarter)'!$B:$B)</f>
        <v>#VALUE!</v>
      </c>
      <c r="L274" s="5">
        <f>IFERROR(INDEX('[1]TrialBalance (Quarter)'!$A:$L,MATCH([1]TBMapping!$C276,'[1]TrialBalance (Quarter)'!A:A,0),MATCH([1]TBMapping!M$3,'[1]TrialBalance (Quarter)'!$7:$7,0)),0)</f>
        <v>0</v>
      </c>
      <c r="M274" s="5">
        <f>IFERROR(INDEX('[1]TrialBalance (Quarter)'!$A:$L,MATCH([1]TBMapping!$C276,'[1]TrialBalance (Quarter)'!A:A,0),MATCH([1]TBMapping!N$3,'[1]TrialBalance (Quarter)'!$7:$7,0)),0)</f>
        <v>0</v>
      </c>
      <c r="N274" s="5">
        <f>IFERROR(INDEX('[1]TrialBalance (Quarter)'!$A:$L,MATCH([1]TBMapping!$C276,'[1]TrialBalance (Quarter)'!A:A,0),MATCH([1]TBMapping!O$3,'[1]TrialBalance (Quarter)'!$7:$7,0)),0)</f>
        <v>0</v>
      </c>
    </row>
    <row r="275" spans="1:14">
      <c r="B275" s="3">
        <v>124199</v>
      </c>
      <c r="C275" s="10" t="s">
        <v>248</v>
      </c>
      <c r="D275" s="10" t="s">
        <v>16</v>
      </c>
      <c r="E275" s="10"/>
      <c r="F275" s="5" t="e">
        <f>IF(DataExtraction="Manual",SUMIF('[1]TrialBalance (YTD)'!$C:$C,B275,'[1]TrialBalance (YTD)'!$E:$E),SUMIF('[1]TrialBalance (YTD)'!$G:$G,B275,'[1]TrialBalance (YTD)'!$I:$I))</f>
        <v>#VALUE!</v>
      </c>
      <c r="G275" s="5">
        <f>IFERROR(INDEX('[1]TrialBalance (YTD)'!$G:$S,MATCH([1]TBMapping!$C277,'[1]TrialBalance (YTD)'!G:G,0),MATCH([1]TBMapping!H$3,'[1]TrialBalance (YTD)'!$G$7:$Z$7,0)),0)</f>
        <v>0</v>
      </c>
      <c r="H275" s="5" t="e">
        <f>SUMIF('[1]TrialBalance (YTD)'!G:G,B275,'[1]TrialBalance (YTD)'!H:H)</f>
        <v>#VALUE!</v>
      </c>
      <c r="I275" s="5">
        <f>IFERROR(INDEX('[1]TrialBalance (YTD)'!$G:$S,MATCH([1]TBMapping!$C277,'[1]TrialBalance (YTD)'!G:G,0),MATCH([1]TBMapping!J$3,'[1]TrialBalance (YTD)'!$G$7:$Z$7,0)),0)</f>
        <v>0</v>
      </c>
      <c r="K275" s="5" t="e">
        <f>SUMIF('[1]TrialBalance (Quarter)'!$A:$A,B275,'[1]TrialBalance (Quarter)'!$B:$B)</f>
        <v>#VALUE!</v>
      </c>
      <c r="L275" s="5">
        <f>IFERROR(INDEX('[1]TrialBalance (Quarter)'!$A:$L,MATCH([1]TBMapping!$C277,'[1]TrialBalance (Quarter)'!A:A,0),MATCH([1]TBMapping!M$3,'[1]TrialBalance (Quarter)'!$7:$7,0)),0)</f>
        <v>0</v>
      </c>
      <c r="M275" s="5">
        <f>IFERROR(INDEX('[1]TrialBalance (Quarter)'!$A:$L,MATCH([1]TBMapping!$C277,'[1]TrialBalance (Quarter)'!A:A,0),MATCH([1]TBMapping!N$3,'[1]TrialBalance (Quarter)'!$7:$7,0)),0)</f>
        <v>0</v>
      </c>
      <c r="N275" s="5">
        <f>IFERROR(INDEX('[1]TrialBalance (Quarter)'!$A:$L,MATCH([1]TBMapping!$C277,'[1]TrialBalance (Quarter)'!A:A,0),MATCH([1]TBMapping!O$3,'[1]TrialBalance (Quarter)'!$7:$7,0)),0)</f>
        <v>0</v>
      </c>
    </row>
    <row r="276" spans="1:14">
      <c r="B276" s="3">
        <v>124200</v>
      </c>
      <c r="C276" s="11" t="s">
        <v>254</v>
      </c>
      <c r="D276" s="11" t="s">
        <v>5</v>
      </c>
      <c r="E276" s="11"/>
      <c r="F276" s="5" t="e">
        <f>IF(DataExtraction="Manual",SUMIF('[1]TrialBalance (YTD)'!$C:$C,B276,'[1]TrialBalance (YTD)'!$E:$E),SUMIF('[1]TrialBalance (YTD)'!$G:$G,B276,'[1]TrialBalance (YTD)'!$I:$I))</f>
        <v>#VALUE!</v>
      </c>
      <c r="G276" s="5">
        <f>IFERROR(INDEX('[1]TrialBalance (YTD)'!$G:$S,MATCH([1]TBMapping!$C278,'[1]TrialBalance (YTD)'!G:G,0),MATCH([1]TBMapping!H$3,'[1]TrialBalance (YTD)'!$G$7:$Z$7,0)),0)</f>
        <v>0</v>
      </c>
      <c r="H276" s="5" t="e">
        <f>SUMIF('[1]TrialBalance (YTD)'!G:G,B276,'[1]TrialBalance (YTD)'!H:H)</f>
        <v>#VALUE!</v>
      </c>
      <c r="I276" s="5">
        <f>IFERROR(INDEX('[1]TrialBalance (YTD)'!$G:$S,MATCH([1]TBMapping!$C278,'[1]TrialBalance (YTD)'!G:G,0),MATCH([1]TBMapping!J$3,'[1]TrialBalance (YTD)'!$G$7:$Z$7,0)),0)</f>
        <v>0</v>
      </c>
      <c r="K276" s="5" t="e">
        <f>SUMIF('[1]TrialBalance (Quarter)'!$A:$A,B276,'[1]TrialBalance (Quarter)'!$B:$B)</f>
        <v>#VALUE!</v>
      </c>
      <c r="L276" s="5">
        <f>IFERROR(INDEX('[1]TrialBalance (Quarter)'!$A:$L,MATCH([1]TBMapping!$C278,'[1]TrialBalance (Quarter)'!A:A,0),MATCH([1]TBMapping!M$3,'[1]TrialBalance (Quarter)'!$7:$7,0)),0)</f>
        <v>0</v>
      </c>
      <c r="M276" s="5">
        <f>IFERROR(INDEX('[1]TrialBalance (Quarter)'!$A:$L,MATCH([1]TBMapping!$C278,'[1]TrialBalance (Quarter)'!A:A,0),MATCH([1]TBMapping!N$3,'[1]TrialBalance (Quarter)'!$7:$7,0)),0)</f>
        <v>0</v>
      </c>
      <c r="N276" s="5">
        <f>IFERROR(INDEX('[1]TrialBalance (Quarter)'!$A:$L,MATCH([1]TBMapping!$C278,'[1]TrialBalance (Quarter)'!A:A,0),MATCH([1]TBMapping!O$3,'[1]TrialBalance (Quarter)'!$7:$7,0)),0)</f>
        <v>0</v>
      </c>
    </row>
    <row r="277" spans="1:14">
      <c r="A277" s="2">
        <v>106</v>
      </c>
      <c r="B277" s="3">
        <v>124210</v>
      </c>
      <c r="C277" s="10" t="s">
        <v>255</v>
      </c>
      <c r="D277" s="10" t="s">
        <v>11</v>
      </c>
      <c r="E277" s="10"/>
      <c r="F277" s="5" t="e">
        <f>IF(DataExtraction="Manual",SUMIF('[1]TrialBalance (YTD)'!$C:$C,B277,'[1]TrialBalance (YTD)'!$E:$E),SUMIF('[1]TrialBalance (YTD)'!$G:$G,B277,'[1]TrialBalance (YTD)'!$I:$I))</f>
        <v>#VALUE!</v>
      </c>
      <c r="G277" s="5">
        <f>IFERROR(INDEX('[1]TrialBalance (YTD)'!$G:$S,MATCH([1]TBMapping!$C279,'[1]TrialBalance (YTD)'!G:G,0),MATCH([1]TBMapping!H$3,'[1]TrialBalance (YTD)'!$G$7:$Z$7,0)),0)</f>
        <v>0</v>
      </c>
      <c r="H277" s="5" t="e">
        <f>SUMIF('[1]TrialBalance (YTD)'!G:G,B277,'[1]TrialBalance (YTD)'!H:H)</f>
        <v>#VALUE!</v>
      </c>
      <c r="I277" s="5">
        <f>IFERROR(INDEX('[1]TrialBalance (YTD)'!$G:$S,MATCH([1]TBMapping!$C279,'[1]TrialBalance (YTD)'!G:G,0),MATCH([1]TBMapping!J$3,'[1]TrialBalance (YTD)'!$G$7:$Z$7,0)),0)</f>
        <v>0</v>
      </c>
      <c r="K277" s="5" t="e">
        <f>SUMIF('[1]TrialBalance (Quarter)'!$A:$A,B277,'[1]TrialBalance (Quarter)'!$B:$B)</f>
        <v>#VALUE!</v>
      </c>
      <c r="L277" s="5">
        <f>IFERROR(INDEX('[1]TrialBalance (Quarter)'!$A:$L,MATCH([1]TBMapping!$C279,'[1]TrialBalance (Quarter)'!A:A,0),MATCH([1]TBMapping!M$3,'[1]TrialBalance (Quarter)'!$7:$7,0)),0)</f>
        <v>0</v>
      </c>
      <c r="M277" s="5">
        <f>IFERROR(INDEX('[1]TrialBalance (Quarter)'!$A:$L,MATCH([1]TBMapping!$C279,'[1]TrialBalance (Quarter)'!A:A,0),MATCH([1]TBMapping!N$3,'[1]TrialBalance (Quarter)'!$7:$7,0)),0)</f>
        <v>0</v>
      </c>
      <c r="N277" s="5">
        <f>IFERROR(INDEX('[1]TrialBalance (Quarter)'!$A:$L,MATCH([1]TBMapping!$C279,'[1]TrialBalance (Quarter)'!A:A,0),MATCH([1]TBMapping!O$3,'[1]TrialBalance (Quarter)'!$7:$7,0)),0)</f>
        <v>0</v>
      </c>
    </row>
    <row r="278" spans="1:14">
      <c r="A278" s="2">
        <v>106</v>
      </c>
      <c r="B278" s="3">
        <v>124220</v>
      </c>
      <c r="C278" s="11" t="s">
        <v>256</v>
      </c>
      <c r="D278" s="11" t="s">
        <v>11</v>
      </c>
      <c r="E278" s="11"/>
      <c r="F278" s="5" t="e">
        <f>IF(DataExtraction="Manual",SUMIF('[1]TrialBalance (YTD)'!$C:$C,B278,'[1]TrialBalance (YTD)'!$E:$E),SUMIF('[1]TrialBalance (YTD)'!$G:$G,B278,'[1]TrialBalance (YTD)'!$I:$I))</f>
        <v>#VALUE!</v>
      </c>
      <c r="G278" s="5">
        <f>IFERROR(INDEX('[1]TrialBalance (YTD)'!$G:$S,MATCH([1]TBMapping!$C280,'[1]TrialBalance (YTD)'!G:G,0),MATCH([1]TBMapping!H$3,'[1]TrialBalance (YTD)'!$G$7:$Z$7,0)),0)</f>
        <v>0</v>
      </c>
      <c r="H278" s="5" t="e">
        <f>SUMIF('[1]TrialBalance (YTD)'!G:G,B278,'[1]TrialBalance (YTD)'!H:H)</f>
        <v>#VALUE!</v>
      </c>
      <c r="I278" s="5">
        <f>IFERROR(INDEX('[1]TrialBalance (YTD)'!$G:$S,MATCH([1]TBMapping!$C280,'[1]TrialBalance (YTD)'!G:G,0),MATCH([1]TBMapping!J$3,'[1]TrialBalance (YTD)'!$G$7:$Z$7,0)),0)</f>
        <v>0</v>
      </c>
      <c r="K278" s="5" t="e">
        <f>SUMIF('[1]TrialBalance (Quarter)'!$A:$A,B278,'[1]TrialBalance (Quarter)'!$B:$B)</f>
        <v>#VALUE!</v>
      </c>
      <c r="L278" s="5">
        <f>IFERROR(INDEX('[1]TrialBalance (Quarter)'!$A:$L,MATCH([1]TBMapping!$C280,'[1]TrialBalance (Quarter)'!A:A,0),MATCH([1]TBMapping!M$3,'[1]TrialBalance (Quarter)'!$7:$7,0)),0)</f>
        <v>0</v>
      </c>
      <c r="M278" s="5">
        <f>IFERROR(INDEX('[1]TrialBalance (Quarter)'!$A:$L,MATCH([1]TBMapping!$C280,'[1]TrialBalance (Quarter)'!A:A,0),MATCH([1]TBMapping!N$3,'[1]TrialBalance (Quarter)'!$7:$7,0)),0)</f>
        <v>0</v>
      </c>
      <c r="N278" s="5">
        <f>IFERROR(INDEX('[1]TrialBalance (Quarter)'!$A:$L,MATCH([1]TBMapping!$C280,'[1]TrialBalance (Quarter)'!A:A,0),MATCH([1]TBMapping!O$3,'[1]TrialBalance (Quarter)'!$7:$7,0)),0)</f>
        <v>0</v>
      </c>
    </row>
    <row r="279" spans="1:14">
      <c r="A279" s="2">
        <v>106</v>
      </c>
      <c r="B279" s="3">
        <v>124230</v>
      </c>
      <c r="C279" s="10" t="s">
        <v>257</v>
      </c>
      <c r="D279" s="10" t="s">
        <v>11</v>
      </c>
      <c r="E279" s="10"/>
      <c r="F279" s="5" t="e">
        <f>IF(DataExtraction="Manual",SUMIF('[1]TrialBalance (YTD)'!$C:$C,B279,'[1]TrialBalance (YTD)'!$E:$E),SUMIF('[1]TrialBalance (YTD)'!$G:$G,B279,'[1]TrialBalance (YTD)'!$I:$I))</f>
        <v>#VALUE!</v>
      </c>
      <c r="G279" s="5">
        <f>IFERROR(INDEX('[1]TrialBalance (YTD)'!$G:$S,MATCH([1]TBMapping!$C281,'[1]TrialBalance (YTD)'!G:G,0),MATCH([1]TBMapping!H$3,'[1]TrialBalance (YTD)'!$G$7:$Z$7,0)),0)</f>
        <v>0</v>
      </c>
      <c r="H279" s="5" t="e">
        <f>SUMIF('[1]TrialBalance (YTD)'!G:G,B279,'[1]TrialBalance (YTD)'!H:H)</f>
        <v>#VALUE!</v>
      </c>
      <c r="I279" s="5">
        <f>IFERROR(INDEX('[1]TrialBalance (YTD)'!$G:$S,MATCH([1]TBMapping!$C281,'[1]TrialBalance (YTD)'!G:G,0),MATCH([1]TBMapping!J$3,'[1]TrialBalance (YTD)'!$G$7:$Z$7,0)),0)</f>
        <v>0</v>
      </c>
      <c r="K279" s="5" t="e">
        <f>SUMIF('[1]TrialBalance (Quarter)'!$A:$A,B279,'[1]TrialBalance (Quarter)'!$B:$B)</f>
        <v>#VALUE!</v>
      </c>
      <c r="L279" s="5">
        <f>IFERROR(INDEX('[1]TrialBalance (Quarter)'!$A:$L,MATCH([1]TBMapping!$C281,'[1]TrialBalance (Quarter)'!A:A,0),MATCH([1]TBMapping!M$3,'[1]TrialBalance (Quarter)'!$7:$7,0)),0)</f>
        <v>0</v>
      </c>
      <c r="M279" s="5">
        <f>IFERROR(INDEX('[1]TrialBalance (Quarter)'!$A:$L,MATCH([1]TBMapping!$C281,'[1]TrialBalance (Quarter)'!A:A,0),MATCH([1]TBMapping!N$3,'[1]TrialBalance (Quarter)'!$7:$7,0)),0)</f>
        <v>0</v>
      </c>
      <c r="N279" s="5">
        <f>IFERROR(INDEX('[1]TrialBalance (Quarter)'!$A:$L,MATCH([1]TBMapping!$C281,'[1]TrialBalance (Quarter)'!A:A,0),MATCH([1]TBMapping!O$3,'[1]TrialBalance (Quarter)'!$7:$7,0)),0)</f>
        <v>0</v>
      </c>
    </row>
    <row r="280" spans="1:14">
      <c r="B280" s="3">
        <v>124299</v>
      </c>
      <c r="C280" s="11" t="s">
        <v>258</v>
      </c>
      <c r="D280" s="11" t="s">
        <v>16</v>
      </c>
      <c r="E280" s="11"/>
      <c r="F280" s="5" t="e">
        <f>IF(DataExtraction="Manual",SUMIF('[1]TrialBalance (YTD)'!$C:$C,B280,'[1]TrialBalance (YTD)'!$E:$E),SUMIF('[1]TrialBalance (YTD)'!$G:$G,B280,'[1]TrialBalance (YTD)'!$I:$I))</f>
        <v>#VALUE!</v>
      </c>
      <c r="G280" s="5">
        <f>IFERROR(INDEX('[1]TrialBalance (YTD)'!$G:$S,MATCH([1]TBMapping!$C282,'[1]TrialBalance (YTD)'!G:G,0),MATCH([1]TBMapping!H$3,'[1]TrialBalance (YTD)'!$G$7:$Z$7,0)),0)</f>
        <v>0</v>
      </c>
      <c r="H280" s="5" t="e">
        <f>SUMIF('[1]TrialBalance (YTD)'!G:G,B280,'[1]TrialBalance (YTD)'!H:H)</f>
        <v>#VALUE!</v>
      </c>
      <c r="I280" s="5">
        <f>IFERROR(INDEX('[1]TrialBalance (YTD)'!$G:$S,MATCH([1]TBMapping!$C282,'[1]TrialBalance (YTD)'!G:G,0),MATCH([1]TBMapping!J$3,'[1]TrialBalance (YTD)'!$G$7:$Z$7,0)),0)</f>
        <v>0</v>
      </c>
      <c r="K280" s="5" t="e">
        <f>SUMIF('[1]TrialBalance (Quarter)'!$A:$A,B280,'[1]TrialBalance (Quarter)'!$B:$B)</f>
        <v>#VALUE!</v>
      </c>
      <c r="L280" s="5">
        <f>IFERROR(INDEX('[1]TrialBalance (Quarter)'!$A:$L,MATCH([1]TBMapping!$C282,'[1]TrialBalance (Quarter)'!A:A,0),MATCH([1]TBMapping!M$3,'[1]TrialBalance (Quarter)'!$7:$7,0)),0)</f>
        <v>0</v>
      </c>
      <c r="M280" s="5">
        <f>IFERROR(INDEX('[1]TrialBalance (Quarter)'!$A:$L,MATCH([1]TBMapping!$C282,'[1]TrialBalance (Quarter)'!A:A,0),MATCH([1]TBMapping!N$3,'[1]TrialBalance (Quarter)'!$7:$7,0)),0)</f>
        <v>0</v>
      </c>
      <c r="N280" s="5">
        <f>IFERROR(INDEX('[1]TrialBalance (Quarter)'!$A:$L,MATCH([1]TBMapping!$C282,'[1]TrialBalance (Quarter)'!A:A,0),MATCH([1]TBMapping!O$3,'[1]TrialBalance (Quarter)'!$7:$7,0)),0)</f>
        <v>0</v>
      </c>
    </row>
    <row r="281" spans="1:14">
      <c r="B281" s="3">
        <v>124300</v>
      </c>
      <c r="C281" s="10" t="s">
        <v>259</v>
      </c>
      <c r="D281" s="10" t="s">
        <v>5</v>
      </c>
      <c r="E281" s="10"/>
      <c r="F281" s="5" t="e">
        <f>IF(DataExtraction="Manual",SUMIF('[1]TrialBalance (YTD)'!$C:$C,B281,'[1]TrialBalance (YTD)'!$E:$E),SUMIF('[1]TrialBalance (YTD)'!$G:$G,B281,'[1]TrialBalance (YTD)'!$I:$I))</f>
        <v>#VALUE!</v>
      </c>
      <c r="G281" s="5">
        <f>IFERROR(INDEX('[1]TrialBalance (YTD)'!$G:$S,MATCH([1]TBMapping!$C283,'[1]TrialBalance (YTD)'!G:G,0),MATCH([1]TBMapping!H$3,'[1]TrialBalance (YTD)'!$G$7:$Z$7,0)),0)</f>
        <v>0</v>
      </c>
      <c r="H281" s="5" t="e">
        <f>SUMIF('[1]TrialBalance (YTD)'!G:G,B281,'[1]TrialBalance (YTD)'!H:H)</f>
        <v>#VALUE!</v>
      </c>
      <c r="I281" s="5">
        <f>IFERROR(INDEX('[1]TrialBalance (YTD)'!$G:$S,MATCH([1]TBMapping!$C283,'[1]TrialBalance (YTD)'!G:G,0),MATCH([1]TBMapping!J$3,'[1]TrialBalance (YTD)'!$G$7:$Z$7,0)),0)</f>
        <v>0</v>
      </c>
      <c r="K281" s="5" t="e">
        <f>SUMIF('[1]TrialBalance (Quarter)'!$A:$A,B281,'[1]TrialBalance (Quarter)'!$B:$B)</f>
        <v>#VALUE!</v>
      </c>
      <c r="L281" s="5">
        <f>IFERROR(INDEX('[1]TrialBalance (Quarter)'!$A:$L,MATCH([1]TBMapping!$C283,'[1]TrialBalance (Quarter)'!A:A,0),MATCH([1]TBMapping!M$3,'[1]TrialBalance (Quarter)'!$7:$7,0)),0)</f>
        <v>0</v>
      </c>
      <c r="M281" s="5">
        <f>IFERROR(INDEX('[1]TrialBalance (Quarter)'!$A:$L,MATCH([1]TBMapping!$C283,'[1]TrialBalance (Quarter)'!A:A,0),MATCH([1]TBMapping!N$3,'[1]TrialBalance (Quarter)'!$7:$7,0)),0)</f>
        <v>0</v>
      </c>
      <c r="N281" s="5">
        <f>IFERROR(INDEX('[1]TrialBalance (Quarter)'!$A:$L,MATCH([1]TBMapping!$C283,'[1]TrialBalance (Quarter)'!A:A,0),MATCH([1]TBMapping!O$3,'[1]TrialBalance (Quarter)'!$7:$7,0)),0)</f>
        <v>0</v>
      </c>
    </row>
    <row r="282" spans="1:14">
      <c r="A282" s="2">
        <v>106</v>
      </c>
      <c r="B282" s="3">
        <v>124310</v>
      </c>
      <c r="C282" s="11" t="s">
        <v>260</v>
      </c>
      <c r="D282" s="11" t="s">
        <v>11</v>
      </c>
      <c r="E282" s="11"/>
      <c r="F282" s="5" t="e">
        <f>IF(DataExtraction="Manual",SUMIF('[1]TrialBalance (YTD)'!$C:$C,B282,'[1]TrialBalance (YTD)'!$E:$E),SUMIF('[1]TrialBalance (YTD)'!$G:$G,B282,'[1]TrialBalance (YTD)'!$I:$I))</f>
        <v>#VALUE!</v>
      </c>
      <c r="G282" s="5">
        <f>IFERROR(INDEX('[1]TrialBalance (YTD)'!$G:$S,MATCH([1]TBMapping!$C284,'[1]TrialBalance (YTD)'!G:G,0),MATCH([1]TBMapping!H$3,'[1]TrialBalance (YTD)'!$G$7:$Z$7,0)),0)</f>
        <v>0</v>
      </c>
      <c r="H282" s="5" t="e">
        <f>SUMIF('[1]TrialBalance (YTD)'!G:G,B282,'[1]TrialBalance (YTD)'!H:H)</f>
        <v>#VALUE!</v>
      </c>
      <c r="I282" s="5">
        <f>IFERROR(INDEX('[1]TrialBalance (YTD)'!$G:$S,MATCH([1]TBMapping!$C284,'[1]TrialBalance (YTD)'!G:G,0),MATCH([1]TBMapping!J$3,'[1]TrialBalance (YTD)'!$G$7:$Z$7,0)),0)</f>
        <v>0</v>
      </c>
      <c r="K282" s="5" t="e">
        <f>SUMIF('[1]TrialBalance (Quarter)'!$A:$A,B282,'[1]TrialBalance (Quarter)'!$B:$B)</f>
        <v>#VALUE!</v>
      </c>
      <c r="L282" s="5">
        <f>IFERROR(INDEX('[1]TrialBalance (Quarter)'!$A:$L,MATCH([1]TBMapping!$C284,'[1]TrialBalance (Quarter)'!A:A,0),MATCH([1]TBMapping!M$3,'[1]TrialBalance (Quarter)'!$7:$7,0)),0)</f>
        <v>0</v>
      </c>
      <c r="M282" s="5">
        <f>IFERROR(INDEX('[1]TrialBalance (Quarter)'!$A:$L,MATCH([1]TBMapping!$C284,'[1]TrialBalance (Quarter)'!A:A,0),MATCH([1]TBMapping!N$3,'[1]TrialBalance (Quarter)'!$7:$7,0)),0)</f>
        <v>0</v>
      </c>
      <c r="N282" s="5">
        <f>IFERROR(INDEX('[1]TrialBalance (Quarter)'!$A:$L,MATCH([1]TBMapping!$C284,'[1]TrialBalance (Quarter)'!A:A,0),MATCH([1]TBMapping!O$3,'[1]TrialBalance (Quarter)'!$7:$7,0)),0)</f>
        <v>0</v>
      </c>
    </row>
    <row r="283" spans="1:14">
      <c r="A283" s="2">
        <v>106</v>
      </c>
      <c r="B283" s="3">
        <v>124320</v>
      </c>
      <c r="C283" s="10" t="s">
        <v>261</v>
      </c>
      <c r="D283" s="10" t="s">
        <v>11</v>
      </c>
      <c r="E283" s="10"/>
      <c r="F283" s="5" t="e">
        <f>IF(DataExtraction="Manual",SUMIF('[1]TrialBalance (YTD)'!$C:$C,B283,'[1]TrialBalance (YTD)'!$E:$E),SUMIF('[1]TrialBalance (YTD)'!$G:$G,B283,'[1]TrialBalance (YTD)'!$I:$I))</f>
        <v>#VALUE!</v>
      </c>
      <c r="G283" s="5">
        <f>IFERROR(INDEX('[1]TrialBalance (YTD)'!$G:$S,MATCH([1]TBMapping!$C285,'[1]TrialBalance (YTD)'!G:G,0),MATCH([1]TBMapping!H$3,'[1]TrialBalance (YTD)'!$G$7:$Z$7,0)),0)</f>
        <v>0</v>
      </c>
      <c r="H283" s="5" t="e">
        <f>SUMIF('[1]TrialBalance (YTD)'!G:G,B283,'[1]TrialBalance (YTD)'!H:H)</f>
        <v>#VALUE!</v>
      </c>
      <c r="I283" s="5">
        <f>IFERROR(INDEX('[1]TrialBalance (YTD)'!$G:$S,MATCH([1]TBMapping!$C285,'[1]TrialBalance (YTD)'!G:G,0),MATCH([1]TBMapping!J$3,'[1]TrialBalance (YTD)'!$G$7:$Z$7,0)),0)</f>
        <v>0</v>
      </c>
      <c r="K283" s="5" t="e">
        <f>SUMIF('[1]TrialBalance (Quarter)'!$A:$A,B283,'[1]TrialBalance (Quarter)'!$B:$B)</f>
        <v>#VALUE!</v>
      </c>
      <c r="L283" s="5">
        <f>IFERROR(INDEX('[1]TrialBalance (Quarter)'!$A:$L,MATCH([1]TBMapping!$C285,'[1]TrialBalance (Quarter)'!A:A,0),MATCH([1]TBMapping!M$3,'[1]TrialBalance (Quarter)'!$7:$7,0)),0)</f>
        <v>0</v>
      </c>
      <c r="M283" s="5">
        <f>IFERROR(INDEX('[1]TrialBalance (Quarter)'!$A:$L,MATCH([1]TBMapping!$C285,'[1]TrialBalance (Quarter)'!A:A,0),MATCH([1]TBMapping!N$3,'[1]TrialBalance (Quarter)'!$7:$7,0)),0)</f>
        <v>0</v>
      </c>
      <c r="N283" s="5">
        <f>IFERROR(INDEX('[1]TrialBalance (Quarter)'!$A:$L,MATCH([1]TBMapping!$C285,'[1]TrialBalance (Quarter)'!A:A,0),MATCH([1]TBMapping!O$3,'[1]TrialBalance (Quarter)'!$7:$7,0)),0)</f>
        <v>0</v>
      </c>
    </row>
    <row r="284" spans="1:14">
      <c r="A284" s="2">
        <v>106</v>
      </c>
      <c r="B284" s="3">
        <v>124330</v>
      </c>
      <c r="C284" s="11" t="s">
        <v>262</v>
      </c>
      <c r="D284" s="11" t="s">
        <v>11</v>
      </c>
      <c r="E284" s="11"/>
      <c r="F284" s="5" t="e">
        <f>IF(DataExtraction="Manual",SUMIF('[1]TrialBalance (YTD)'!$C:$C,B284,'[1]TrialBalance (YTD)'!$E:$E),SUMIF('[1]TrialBalance (YTD)'!$G:$G,B284,'[1]TrialBalance (YTD)'!$I:$I))</f>
        <v>#VALUE!</v>
      </c>
      <c r="G284" s="5">
        <f>IFERROR(INDEX('[1]TrialBalance (YTD)'!$G:$S,MATCH([1]TBMapping!$C286,'[1]TrialBalance (YTD)'!G:G,0),MATCH([1]TBMapping!H$3,'[1]TrialBalance (YTD)'!$G$7:$Z$7,0)),0)</f>
        <v>0</v>
      </c>
      <c r="H284" s="5" t="e">
        <f>SUMIF('[1]TrialBalance (YTD)'!G:G,B284,'[1]TrialBalance (YTD)'!H:H)</f>
        <v>#VALUE!</v>
      </c>
      <c r="I284" s="5">
        <f>IFERROR(INDEX('[1]TrialBalance (YTD)'!$G:$S,MATCH([1]TBMapping!$C286,'[1]TrialBalance (YTD)'!G:G,0),MATCH([1]TBMapping!J$3,'[1]TrialBalance (YTD)'!$G$7:$Z$7,0)),0)</f>
        <v>0</v>
      </c>
      <c r="K284" s="5" t="e">
        <f>SUMIF('[1]TrialBalance (Quarter)'!$A:$A,B284,'[1]TrialBalance (Quarter)'!$B:$B)</f>
        <v>#VALUE!</v>
      </c>
      <c r="L284" s="5">
        <f>IFERROR(INDEX('[1]TrialBalance (Quarter)'!$A:$L,MATCH([1]TBMapping!$C286,'[1]TrialBalance (Quarter)'!A:A,0),MATCH([1]TBMapping!M$3,'[1]TrialBalance (Quarter)'!$7:$7,0)),0)</f>
        <v>0</v>
      </c>
      <c r="M284" s="5">
        <f>IFERROR(INDEX('[1]TrialBalance (Quarter)'!$A:$L,MATCH([1]TBMapping!$C286,'[1]TrialBalance (Quarter)'!A:A,0),MATCH([1]TBMapping!N$3,'[1]TrialBalance (Quarter)'!$7:$7,0)),0)</f>
        <v>0</v>
      </c>
      <c r="N284" s="5">
        <f>IFERROR(INDEX('[1]TrialBalance (Quarter)'!$A:$L,MATCH([1]TBMapping!$C286,'[1]TrialBalance (Quarter)'!A:A,0),MATCH([1]TBMapping!O$3,'[1]TrialBalance (Quarter)'!$7:$7,0)),0)</f>
        <v>0</v>
      </c>
    </row>
    <row r="285" spans="1:14">
      <c r="A285" s="2">
        <v>106</v>
      </c>
      <c r="B285" s="3">
        <v>124340</v>
      </c>
      <c r="C285" s="10" t="s">
        <v>263</v>
      </c>
      <c r="D285" s="10" t="s">
        <v>11</v>
      </c>
      <c r="E285" s="10"/>
      <c r="F285" s="5" t="e">
        <f>IF(DataExtraction="Manual",SUMIF('[1]TrialBalance (YTD)'!$C:$C,B285,'[1]TrialBalance (YTD)'!$E:$E),SUMIF('[1]TrialBalance (YTD)'!$G:$G,B285,'[1]TrialBalance (YTD)'!$I:$I))</f>
        <v>#VALUE!</v>
      </c>
      <c r="G285" s="5">
        <f>IFERROR(INDEX('[1]TrialBalance (YTD)'!$G:$S,MATCH([1]TBMapping!$C287,'[1]TrialBalance (YTD)'!G:G,0),MATCH([1]TBMapping!H$3,'[1]TrialBalance (YTD)'!$G$7:$Z$7,0)),0)</f>
        <v>0</v>
      </c>
      <c r="H285" s="5" t="e">
        <f>SUMIF('[1]TrialBalance (YTD)'!G:G,B285,'[1]TrialBalance (YTD)'!H:H)</f>
        <v>#VALUE!</v>
      </c>
      <c r="I285" s="5">
        <f>IFERROR(INDEX('[1]TrialBalance (YTD)'!$G:$S,MATCH([1]TBMapping!$C287,'[1]TrialBalance (YTD)'!G:G,0),MATCH([1]TBMapping!J$3,'[1]TrialBalance (YTD)'!$G$7:$Z$7,0)),0)</f>
        <v>0</v>
      </c>
      <c r="K285" s="5" t="e">
        <f>SUMIF('[1]TrialBalance (Quarter)'!$A:$A,B285,'[1]TrialBalance (Quarter)'!$B:$B)</f>
        <v>#VALUE!</v>
      </c>
      <c r="L285" s="5">
        <f>IFERROR(INDEX('[1]TrialBalance (Quarter)'!$A:$L,MATCH([1]TBMapping!$C287,'[1]TrialBalance (Quarter)'!A:A,0),MATCH([1]TBMapping!M$3,'[1]TrialBalance (Quarter)'!$7:$7,0)),0)</f>
        <v>0</v>
      </c>
      <c r="M285" s="5">
        <f>IFERROR(INDEX('[1]TrialBalance (Quarter)'!$A:$L,MATCH([1]TBMapping!$C287,'[1]TrialBalance (Quarter)'!A:A,0),MATCH([1]TBMapping!N$3,'[1]TrialBalance (Quarter)'!$7:$7,0)),0)</f>
        <v>0</v>
      </c>
      <c r="N285" s="5">
        <f>IFERROR(INDEX('[1]TrialBalance (Quarter)'!$A:$L,MATCH([1]TBMapping!$C287,'[1]TrialBalance (Quarter)'!A:A,0),MATCH([1]TBMapping!O$3,'[1]TrialBalance (Quarter)'!$7:$7,0)),0)</f>
        <v>0</v>
      </c>
    </row>
    <row r="286" spans="1:14">
      <c r="A286" s="2">
        <v>106</v>
      </c>
      <c r="B286" s="3">
        <v>124350</v>
      </c>
      <c r="C286" s="11" t="s">
        <v>264</v>
      </c>
      <c r="D286" s="11" t="s">
        <v>11</v>
      </c>
      <c r="E286" s="11"/>
      <c r="F286" s="5" t="e">
        <f>IF(DataExtraction="Manual",SUMIF('[1]TrialBalance (YTD)'!$C:$C,B286,'[1]TrialBalance (YTD)'!$E:$E),SUMIF('[1]TrialBalance (YTD)'!$G:$G,B286,'[1]TrialBalance (YTD)'!$I:$I))</f>
        <v>#VALUE!</v>
      </c>
      <c r="G286" s="5">
        <f>IFERROR(INDEX('[1]TrialBalance (YTD)'!$G:$S,MATCH([1]TBMapping!$C288,'[1]TrialBalance (YTD)'!G:G,0),MATCH([1]TBMapping!H$3,'[1]TrialBalance (YTD)'!$G$7:$Z$7,0)),0)</f>
        <v>0</v>
      </c>
      <c r="H286" s="5" t="e">
        <f>SUMIF('[1]TrialBalance (YTD)'!G:G,B286,'[1]TrialBalance (YTD)'!H:H)</f>
        <v>#VALUE!</v>
      </c>
      <c r="I286" s="5">
        <f>IFERROR(INDEX('[1]TrialBalance (YTD)'!$G:$S,MATCH([1]TBMapping!$C288,'[1]TrialBalance (YTD)'!G:G,0),MATCH([1]TBMapping!J$3,'[1]TrialBalance (YTD)'!$G$7:$Z$7,0)),0)</f>
        <v>0</v>
      </c>
      <c r="K286" s="5" t="e">
        <f>SUMIF('[1]TrialBalance (Quarter)'!$A:$A,B286,'[1]TrialBalance (Quarter)'!$B:$B)</f>
        <v>#VALUE!</v>
      </c>
      <c r="L286" s="5">
        <f>IFERROR(INDEX('[1]TrialBalance (Quarter)'!$A:$L,MATCH([1]TBMapping!$C288,'[1]TrialBalance (Quarter)'!A:A,0),MATCH([1]TBMapping!M$3,'[1]TrialBalance (Quarter)'!$7:$7,0)),0)</f>
        <v>0</v>
      </c>
      <c r="M286" s="5">
        <f>IFERROR(INDEX('[1]TrialBalance (Quarter)'!$A:$L,MATCH([1]TBMapping!$C288,'[1]TrialBalance (Quarter)'!A:A,0),MATCH([1]TBMapping!N$3,'[1]TrialBalance (Quarter)'!$7:$7,0)),0)</f>
        <v>0</v>
      </c>
      <c r="N286" s="5">
        <f>IFERROR(INDEX('[1]TrialBalance (Quarter)'!$A:$L,MATCH([1]TBMapping!$C288,'[1]TrialBalance (Quarter)'!A:A,0),MATCH([1]TBMapping!O$3,'[1]TrialBalance (Quarter)'!$7:$7,0)),0)</f>
        <v>0</v>
      </c>
    </row>
    <row r="287" spans="1:14">
      <c r="B287" s="3">
        <v>124399</v>
      </c>
      <c r="C287" s="10" t="s">
        <v>265</v>
      </c>
      <c r="D287" s="10" t="s">
        <v>16</v>
      </c>
      <c r="E287" s="10"/>
      <c r="F287" s="5" t="e">
        <f>IF(DataExtraction="Manual",SUMIF('[1]TrialBalance (YTD)'!$C:$C,B287,'[1]TrialBalance (YTD)'!$E:$E),SUMIF('[1]TrialBalance (YTD)'!$G:$G,B287,'[1]TrialBalance (YTD)'!$I:$I))</f>
        <v>#VALUE!</v>
      </c>
      <c r="G287" s="5">
        <f>IFERROR(INDEX('[1]TrialBalance (YTD)'!$G:$S,MATCH([1]TBMapping!$C289,'[1]TrialBalance (YTD)'!G:G,0),MATCH([1]TBMapping!H$3,'[1]TrialBalance (YTD)'!$G$7:$Z$7,0)),0)</f>
        <v>0</v>
      </c>
      <c r="H287" s="5" t="e">
        <f>SUMIF('[1]TrialBalance (YTD)'!G:G,B287,'[1]TrialBalance (YTD)'!H:H)</f>
        <v>#VALUE!</v>
      </c>
      <c r="I287" s="5">
        <f>IFERROR(INDEX('[1]TrialBalance (YTD)'!$G:$S,MATCH([1]TBMapping!$C289,'[1]TrialBalance (YTD)'!G:G,0),MATCH([1]TBMapping!J$3,'[1]TrialBalance (YTD)'!$G$7:$Z$7,0)),0)</f>
        <v>0</v>
      </c>
      <c r="K287" s="5" t="e">
        <f>SUMIF('[1]TrialBalance (Quarter)'!$A:$A,B287,'[1]TrialBalance (Quarter)'!$B:$B)</f>
        <v>#VALUE!</v>
      </c>
      <c r="L287" s="5">
        <f>IFERROR(INDEX('[1]TrialBalance (Quarter)'!$A:$L,MATCH([1]TBMapping!$C289,'[1]TrialBalance (Quarter)'!A:A,0),MATCH([1]TBMapping!M$3,'[1]TrialBalance (Quarter)'!$7:$7,0)),0)</f>
        <v>0</v>
      </c>
      <c r="M287" s="5">
        <f>IFERROR(INDEX('[1]TrialBalance (Quarter)'!$A:$L,MATCH([1]TBMapping!$C289,'[1]TrialBalance (Quarter)'!A:A,0),MATCH([1]TBMapping!N$3,'[1]TrialBalance (Quarter)'!$7:$7,0)),0)</f>
        <v>0</v>
      </c>
      <c r="N287" s="5">
        <f>IFERROR(INDEX('[1]TrialBalance (Quarter)'!$A:$L,MATCH([1]TBMapping!$C289,'[1]TrialBalance (Quarter)'!A:A,0),MATCH([1]TBMapping!O$3,'[1]TrialBalance (Quarter)'!$7:$7,0)),0)</f>
        <v>0</v>
      </c>
    </row>
    <row r="288" spans="1:14">
      <c r="B288" s="3">
        <v>124400</v>
      </c>
      <c r="C288" s="11" t="s">
        <v>247</v>
      </c>
      <c r="D288" s="11" t="s">
        <v>5</v>
      </c>
      <c r="E288" s="11"/>
      <c r="F288" s="5" t="e">
        <f>IF(DataExtraction="Manual",SUMIF('[1]TrialBalance (YTD)'!$C:$C,B288,'[1]TrialBalance (YTD)'!$E:$E),SUMIF('[1]TrialBalance (YTD)'!$G:$G,B288,'[1]TrialBalance (YTD)'!$I:$I))</f>
        <v>#VALUE!</v>
      </c>
      <c r="G288" s="5">
        <f>IFERROR(INDEX('[1]TrialBalance (YTD)'!$G:$S,MATCH([1]TBMapping!$C290,'[1]TrialBalance (YTD)'!G:G,0),MATCH([1]TBMapping!H$3,'[1]TrialBalance (YTD)'!$G$7:$Z$7,0)),0)</f>
        <v>0</v>
      </c>
      <c r="H288" s="5" t="e">
        <f>SUMIF('[1]TrialBalance (YTD)'!G:G,B288,'[1]TrialBalance (YTD)'!H:H)</f>
        <v>#VALUE!</v>
      </c>
      <c r="I288" s="5">
        <f>IFERROR(INDEX('[1]TrialBalance (YTD)'!$G:$S,MATCH([1]TBMapping!$C290,'[1]TrialBalance (YTD)'!G:G,0),MATCH([1]TBMapping!J$3,'[1]TrialBalance (YTD)'!$G$7:$Z$7,0)),0)</f>
        <v>0</v>
      </c>
      <c r="K288" s="5" t="e">
        <f>SUMIF('[1]TrialBalance (Quarter)'!$A:$A,B288,'[1]TrialBalance (Quarter)'!$B:$B)</f>
        <v>#VALUE!</v>
      </c>
      <c r="L288" s="5">
        <f>IFERROR(INDEX('[1]TrialBalance (Quarter)'!$A:$L,MATCH([1]TBMapping!$C290,'[1]TrialBalance (Quarter)'!A:A,0),MATCH([1]TBMapping!M$3,'[1]TrialBalance (Quarter)'!$7:$7,0)),0)</f>
        <v>0</v>
      </c>
      <c r="M288" s="5">
        <f>IFERROR(INDEX('[1]TrialBalance (Quarter)'!$A:$L,MATCH([1]TBMapping!$C290,'[1]TrialBalance (Quarter)'!A:A,0),MATCH([1]TBMapping!N$3,'[1]TrialBalance (Quarter)'!$7:$7,0)),0)</f>
        <v>0</v>
      </c>
      <c r="N288" s="5">
        <f>IFERROR(INDEX('[1]TrialBalance (Quarter)'!$A:$L,MATCH([1]TBMapping!$C290,'[1]TrialBalance (Quarter)'!A:A,0),MATCH([1]TBMapping!O$3,'[1]TrialBalance (Quarter)'!$7:$7,0)),0)</f>
        <v>0</v>
      </c>
    </row>
    <row r="289" spans="1:14">
      <c r="A289" s="2">
        <v>106</v>
      </c>
      <c r="B289" s="3">
        <v>124410</v>
      </c>
      <c r="C289" s="10" t="s">
        <v>266</v>
      </c>
      <c r="D289" s="10" t="s">
        <v>11</v>
      </c>
      <c r="E289" s="10"/>
      <c r="F289" s="5" t="e">
        <f>IF(DataExtraction="Manual",SUMIF('[1]TrialBalance (YTD)'!$C:$C,B289,'[1]TrialBalance (YTD)'!$E:$E),SUMIF('[1]TrialBalance (YTD)'!$G:$G,B289,'[1]TrialBalance (YTD)'!$I:$I))</f>
        <v>#VALUE!</v>
      </c>
      <c r="G289" s="5">
        <f>IFERROR(INDEX('[1]TrialBalance (YTD)'!$G:$S,MATCH([1]TBMapping!$C291,'[1]TrialBalance (YTD)'!G:G,0),MATCH([1]TBMapping!H$3,'[1]TrialBalance (YTD)'!$G$7:$Z$7,0)),0)</f>
        <v>0</v>
      </c>
      <c r="H289" s="5" t="e">
        <f>SUMIF('[1]TrialBalance (YTD)'!G:G,B289,'[1]TrialBalance (YTD)'!H:H)</f>
        <v>#VALUE!</v>
      </c>
      <c r="I289" s="5">
        <f>IFERROR(INDEX('[1]TrialBalance (YTD)'!$G:$S,MATCH([1]TBMapping!$C291,'[1]TrialBalance (YTD)'!G:G,0),MATCH([1]TBMapping!J$3,'[1]TrialBalance (YTD)'!$G$7:$Z$7,0)),0)</f>
        <v>0</v>
      </c>
      <c r="K289" s="5" t="e">
        <f>SUMIF('[1]TrialBalance (Quarter)'!$A:$A,B289,'[1]TrialBalance (Quarter)'!$B:$B)</f>
        <v>#VALUE!</v>
      </c>
      <c r="L289" s="5">
        <f>IFERROR(INDEX('[1]TrialBalance (Quarter)'!$A:$L,MATCH([1]TBMapping!$C291,'[1]TrialBalance (Quarter)'!A:A,0),MATCH([1]TBMapping!M$3,'[1]TrialBalance (Quarter)'!$7:$7,0)),0)</f>
        <v>0</v>
      </c>
      <c r="M289" s="5">
        <f>IFERROR(INDEX('[1]TrialBalance (Quarter)'!$A:$L,MATCH([1]TBMapping!$C291,'[1]TrialBalance (Quarter)'!A:A,0),MATCH([1]TBMapping!N$3,'[1]TrialBalance (Quarter)'!$7:$7,0)),0)</f>
        <v>0</v>
      </c>
      <c r="N289" s="5">
        <f>IFERROR(INDEX('[1]TrialBalance (Quarter)'!$A:$L,MATCH([1]TBMapping!$C291,'[1]TrialBalance (Quarter)'!A:A,0),MATCH([1]TBMapping!O$3,'[1]TrialBalance (Quarter)'!$7:$7,0)),0)</f>
        <v>0</v>
      </c>
    </row>
    <row r="290" spans="1:14">
      <c r="A290" s="2">
        <v>106</v>
      </c>
      <c r="B290" s="3">
        <v>124420</v>
      </c>
      <c r="C290" s="11" t="s">
        <v>267</v>
      </c>
      <c r="D290" s="11" t="s">
        <v>11</v>
      </c>
      <c r="E290" s="11"/>
      <c r="F290" s="5" t="e">
        <f>IF(DataExtraction="Manual",SUMIF('[1]TrialBalance (YTD)'!$C:$C,B290,'[1]TrialBalance (YTD)'!$E:$E),SUMIF('[1]TrialBalance (YTD)'!$G:$G,B290,'[1]TrialBalance (YTD)'!$I:$I))</f>
        <v>#VALUE!</v>
      </c>
      <c r="G290" s="5">
        <f>IFERROR(INDEX('[1]TrialBalance (YTD)'!$G:$S,MATCH([1]TBMapping!$C292,'[1]TrialBalance (YTD)'!G:G,0),MATCH([1]TBMapping!H$3,'[1]TrialBalance (YTD)'!$G$7:$Z$7,0)),0)</f>
        <v>0</v>
      </c>
      <c r="H290" s="5" t="e">
        <f>SUMIF('[1]TrialBalance (YTD)'!G:G,B290,'[1]TrialBalance (YTD)'!H:H)</f>
        <v>#VALUE!</v>
      </c>
      <c r="I290" s="5">
        <f>IFERROR(INDEX('[1]TrialBalance (YTD)'!$G:$S,MATCH([1]TBMapping!$C292,'[1]TrialBalance (YTD)'!G:G,0),MATCH([1]TBMapping!J$3,'[1]TrialBalance (YTD)'!$G$7:$Z$7,0)),0)</f>
        <v>0</v>
      </c>
      <c r="K290" s="5" t="e">
        <f>SUMIF('[1]TrialBalance (Quarter)'!$A:$A,B290,'[1]TrialBalance (Quarter)'!$B:$B)</f>
        <v>#VALUE!</v>
      </c>
      <c r="L290" s="5">
        <f>IFERROR(INDEX('[1]TrialBalance (Quarter)'!$A:$L,MATCH([1]TBMapping!$C292,'[1]TrialBalance (Quarter)'!A:A,0),MATCH([1]TBMapping!M$3,'[1]TrialBalance (Quarter)'!$7:$7,0)),0)</f>
        <v>0</v>
      </c>
      <c r="M290" s="5">
        <f>IFERROR(INDEX('[1]TrialBalance (Quarter)'!$A:$L,MATCH([1]TBMapping!$C292,'[1]TrialBalance (Quarter)'!A:A,0),MATCH([1]TBMapping!N$3,'[1]TrialBalance (Quarter)'!$7:$7,0)),0)</f>
        <v>0</v>
      </c>
      <c r="N290" s="5">
        <f>IFERROR(INDEX('[1]TrialBalance (Quarter)'!$A:$L,MATCH([1]TBMapping!$C292,'[1]TrialBalance (Quarter)'!A:A,0),MATCH([1]TBMapping!O$3,'[1]TrialBalance (Quarter)'!$7:$7,0)),0)</f>
        <v>0</v>
      </c>
    </row>
    <row r="291" spans="1:14">
      <c r="A291" s="2">
        <v>106</v>
      </c>
      <c r="B291" s="3">
        <v>124430</v>
      </c>
      <c r="C291" s="10" t="s">
        <v>268</v>
      </c>
      <c r="D291" s="10" t="s">
        <v>11</v>
      </c>
      <c r="E291" s="10"/>
      <c r="F291" s="5" t="e">
        <f>IF(DataExtraction="Manual",SUMIF('[1]TrialBalance (YTD)'!$C:$C,B291,'[1]TrialBalance (YTD)'!$E:$E),SUMIF('[1]TrialBalance (YTD)'!$G:$G,B291,'[1]TrialBalance (YTD)'!$I:$I))</f>
        <v>#VALUE!</v>
      </c>
      <c r="G291" s="5">
        <f>IFERROR(INDEX('[1]TrialBalance (YTD)'!$G:$S,MATCH([1]TBMapping!$C293,'[1]TrialBalance (YTD)'!G:G,0),MATCH([1]TBMapping!H$3,'[1]TrialBalance (YTD)'!$G$7:$Z$7,0)),0)</f>
        <v>0</v>
      </c>
      <c r="H291" s="5" t="e">
        <f>SUMIF('[1]TrialBalance (YTD)'!G:G,B291,'[1]TrialBalance (YTD)'!H:H)</f>
        <v>#VALUE!</v>
      </c>
      <c r="I291" s="5">
        <f>IFERROR(INDEX('[1]TrialBalance (YTD)'!$G:$S,MATCH([1]TBMapping!$C293,'[1]TrialBalance (YTD)'!G:G,0),MATCH([1]TBMapping!J$3,'[1]TrialBalance (YTD)'!$G$7:$Z$7,0)),0)</f>
        <v>0</v>
      </c>
      <c r="K291" s="5" t="e">
        <f>SUMIF('[1]TrialBalance (Quarter)'!$A:$A,B291,'[1]TrialBalance (Quarter)'!$B:$B)</f>
        <v>#VALUE!</v>
      </c>
      <c r="L291" s="5">
        <f>IFERROR(INDEX('[1]TrialBalance (Quarter)'!$A:$L,MATCH([1]TBMapping!$C293,'[1]TrialBalance (Quarter)'!A:A,0),MATCH([1]TBMapping!M$3,'[1]TrialBalance (Quarter)'!$7:$7,0)),0)</f>
        <v>0</v>
      </c>
      <c r="M291" s="5">
        <f>IFERROR(INDEX('[1]TrialBalance (Quarter)'!$A:$L,MATCH([1]TBMapping!$C293,'[1]TrialBalance (Quarter)'!A:A,0),MATCH([1]TBMapping!N$3,'[1]TrialBalance (Quarter)'!$7:$7,0)),0)</f>
        <v>0</v>
      </c>
      <c r="N291" s="5">
        <f>IFERROR(INDEX('[1]TrialBalance (Quarter)'!$A:$L,MATCH([1]TBMapping!$C293,'[1]TrialBalance (Quarter)'!A:A,0),MATCH([1]TBMapping!O$3,'[1]TrialBalance (Quarter)'!$7:$7,0)),0)</f>
        <v>0</v>
      </c>
    </row>
    <row r="292" spans="1:14">
      <c r="B292" s="3">
        <v>124499</v>
      </c>
      <c r="C292" s="11" t="s">
        <v>269</v>
      </c>
      <c r="D292" s="11" t="s">
        <v>16</v>
      </c>
      <c r="E292" s="11"/>
      <c r="F292" s="5" t="e">
        <f>IF(DataExtraction="Manual",SUMIF('[1]TrialBalance (YTD)'!$C:$C,B292,'[1]TrialBalance (YTD)'!$E:$E),SUMIF('[1]TrialBalance (YTD)'!$G:$G,B292,'[1]TrialBalance (YTD)'!$I:$I))</f>
        <v>#VALUE!</v>
      </c>
      <c r="G292" s="5">
        <f>IFERROR(INDEX('[1]TrialBalance (YTD)'!$G:$S,MATCH([1]TBMapping!$C294,'[1]TrialBalance (YTD)'!G:G,0),MATCH([1]TBMapping!H$3,'[1]TrialBalance (YTD)'!$G$7:$Z$7,0)),0)</f>
        <v>0</v>
      </c>
      <c r="H292" s="5" t="e">
        <f>SUMIF('[1]TrialBalance (YTD)'!G:G,B292,'[1]TrialBalance (YTD)'!H:H)</f>
        <v>#VALUE!</v>
      </c>
      <c r="I292" s="5">
        <f>IFERROR(INDEX('[1]TrialBalance (YTD)'!$G:$S,MATCH([1]TBMapping!$C294,'[1]TrialBalance (YTD)'!G:G,0),MATCH([1]TBMapping!J$3,'[1]TrialBalance (YTD)'!$G$7:$Z$7,0)),0)</f>
        <v>0</v>
      </c>
      <c r="K292" s="5" t="e">
        <f>SUMIF('[1]TrialBalance (Quarter)'!$A:$A,B292,'[1]TrialBalance (Quarter)'!$B:$B)</f>
        <v>#VALUE!</v>
      </c>
      <c r="L292" s="5">
        <f>IFERROR(INDEX('[1]TrialBalance (Quarter)'!$A:$L,MATCH([1]TBMapping!$C294,'[1]TrialBalance (Quarter)'!A:A,0),MATCH([1]TBMapping!M$3,'[1]TrialBalance (Quarter)'!$7:$7,0)),0)</f>
        <v>0</v>
      </c>
      <c r="M292" s="5">
        <f>IFERROR(INDEX('[1]TrialBalance (Quarter)'!$A:$L,MATCH([1]TBMapping!$C294,'[1]TrialBalance (Quarter)'!A:A,0),MATCH([1]TBMapping!N$3,'[1]TrialBalance (Quarter)'!$7:$7,0)),0)</f>
        <v>0</v>
      </c>
      <c r="N292" s="5">
        <f>IFERROR(INDEX('[1]TrialBalance (Quarter)'!$A:$L,MATCH([1]TBMapping!$C294,'[1]TrialBalance (Quarter)'!A:A,0),MATCH([1]TBMapping!O$3,'[1]TrialBalance (Quarter)'!$7:$7,0)),0)</f>
        <v>0</v>
      </c>
    </row>
    <row r="293" spans="1:14">
      <c r="B293" s="3">
        <v>124999</v>
      </c>
      <c r="C293" s="10" t="s">
        <v>269</v>
      </c>
      <c r="D293" s="10" t="s">
        <v>16</v>
      </c>
      <c r="E293" s="10"/>
      <c r="F293" s="5" t="e">
        <f>IF(DataExtraction="Manual",SUMIF('[1]TrialBalance (YTD)'!$C:$C,B293,'[1]TrialBalance (YTD)'!$E:$E),SUMIF('[1]TrialBalance (YTD)'!$G:$G,B293,'[1]TrialBalance (YTD)'!$I:$I))</f>
        <v>#VALUE!</v>
      </c>
      <c r="G293" s="5">
        <f>IFERROR(INDEX('[1]TrialBalance (YTD)'!$G:$S,MATCH([1]TBMapping!$C295,'[1]TrialBalance (YTD)'!G:G,0),MATCH([1]TBMapping!H$3,'[1]TrialBalance (YTD)'!$G$7:$Z$7,0)),0)</f>
        <v>0</v>
      </c>
      <c r="H293" s="5" t="e">
        <f>SUMIF('[1]TrialBalance (YTD)'!G:G,B293,'[1]TrialBalance (YTD)'!H:H)</f>
        <v>#VALUE!</v>
      </c>
      <c r="I293" s="5">
        <f>IFERROR(INDEX('[1]TrialBalance (YTD)'!$G:$S,MATCH([1]TBMapping!$C295,'[1]TrialBalance (YTD)'!G:G,0),MATCH([1]TBMapping!J$3,'[1]TrialBalance (YTD)'!$G$7:$Z$7,0)),0)</f>
        <v>0</v>
      </c>
      <c r="K293" s="5" t="e">
        <f>SUMIF('[1]TrialBalance (Quarter)'!$A:$A,B293,'[1]TrialBalance (Quarter)'!$B:$B)</f>
        <v>#VALUE!</v>
      </c>
      <c r="L293" s="5">
        <f>IFERROR(INDEX('[1]TrialBalance (Quarter)'!$A:$L,MATCH([1]TBMapping!$C295,'[1]TrialBalance (Quarter)'!A:A,0),MATCH([1]TBMapping!M$3,'[1]TrialBalance (Quarter)'!$7:$7,0)),0)</f>
        <v>0</v>
      </c>
      <c r="M293" s="5">
        <f>IFERROR(INDEX('[1]TrialBalance (Quarter)'!$A:$L,MATCH([1]TBMapping!$C295,'[1]TrialBalance (Quarter)'!A:A,0),MATCH([1]TBMapping!N$3,'[1]TrialBalance (Quarter)'!$7:$7,0)),0)</f>
        <v>0</v>
      </c>
      <c r="N293" s="5">
        <f>IFERROR(INDEX('[1]TrialBalance (Quarter)'!$A:$L,MATCH([1]TBMapping!$C295,'[1]TrialBalance (Quarter)'!A:A,0),MATCH([1]TBMapping!O$3,'[1]TrialBalance (Quarter)'!$7:$7,0)),0)</f>
        <v>0</v>
      </c>
    </row>
    <row r="294" spans="1:14">
      <c r="B294" s="3">
        <v>129999</v>
      </c>
      <c r="C294" s="11" t="s">
        <v>270</v>
      </c>
      <c r="D294" s="11" t="s">
        <v>16</v>
      </c>
      <c r="E294" s="11"/>
      <c r="F294" s="5" t="e">
        <f>IF(DataExtraction="Manual",SUMIF('[1]TrialBalance (YTD)'!$C:$C,B294,'[1]TrialBalance (YTD)'!$E:$E),SUMIF('[1]TrialBalance (YTD)'!$G:$G,B294,'[1]TrialBalance (YTD)'!$I:$I))</f>
        <v>#VALUE!</v>
      </c>
      <c r="G294" s="5">
        <f>IFERROR(INDEX('[1]TrialBalance (YTD)'!$G:$S,MATCH([1]TBMapping!$C296,'[1]TrialBalance (YTD)'!G:G,0),MATCH([1]TBMapping!H$3,'[1]TrialBalance (YTD)'!$G$7:$Z$7,0)),0)</f>
        <v>0</v>
      </c>
      <c r="H294" s="5" t="e">
        <f>SUMIF('[1]TrialBalance (YTD)'!G:G,B294,'[1]TrialBalance (YTD)'!H:H)</f>
        <v>#VALUE!</v>
      </c>
      <c r="I294" s="5">
        <f>IFERROR(INDEX('[1]TrialBalance (YTD)'!$G:$S,MATCH([1]TBMapping!$C296,'[1]TrialBalance (YTD)'!G:G,0),MATCH([1]TBMapping!J$3,'[1]TrialBalance (YTD)'!$G$7:$Z$7,0)),0)</f>
        <v>0</v>
      </c>
      <c r="K294" s="5" t="e">
        <f>SUMIF('[1]TrialBalance (Quarter)'!$A:$A,B294,'[1]TrialBalance (Quarter)'!$B:$B)</f>
        <v>#VALUE!</v>
      </c>
      <c r="L294" s="5">
        <f>IFERROR(INDEX('[1]TrialBalance (Quarter)'!$A:$L,MATCH([1]TBMapping!$C296,'[1]TrialBalance (Quarter)'!A:A,0),MATCH([1]TBMapping!M$3,'[1]TrialBalance (Quarter)'!$7:$7,0)),0)</f>
        <v>0</v>
      </c>
      <c r="M294" s="5">
        <f>IFERROR(INDEX('[1]TrialBalance (Quarter)'!$A:$L,MATCH([1]TBMapping!$C296,'[1]TrialBalance (Quarter)'!A:A,0),MATCH([1]TBMapping!N$3,'[1]TrialBalance (Quarter)'!$7:$7,0)),0)</f>
        <v>0</v>
      </c>
      <c r="N294" s="5">
        <f>IFERROR(INDEX('[1]TrialBalance (Quarter)'!$A:$L,MATCH([1]TBMapping!$C296,'[1]TrialBalance (Quarter)'!A:A,0),MATCH([1]TBMapping!O$3,'[1]TrialBalance (Quarter)'!$7:$7,0)),0)</f>
        <v>0</v>
      </c>
    </row>
    <row r="295" spans="1:14">
      <c r="B295" s="3">
        <v>130000</v>
      </c>
      <c r="C295" s="10" t="s">
        <v>271</v>
      </c>
      <c r="D295" s="10" t="s">
        <v>5</v>
      </c>
      <c r="E295" s="10"/>
      <c r="F295" s="5" t="e">
        <f>IF(DataExtraction="Manual",SUMIF('[1]TrialBalance (YTD)'!$C:$C,B295,'[1]TrialBalance (YTD)'!$E:$E),SUMIF('[1]TrialBalance (YTD)'!$G:$G,B295,'[1]TrialBalance (YTD)'!$I:$I))</f>
        <v>#VALUE!</v>
      </c>
      <c r="G295" s="5">
        <f>IFERROR(INDEX('[1]TrialBalance (YTD)'!$G:$S,MATCH([1]TBMapping!$C297,'[1]TrialBalance (YTD)'!G:G,0),MATCH([1]TBMapping!H$3,'[1]TrialBalance (YTD)'!$G$7:$Z$7,0)),0)</f>
        <v>0</v>
      </c>
      <c r="H295" s="5" t="e">
        <f>SUMIF('[1]TrialBalance (YTD)'!G:G,B295,'[1]TrialBalance (YTD)'!H:H)</f>
        <v>#VALUE!</v>
      </c>
      <c r="I295" s="5">
        <f>IFERROR(INDEX('[1]TrialBalance (YTD)'!$G:$S,MATCH([1]TBMapping!$C297,'[1]TrialBalance (YTD)'!G:G,0),MATCH([1]TBMapping!J$3,'[1]TrialBalance (YTD)'!$G$7:$Z$7,0)),0)</f>
        <v>0</v>
      </c>
      <c r="K295" s="5" t="e">
        <f>SUMIF('[1]TrialBalance (Quarter)'!$A:$A,B295,'[1]TrialBalance (Quarter)'!$B:$B)</f>
        <v>#VALUE!</v>
      </c>
      <c r="L295" s="5">
        <f>IFERROR(INDEX('[1]TrialBalance (Quarter)'!$A:$L,MATCH([1]TBMapping!$C297,'[1]TrialBalance (Quarter)'!A:A,0),MATCH([1]TBMapping!M$3,'[1]TrialBalance (Quarter)'!$7:$7,0)),0)</f>
        <v>0</v>
      </c>
      <c r="M295" s="5">
        <f>IFERROR(INDEX('[1]TrialBalance (Quarter)'!$A:$L,MATCH([1]TBMapping!$C297,'[1]TrialBalance (Quarter)'!A:A,0),MATCH([1]TBMapping!N$3,'[1]TrialBalance (Quarter)'!$7:$7,0)),0)</f>
        <v>0</v>
      </c>
      <c r="N295" s="5">
        <f>IFERROR(INDEX('[1]TrialBalance (Quarter)'!$A:$L,MATCH([1]TBMapping!$C297,'[1]TrialBalance (Quarter)'!A:A,0),MATCH([1]TBMapping!O$3,'[1]TrialBalance (Quarter)'!$7:$7,0)),0)</f>
        <v>0</v>
      </c>
    </row>
    <row r="296" spans="1:14">
      <c r="B296" s="3">
        <v>131000</v>
      </c>
      <c r="C296" s="11" t="s">
        <v>272</v>
      </c>
      <c r="D296" s="11" t="s">
        <v>5</v>
      </c>
      <c r="E296" s="11"/>
      <c r="F296" s="5" t="e">
        <f>IF(DataExtraction="Manual",SUMIF('[1]TrialBalance (YTD)'!$C:$C,B296,'[1]TrialBalance (YTD)'!$E:$E),SUMIF('[1]TrialBalance (YTD)'!$G:$G,B296,'[1]TrialBalance (YTD)'!$I:$I))</f>
        <v>#VALUE!</v>
      </c>
      <c r="G296" s="5">
        <f>IFERROR(INDEX('[1]TrialBalance (YTD)'!$G:$S,MATCH([1]TBMapping!$C298,'[1]TrialBalance (YTD)'!G:G,0),MATCH([1]TBMapping!H$3,'[1]TrialBalance (YTD)'!$G$7:$Z$7,0)),0)</f>
        <v>0</v>
      </c>
      <c r="H296" s="5" t="e">
        <f>SUMIF('[1]TrialBalance (YTD)'!G:G,B296,'[1]TrialBalance (YTD)'!H:H)</f>
        <v>#VALUE!</v>
      </c>
      <c r="I296" s="5">
        <f>IFERROR(INDEX('[1]TrialBalance (YTD)'!$G:$S,MATCH([1]TBMapping!$C298,'[1]TrialBalance (YTD)'!G:G,0),MATCH([1]TBMapping!J$3,'[1]TrialBalance (YTD)'!$G$7:$Z$7,0)),0)</f>
        <v>0</v>
      </c>
      <c r="K296" s="5" t="e">
        <f>SUMIF('[1]TrialBalance (Quarter)'!$A:$A,B296,'[1]TrialBalance (Quarter)'!$B:$B)</f>
        <v>#VALUE!</v>
      </c>
      <c r="L296" s="5">
        <f>IFERROR(INDEX('[1]TrialBalance (Quarter)'!$A:$L,MATCH([1]TBMapping!$C298,'[1]TrialBalance (Quarter)'!A:A,0),MATCH([1]TBMapping!M$3,'[1]TrialBalance (Quarter)'!$7:$7,0)),0)</f>
        <v>0</v>
      </c>
      <c r="M296" s="5">
        <f>IFERROR(INDEX('[1]TrialBalance (Quarter)'!$A:$L,MATCH([1]TBMapping!$C298,'[1]TrialBalance (Quarter)'!A:A,0),MATCH([1]TBMapping!N$3,'[1]TrialBalance (Quarter)'!$7:$7,0)),0)</f>
        <v>0</v>
      </c>
      <c r="N296" s="5">
        <f>IFERROR(INDEX('[1]TrialBalance (Quarter)'!$A:$L,MATCH([1]TBMapping!$C298,'[1]TrialBalance (Quarter)'!A:A,0),MATCH([1]TBMapping!O$3,'[1]TrialBalance (Quarter)'!$7:$7,0)),0)</f>
        <v>0</v>
      </c>
    </row>
    <row r="297" spans="1:14">
      <c r="A297" s="2">
        <v>107</v>
      </c>
      <c r="B297" s="3">
        <v>131110</v>
      </c>
      <c r="C297" s="10" t="s">
        <v>273</v>
      </c>
      <c r="D297" s="10" t="s">
        <v>11</v>
      </c>
      <c r="E297" s="10"/>
      <c r="F297" s="5" t="e">
        <f>IF(DataExtraction="Manual",SUMIF('[1]TrialBalance (YTD)'!$C:$C,B297,'[1]TrialBalance (YTD)'!$E:$E),SUMIF('[1]TrialBalance (YTD)'!$G:$G,B297,'[1]TrialBalance (YTD)'!$I:$I))</f>
        <v>#VALUE!</v>
      </c>
      <c r="G297" s="5">
        <f>IFERROR(INDEX('[1]TrialBalance (YTD)'!$G:$S,MATCH([1]TBMapping!$C299,'[1]TrialBalance (YTD)'!G:G,0),MATCH([1]TBMapping!H$3,'[1]TrialBalance (YTD)'!$G$7:$Z$7,0)),0)</f>
        <v>0</v>
      </c>
      <c r="H297" s="5" t="e">
        <f>SUMIF('[1]TrialBalance (YTD)'!G:G,B297,'[1]TrialBalance (YTD)'!H:H)</f>
        <v>#VALUE!</v>
      </c>
      <c r="I297" s="5">
        <f>IFERROR(INDEX('[1]TrialBalance (YTD)'!$G:$S,MATCH([1]TBMapping!$C299,'[1]TrialBalance (YTD)'!G:G,0),MATCH([1]TBMapping!J$3,'[1]TrialBalance (YTD)'!$G$7:$Z$7,0)),0)</f>
        <v>0</v>
      </c>
      <c r="K297" s="5" t="e">
        <f>SUMIF('[1]TrialBalance (Quarter)'!$A:$A,B297,'[1]TrialBalance (Quarter)'!$B:$B)</f>
        <v>#VALUE!</v>
      </c>
      <c r="L297" s="5">
        <f>IFERROR(INDEX('[1]TrialBalance (Quarter)'!$A:$L,MATCH([1]TBMapping!$C299,'[1]TrialBalance (Quarter)'!A:A,0),MATCH([1]TBMapping!M$3,'[1]TrialBalance (Quarter)'!$7:$7,0)),0)</f>
        <v>0</v>
      </c>
      <c r="M297" s="5">
        <f>IFERROR(INDEX('[1]TrialBalance (Quarter)'!$A:$L,MATCH([1]TBMapping!$C299,'[1]TrialBalance (Quarter)'!A:A,0),MATCH([1]TBMapping!N$3,'[1]TrialBalance (Quarter)'!$7:$7,0)),0)</f>
        <v>0</v>
      </c>
      <c r="N297" s="5">
        <f>IFERROR(INDEX('[1]TrialBalance (Quarter)'!$A:$L,MATCH([1]TBMapping!$C299,'[1]TrialBalance (Quarter)'!A:A,0),MATCH([1]TBMapping!O$3,'[1]TrialBalance (Quarter)'!$7:$7,0)),0)</f>
        <v>0</v>
      </c>
    </row>
    <row r="298" spans="1:14">
      <c r="A298" s="2">
        <v>107</v>
      </c>
      <c r="B298" s="3">
        <v>131120</v>
      </c>
      <c r="C298" s="11" t="s">
        <v>274</v>
      </c>
      <c r="D298" s="11" t="s">
        <v>11</v>
      </c>
      <c r="E298" s="11"/>
      <c r="F298" s="5" t="e">
        <f>IF(DataExtraction="Manual",SUMIF('[1]TrialBalance (YTD)'!$C:$C,B298,'[1]TrialBalance (YTD)'!$E:$E),SUMIF('[1]TrialBalance (YTD)'!$G:$G,B298,'[1]TrialBalance (YTD)'!$I:$I))</f>
        <v>#VALUE!</v>
      </c>
      <c r="G298" s="5">
        <f>IFERROR(INDEX('[1]TrialBalance (YTD)'!$G:$S,MATCH([1]TBMapping!$C300,'[1]TrialBalance (YTD)'!G:G,0),MATCH([1]TBMapping!H$3,'[1]TrialBalance (YTD)'!$G$7:$Z$7,0)),0)</f>
        <v>0</v>
      </c>
      <c r="H298" s="5" t="e">
        <f>SUMIF('[1]TrialBalance (YTD)'!G:G,B298,'[1]TrialBalance (YTD)'!H:H)</f>
        <v>#VALUE!</v>
      </c>
      <c r="I298" s="5">
        <f>IFERROR(INDEX('[1]TrialBalance (YTD)'!$G:$S,MATCH([1]TBMapping!$C300,'[1]TrialBalance (YTD)'!G:G,0),MATCH([1]TBMapping!J$3,'[1]TrialBalance (YTD)'!$G$7:$Z$7,0)),0)</f>
        <v>0</v>
      </c>
      <c r="K298" s="5" t="e">
        <f>SUMIF('[1]TrialBalance (Quarter)'!$A:$A,B298,'[1]TrialBalance (Quarter)'!$B:$B)</f>
        <v>#VALUE!</v>
      </c>
      <c r="L298" s="5">
        <f>IFERROR(INDEX('[1]TrialBalance (Quarter)'!$A:$L,MATCH([1]TBMapping!$C300,'[1]TrialBalance (Quarter)'!A:A,0),MATCH([1]TBMapping!M$3,'[1]TrialBalance (Quarter)'!$7:$7,0)),0)</f>
        <v>0</v>
      </c>
      <c r="M298" s="5">
        <f>IFERROR(INDEX('[1]TrialBalance (Quarter)'!$A:$L,MATCH([1]TBMapping!$C300,'[1]TrialBalance (Quarter)'!A:A,0),MATCH([1]TBMapping!N$3,'[1]TrialBalance (Quarter)'!$7:$7,0)),0)</f>
        <v>0</v>
      </c>
      <c r="N298" s="5">
        <f>IFERROR(INDEX('[1]TrialBalance (Quarter)'!$A:$L,MATCH([1]TBMapping!$C300,'[1]TrialBalance (Quarter)'!A:A,0),MATCH([1]TBMapping!O$3,'[1]TrialBalance (Quarter)'!$7:$7,0)),0)</f>
        <v>0</v>
      </c>
    </row>
    <row r="299" spans="1:14">
      <c r="A299" s="2">
        <v>107</v>
      </c>
      <c r="B299" s="3">
        <v>131130</v>
      </c>
      <c r="C299" s="10" t="s">
        <v>275</v>
      </c>
      <c r="D299" s="10" t="s">
        <v>11</v>
      </c>
      <c r="E299" s="10"/>
      <c r="F299" s="5" t="e">
        <f>IF(DataExtraction="Manual",SUMIF('[1]TrialBalance (YTD)'!$C:$C,B299,'[1]TrialBalance (YTD)'!$E:$E),SUMIF('[1]TrialBalance (YTD)'!$G:$G,B299,'[1]TrialBalance (YTD)'!$I:$I))</f>
        <v>#VALUE!</v>
      </c>
      <c r="G299" s="5">
        <f>IFERROR(INDEX('[1]TrialBalance (YTD)'!$G:$S,MATCH([1]TBMapping!$C301,'[1]TrialBalance (YTD)'!G:G,0),MATCH([1]TBMapping!H$3,'[1]TrialBalance (YTD)'!$G$7:$Z$7,0)),0)</f>
        <v>0</v>
      </c>
      <c r="H299" s="5" t="e">
        <f>SUMIF('[1]TrialBalance (YTD)'!G:G,B299,'[1]TrialBalance (YTD)'!H:H)</f>
        <v>#VALUE!</v>
      </c>
      <c r="I299" s="5">
        <f>IFERROR(INDEX('[1]TrialBalance (YTD)'!$G:$S,MATCH([1]TBMapping!$C301,'[1]TrialBalance (YTD)'!G:G,0),MATCH([1]TBMapping!J$3,'[1]TrialBalance (YTD)'!$G$7:$Z$7,0)),0)</f>
        <v>0</v>
      </c>
      <c r="K299" s="5" t="e">
        <f>SUMIF('[1]TrialBalance (Quarter)'!$A:$A,B299,'[1]TrialBalance (Quarter)'!$B:$B)</f>
        <v>#VALUE!</v>
      </c>
      <c r="L299" s="5">
        <f>IFERROR(INDEX('[1]TrialBalance (Quarter)'!$A:$L,MATCH([1]TBMapping!$C301,'[1]TrialBalance (Quarter)'!A:A,0),MATCH([1]TBMapping!M$3,'[1]TrialBalance (Quarter)'!$7:$7,0)),0)</f>
        <v>0</v>
      </c>
      <c r="M299" s="5">
        <f>IFERROR(INDEX('[1]TrialBalance (Quarter)'!$A:$L,MATCH([1]TBMapping!$C301,'[1]TrialBalance (Quarter)'!A:A,0),MATCH([1]TBMapping!N$3,'[1]TrialBalance (Quarter)'!$7:$7,0)),0)</f>
        <v>0</v>
      </c>
      <c r="N299" s="5">
        <f>IFERROR(INDEX('[1]TrialBalance (Quarter)'!$A:$L,MATCH([1]TBMapping!$C301,'[1]TrialBalance (Quarter)'!A:A,0),MATCH([1]TBMapping!O$3,'[1]TrialBalance (Quarter)'!$7:$7,0)),0)</f>
        <v>0</v>
      </c>
    </row>
    <row r="300" spans="1:14">
      <c r="A300" s="2">
        <v>107</v>
      </c>
      <c r="B300" s="3">
        <v>131140</v>
      </c>
      <c r="C300" s="11" t="s">
        <v>276</v>
      </c>
      <c r="D300" s="11" t="s">
        <v>11</v>
      </c>
      <c r="E300" s="11"/>
      <c r="F300" s="5" t="e">
        <f>IF(DataExtraction="Manual",SUMIF('[1]TrialBalance (YTD)'!$C:$C,B300,'[1]TrialBalance (YTD)'!$E:$E),SUMIF('[1]TrialBalance (YTD)'!$G:$G,B300,'[1]TrialBalance (YTD)'!$I:$I))</f>
        <v>#VALUE!</v>
      </c>
      <c r="G300" s="5">
        <f>IFERROR(INDEX('[1]TrialBalance (YTD)'!$G:$S,MATCH([1]TBMapping!$C302,'[1]TrialBalance (YTD)'!G:G,0),MATCH([1]TBMapping!H$3,'[1]TrialBalance (YTD)'!$G$7:$Z$7,0)),0)</f>
        <v>0</v>
      </c>
      <c r="H300" s="5" t="e">
        <f>SUMIF('[1]TrialBalance (YTD)'!G:G,B300,'[1]TrialBalance (YTD)'!H:H)</f>
        <v>#VALUE!</v>
      </c>
      <c r="I300" s="5">
        <f>IFERROR(INDEX('[1]TrialBalance (YTD)'!$G:$S,MATCH([1]TBMapping!$C302,'[1]TrialBalance (YTD)'!G:G,0),MATCH([1]TBMapping!J$3,'[1]TrialBalance (YTD)'!$G$7:$Z$7,0)),0)</f>
        <v>0</v>
      </c>
      <c r="K300" s="5" t="e">
        <f>SUMIF('[1]TrialBalance (Quarter)'!$A:$A,B300,'[1]TrialBalance (Quarter)'!$B:$B)</f>
        <v>#VALUE!</v>
      </c>
      <c r="L300" s="5">
        <f>IFERROR(INDEX('[1]TrialBalance (Quarter)'!$A:$L,MATCH([1]TBMapping!$C302,'[1]TrialBalance (Quarter)'!A:A,0),MATCH([1]TBMapping!M$3,'[1]TrialBalance (Quarter)'!$7:$7,0)),0)</f>
        <v>0</v>
      </c>
      <c r="M300" s="5">
        <f>IFERROR(INDEX('[1]TrialBalance (Quarter)'!$A:$L,MATCH([1]TBMapping!$C302,'[1]TrialBalance (Quarter)'!A:A,0),MATCH([1]TBMapping!N$3,'[1]TrialBalance (Quarter)'!$7:$7,0)),0)</f>
        <v>0</v>
      </c>
      <c r="N300" s="5">
        <f>IFERROR(INDEX('[1]TrialBalance (Quarter)'!$A:$L,MATCH([1]TBMapping!$C302,'[1]TrialBalance (Quarter)'!A:A,0),MATCH([1]TBMapping!O$3,'[1]TrialBalance (Quarter)'!$7:$7,0)),0)</f>
        <v>0</v>
      </c>
    </row>
    <row r="301" spans="1:14">
      <c r="A301" s="2">
        <v>107</v>
      </c>
      <c r="B301" s="3">
        <v>131150</v>
      </c>
      <c r="C301" s="10" t="s">
        <v>277</v>
      </c>
      <c r="D301" s="10" t="s">
        <v>11</v>
      </c>
      <c r="E301" s="10"/>
      <c r="F301" s="5" t="e">
        <f>IF(DataExtraction="Manual",SUMIF('[1]TrialBalance (YTD)'!$C:$C,B301,'[1]TrialBalance (YTD)'!$E:$E),SUMIF('[1]TrialBalance (YTD)'!$G:$G,B301,'[1]TrialBalance (YTD)'!$I:$I))</f>
        <v>#VALUE!</v>
      </c>
      <c r="G301" s="5">
        <f>IFERROR(INDEX('[1]TrialBalance (YTD)'!$G:$S,MATCH([1]TBMapping!$C303,'[1]TrialBalance (YTD)'!G:G,0),MATCH([1]TBMapping!H$3,'[1]TrialBalance (YTD)'!$G$7:$Z$7,0)),0)</f>
        <v>0</v>
      </c>
      <c r="H301" s="5" t="e">
        <f>SUMIF('[1]TrialBalance (YTD)'!G:G,B301,'[1]TrialBalance (YTD)'!H:H)</f>
        <v>#VALUE!</v>
      </c>
      <c r="I301" s="5">
        <f>IFERROR(INDEX('[1]TrialBalance (YTD)'!$G:$S,MATCH([1]TBMapping!$C303,'[1]TrialBalance (YTD)'!G:G,0),MATCH([1]TBMapping!J$3,'[1]TrialBalance (YTD)'!$G$7:$Z$7,0)),0)</f>
        <v>0</v>
      </c>
      <c r="K301" s="5" t="e">
        <f>SUMIF('[1]TrialBalance (Quarter)'!$A:$A,B301,'[1]TrialBalance (Quarter)'!$B:$B)</f>
        <v>#VALUE!</v>
      </c>
      <c r="L301" s="5">
        <f>IFERROR(INDEX('[1]TrialBalance (Quarter)'!$A:$L,MATCH([1]TBMapping!$C303,'[1]TrialBalance (Quarter)'!A:A,0),MATCH([1]TBMapping!M$3,'[1]TrialBalance (Quarter)'!$7:$7,0)),0)</f>
        <v>0</v>
      </c>
      <c r="M301" s="5">
        <f>IFERROR(INDEX('[1]TrialBalance (Quarter)'!$A:$L,MATCH([1]TBMapping!$C303,'[1]TrialBalance (Quarter)'!A:A,0),MATCH([1]TBMapping!N$3,'[1]TrialBalance (Quarter)'!$7:$7,0)),0)</f>
        <v>0</v>
      </c>
      <c r="N301" s="5">
        <f>IFERROR(INDEX('[1]TrialBalance (Quarter)'!$A:$L,MATCH([1]TBMapping!$C303,'[1]TrialBalance (Quarter)'!A:A,0),MATCH([1]TBMapping!O$3,'[1]TrialBalance (Quarter)'!$7:$7,0)),0)</f>
        <v>0</v>
      </c>
    </row>
    <row r="302" spans="1:14">
      <c r="B302" s="3">
        <v>131999</v>
      </c>
      <c r="C302" s="11" t="s">
        <v>272</v>
      </c>
      <c r="D302" s="11" t="s">
        <v>16</v>
      </c>
      <c r="E302" s="11"/>
      <c r="F302" s="5" t="e">
        <f>IF(DataExtraction="Manual",SUMIF('[1]TrialBalance (YTD)'!$C:$C,B302,'[1]TrialBalance (YTD)'!$E:$E),SUMIF('[1]TrialBalance (YTD)'!$G:$G,B302,'[1]TrialBalance (YTD)'!$I:$I))</f>
        <v>#VALUE!</v>
      </c>
      <c r="G302" s="5">
        <f>IFERROR(INDEX('[1]TrialBalance (YTD)'!$G:$S,MATCH([1]TBMapping!$C304,'[1]TrialBalance (YTD)'!G:G,0),MATCH([1]TBMapping!H$3,'[1]TrialBalance (YTD)'!$G$7:$Z$7,0)),0)</f>
        <v>0</v>
      </c>
      <c r="H302" s="5" t="e">
        <f>SUMIF('[1]TrialBalance (YTD)'!G:G,B302,'[1]TrialBalance (YTD)'!H:H)</f>
        <v>#VALUE!</v>
      </c>
      <c r="I302" s="5">
        <f>IFERROR(INDEX('[1]TrialBalance (YTD)'!$G:$S,MATCH([1]TBMapping!$C304,'[1]TrialBalance (YTD)'!G:G,0),MATCH([1]TBMapping!J$3,'[1]TrialBalance (YTD)'!$G$7:$Z$7,0)),0)</f>
        <v>0</v>
      </c>
      <c r="K302" s="5" t="e">
        <f>SUMIF('[1]TrialBalance (Quarter)'!$A:$A,B302,'[1]TrialBalance (Quarter)'!$B:$B)</f>
        <v>#VALUE!</v>
      </c>
      <c r="L302" s="5">
        <f>IFERROR(INDEX('[1]TrialBalance (Quarter)'!$A:$L,MATCH([1]TBMapping!$C304,'[1]TrialBalance (Quarter)'!A:A,0),MATCH([1]TBMapping!M$3,'[1]TrialBalance (Quarter)'!$7:$7,0)),0)</f>
        <v>0</v>
      </c>
      <c r="M302" s="5">
        <f>IFERROR(INDEX('[1]TrialBalance (Quarter)'!$A:$L,MATCH([1]TBMapping!$C304,'[1]TrialBalance (Quarter)'!A:A,0),MATCH([1]TBMapping!N$3,'[1]TrialBalance (Quarter)'!$7:$7,0)),0)</f>
        <v>0</v>
      </c>
      <c r="N302" s="5">
        <f>IFERROR(INDEX('[1]TrialBalance (Quarter)'!$A:$L,MATCH([1]TBMapping!$C304,'[1]TrialBalance (Quarter)'!A:A,0),MATCH([1]TBMapping!O$3,'[1]TrialBalance (Quarter)'!$7:$7,0)),0)</f>
        <v>0</v>
      </c>
    </row>
    <row r="303" spans="1:14">
      <c r="B303" s="3">
        <v>132000</v>
      </c>
      <c r="C303" s="10" t="s">
        <v>278</v>
      </c>
      <c r="D303" s="10" t="s">
        <v>5</v>
      </c>
      <c r="E303" s="10"/>
      <c r="F303" s="5" t="e">
        <f>IF(DataExtraction="Manual",SUMIF('[1]TrialBalance (YTD)'!$C:$C,B303,'[1]TrialBalance (YTD)'!$E:$E),SUMIF('[1]TrialBalance (YTD)'!$G:$G,B303,'[1]TrialBalance (YTD)'!$I:$I))</f>
        <v>#VALUE!</v>
      </c>
      <c r="G303" s="5">
        <f>IFERROR(INDEX('[1]TrialBalance (YTD)'!$G:$S,MATCH([1]TBMapping!$C305,'[1]TrialBalance (YTD)'!G:G,0),MATCH([1]TBMapping!H$3,'[1]TrialBalance (YTD)'!$G$7:$Z$7,0)),0)</f>
        <v>0</v>
      </c>
      <c r="H303" s="5" t="e">
        <f>SUMIF('[1]TrialBalance (YTD)'!G:G,B303,'[1]TrialBalance (YTD)'!H:H)</f>
        <v>#VALUE!</v>
      </c>
      <c r="I303" s="5">
        <f>IFERROR(INDEX('[1]TrialBalance (YTD)'!$G:$S,MATCH([1]TBMapping!$C305,'[1]TrialBalance (YTD)'!G:G,0),MATCH([1]TBMapping!J$3,'[1]TrialBalance (YTD)'!$G$7:$Z$7,0)),0)</f>
        <v>0</v>
      </c>
      <c r="K303" s="5" t="e">
        <f>SUMIF('[1]TrialBalance (Quarter)'!$A:$A,B303,'[1]TrialBalance (Quarter)'!$B:$B)</f>
        <v>#VALUE!</v>
      </c>
      <c r="L303" s="5">
        <f>IFERROR(INDEX('[1]TrialBalance (Quarter)'!$A:$L,MATCH([1]TBMapping!$C305,'[1]TrialBalance (Quarter)'!A:A,0),MATCH([1]TBMapping!M$3,'[1]TrialBalance (Quarter)'!$7:$7,0)),0)</f>
        <v>0</v>
      </c>
      <c r="M303" s="5">
        <f>IFERROR(INDEX('[1]TrialBalance (Quarter)'!$A:$L,MATCH([1]TBMapping!$C305,'[1]TrialBalance (Quarter)'!A:A,0),MATCH([1]TBMapping!N$3,'[1]TrialBalance (Quarter)'!$7:$7,0)),0)</f>
        <v>0</v>
      </c>
      <c r="N303" s="5">
        <f>IFERROR(INDEX('[1]TrialBalance (Quarter)'!$A:$L,MATCH([1]TBMapping!$C305,'[1]TrialBalance (Quarter)'!A:A,0),MATCH([1]TBMapping!O$3,'[1]TrialBalance (Quarter)'!$7:$7,0)),0)</f>
        <v>0</v>
      </c>
    </row>
    <row r="304" spans="1:14">
      <c r="A304" s="2">
        <v>107</v>
      </c>
      <c r="B304" s="3">
        <v>132110</v>
      </c>
      <c r="C304" s="11" t="s">
        <v>279</v>
      </c>
      <c r="D304" s="11" t="s">
        <v>11</v>
      </c>
      <c r="E304" s="11"/>
      <c r="F304" s="5" t="e">
        <f>IF(DataExtraction="Manual",SUMIF('[1]TrialBalance (YTD)'!$C:$C,B304,'[1]TrialBalance (YTD)'!$E:$E),SUMIF('[1]TrialBalance (YTD)'!$G:$G,B304,'[1]TrialBalance (YTD)'!$I:$I))</f>
        <v>#VALUE!</v>
      </c>
      <c r="G304" s="5">
        <f>IFERROR(INDEX('[1]TrialBalance (YTD)'!$G:$S,MATCH([1]TBMapping!$C306,'[1]TrialBalance (YTD)'!G:G,0),MATCH([1]TBMapping!H$3,'[1]TrialBalance (YTD)'!$G$7:$Z$7,0)),0)</f>
        <v>0</v>
      </c>
      <c r="H304" s="5" t="e">
        <f>SUMIF('[1]TrialBalance (YTD)'!G:G,B304,'[1]TrialBalance (YTD)'!H:H)</f>
        <v>#VALUE!</v>
      </c>
      <c r="I304" s="5">
        <f>IFERROR(INDEX('[1]TrialBalance (YTD)'!$G:$S,MATCH([1]TBMapping!$C306,'[1]TrialBalance (YTD)'!G:G,0),MATCH([1]TBMapping!J$3,'[1]TrialBalance (YTD)'!$G$7:$Z$7,0)),0)</f>
        <v>0</v>
      </c>
      <c r="K304" s="5" t="e">
        <f>SUMIF('[1]TrialBalance (Quarter)'!$A:$A,B304,'[1]TrialBalance (Quarter)'!$B:$B)</f>
        <v>#VALUE!</v>
      </c>
      <c r="L304" s="5">
        <f>IFERROR(INDEX('[1]TrialBalance (Quarter)'!$A:$L,MATCH([1]TBMapping!$C306,'[1]TrialBalance (Quarter)'!A:A,0),MATCH([1]TBMapping!M$3,'[1]TrialBalance (Quarter)'!$7:$7,0)),0)</f>
        <v>0</v>
      </c>
      <c r="M304" s="5">
        <f>IFERROR(INDEX('[1]TrialBalance (Quarter)'!$A:$L,MATCH([1]TBMapping!$C306,'[1]TrialBalance (Quarter)'!A:A,0),MATCH([1]TBMapping!N$3,'[1]TrialBalance (Quarter)'!$7:$7,0)),0)</f>
        <v>0</v>
      </c>
      <c r="N304" s="5">
        <f>IFERROR(INDEX('[1]TrialBalance (Quarter)'!$A:$L,MATCH([1]TBMapping!$C306,'[1]TrialBalance (Quarter)'!A:A,0),MATCH([1]TBMapping!O$3,'[1]TrialBalance (Quarter)'!$7:$7,0)),0)</f>
        <v>0</v>
      </c>
    </row>
    <row r="305" spans="1:14">
      <c r="A305" s="2">
        <v>107</v>
      </c>
      <c r="B305" s="3">
        <v>132120</v>
      </c>
      <c r="C305" s="10" t="s">
        <v>280</v>
      </c>
      <c r="D305" s="10" t="s">
        <v>11</v>
      </c>
      <c r="E305" s="10"/>
      <c r="F305" s="5" t="e">
        <f>IF(DataExtraction="Manual",SUMIF('[1]TrialBalance (YTD)'!$C:$C,B305,'[1]TrialBalance (YTD)'!$E:$E),SUMIF('[1]TrialBalance (YTD)'!$G:$G,B305,'[1]TrialBalance (YTD)'!$I:$I))</f>
        <v>#VALUE!</v>
      </c>
      <c r="G305" s="5">
        <f>IFERROR(INDEX('[1]TrialBalance (YTD)'!$G:$S,MATCH([1]TBMapping!$C307,'[1]TrialBalance (YTD)'!G:G,0),MATCH([1]TBMapping!H$3,'[1]TrialBalance (YTD)'!$G$7:$Z$7,0)),0)</f>
        <v>0</v>
      </c>
      <c r="H305" s="5" t="e">
        <f>SUMIF('[1]TrialBalance (YTD)'!G:G,B305,'[1]TrialBalance (YTD)'!H:H)</f>
        <v>#VALUE!</v>
      </c>
      <c r="I305" s="5">
        <f>IFERROR(INDEX('[1]TrialBalance (YTD)'!$G:$S,MATCH([1]TBMapping!$C307,'[1]TrialBalance (YTD)'!G:G,0),MATCH([1]TBMapping!J$3,'[1]TrialBalance (YTD)'!$G$7:$Z$7,0)),0)</f>
        <v>0</v>
      </c>
      <c r="K305" s="5" t="e">
        <f>SUMIF('[1]TrialBalance (Quarter)'!$A:$A,B305,'[1]TrialBalance (Quarter)'!$B:$B)</f>
        <v>#VALUE!</v>
      </c>
      <c r="L305" s="5">
        <f>IFERROR(INDEX('[1]TrialBalance (Quarter)'!$A:$L,MATCH([1]TBMapping!$C307,'[1]TrialBalance (Quarter)'!A:A,0),MATCH([1]TBMapping!M$3,'[1]TrialBalance (Quarter)'!$7:$7,0)),0)</f>
        <v>0</v>
      </c>
      <c r="M305" s="5">
        <f>IFERROR(INDEX('[1]TrialBalance (Quarter)'!$A:$L,MATCH([1]TBMapping!$C307,'[1]TrialBalance (Quarter)'!A:A,0),MATCH([1]TBMapping!N$3,'[1]TrialBalance (Quarter)'!$7:$7,0)),0)</f>
        <v>0</v>
      </c>
      <c r="N305" s="5">
        <f>IFERROR(INDEX('[1]TrialBalance (Quarter)'!$A:$L,MATCH([1]TBMapping!$C307,'[1]TrialBalance (Quarter)'!A:A,0),MATCH([1]TBMapping!O$3,'[1]TrialBalance (Quarter)'!$7:$7,0)),0)</f>
        <v>0</v>
      </c>
    </row>
    <row r="306" spans="1:14">
      <c r="A306" s="2">
        <v>107</v>
      </c>
      <c r="B306" s="3">
        <v>132130</v>
      </c>
      <c r="C306" s="11" t="s">
        <v>281</v>
      </c>
      <c r="D306" s="11" t="s">
        <v>11</v>
      </c>
      <c r="E306" s="11"/>
      <c r="F306" s="5" t="e">
        <f>IF(DataExtraction="Manual",SUMIF('[1]TrialBalance (YTD)'!$C:$C,B306,'[1]TrialBalance (YTD)'!$E:$E),SUMIF('[1]TrialBalance (YTD)'!$G:$G,B306,'[1]TrialBalance (YTD)'!$I:$I))</f>
        <v>#VALUE!</v>
      </c>
      <c r="G306" s="5">
        <f>IFERROR(INDEX('[1]TrialBalance (YTD)'!$G:$S,MATCH([1]TBMapping!$C308,'[1]TrialBalance (YTD)'!G:G,0),MATCH([1]TBMapping!H$3,'[1]TrialBalance (YTD)'!$G$7:$Z$7,0)),0)</f>
        <v>0</v>
      </c>
      <c r="H306" s="5" t="e">
        <f>SUMIF('[1]TrialBalance (YTD)'!G:G,B306,'[1]TrialBalance (YTD)'!H:H)</f>
        <v>#VALUE!</v>
      </c>
      <c r="I306" s="5">
        <f>IFERROR(INDEX('[1]TrialBalance (YTD)'!$G:$S,MATCH([1]TBMapping!$C308,'[1]TrialBalance (YTD)'!G:G,0),MATCH([1]TBMapping!J$3,'[1]TrialBalance (YTD)'!$G$7:$Z$7,0)),0)</f>
        <v>0</v>
      </c>
      <c r="K306" s="5" t="e">
        <f>SUMIF('[1]TrialBalance (Quarter)'!$A:$A,B306,'[1]TrialBalance (Quarter)'!$B:$B)</f>
        <v>#VALUE!</v>
      </c>
      <c r="L306" s="5">
        <f>IFERROR(INDEX('[1]TrialBalance (Quarter)'!$A:$L,MATCH([1]TBMapping!$C308,'[1]TrialBalance (Quarter)'!A:A,0),MATCH([1]TBMapping!M$3,'[1]TrialBalance (Quarter)'!$7:$7,0)),0)</f>
        <v>0</v>
      </c>
      <c r="M306" s="5">
        <f>IFERROR(INDEX('[1]TrialBalance (Quarter)'!$A:$L,MATCH([1]TBMapping!$C308,'[1]TrialBalance (Quarter)'!A:A,0),MATCH([1]TBMapping!N$3,'[1]TrialBalance (Quarter)'!$7:$7,0)),0)</f>
        <v>0</v>
      </c>
      <c r="N306" s="5">
        <f>IFERROR(INDEX('[1]TrialBalance (Quarter)'!$A:$L,MATCH([1]TBMapping!$C308,'[1]TrialBalance (Quarter)'!A:A,0),MATCH([1]TBMapping!O$3,'[1]TrialBalance (Quarter)'!$7:$7,0)),0)</f>
        <v>0</v>
      </c>
    </row>
    <row r="307" spans="1:14">
      <c r="A307" s="2">
        <v>107</v>
      </c>
      <c r="B307" s="3">
        <v>132140</v>
      </c>
      <c r="C307" s="10" t="s">
        <v>282</v>
      </c>
      <c r="D307" s="10" t="s">
        <v>11</v>
      </c>
      <c r="E307" s="10"/>
      <c r="F307" s="5" t="e">
        <f>IF(DataExtraction="Manual",SUMIF('[1]TrialBalance (YTD)'!$C:$C,B307,'[1]TrialBalance (YTD)'!$E:$E),SUMIF('[1]TrialBalance (YTD)'!$G:$G,B307,'[1]TrialBalance (YTD)'!$I:$I))</f>
        <v>#VALUE!</v>
      </c>
      <c r="G307" s="5">
        <f>IFERROR(INDEX('[1]TrialBalance (YTD)'!$G:$S,MATCH([1]TBMapping!$C309,'[1]TrialBalance (YTD)'!G:G,0),MATCH([1]TBMapping!H$3,'[1]TrialBalance (YTD)'!$G$7:$Z$7,0)),0)</f>
        <v>0</v>
      </c>
      <c r="H307" s="5" t="e">
        <f>SUMIF('[1]TrialBalance (YTD)'!G:G,B307,'[1]TrialBalance (YTD)'!H:H)</f>
        <v>#VALUE!</v>
      </c>
      <c r="I307" s="5">
        <f>IFERROR(INDEX('[1]TrialBalance (YTD)'!$G:$S,MATCH([1]TBMapping!$C309,'[1]TrialBalance (YTD)'!G:G,0),MATCH([1]TBMapping!J$3,'[1]TrialBalance (YTD)'!$G$7:$Z$7,0)),0)</f>
        <v>0</v>
      </c>
      <c r="K307" s="5" t="e">
        <f>SUMIF('[1]TrialBalance (Quarter)'!$A:$A,B307,'[1]TrialBalance (Quarter)'!$B:$B)</f>
        <v>#VALUE!</v>
      </c>
      <c r="L307" s="5">
        <f>IFERROR(INDEX('[1]TrialBalance (Quarter)'!$A:$L,MATCH([1]TBMapping!$C309,'[1]TrialBalance (Quarter)'!A:A,0),MATCH([1]TBMapping!M$3,'[1]TrialBalance (Quarter)'!$7:$7,0)),0)</f>
        <v>0</v>
      </c>
      <c r="M307" s="5">
        <f>IFERROR(INDEX('[1]TrialBalance (Quarter)'!$A:$L,MATCH([1]TBMapping!$C309,'[1]TrialBalance (Quarter)'!A:A,0),MATCH([1]TBMapping!N$3,'[1]TrialBalance (Quarter)'!$7:$7,0)),0)</f>
        <v>0</v>
      </c>
      <c r="N307" s="5">
        <f>IFERROR(INDEX('[1]TrialBalance (Quarter)'!$A:$L,MATCH([1]TBMapping!$C309,'[1]TrialBalance (Quarter)'!A:A,0),MATCH([1]TBMapping!O$3,'[1]TrialBalance (Quarter)'!$7:$7,0)),0)</f>
        <v>0</v>
      </c>
    </row>
    <row r="308" spans="1:14">
      <c r="A308" s="2">
        <v>107</v>
      </c>
      <c r="B308" s="3">
        <v>132150</v>
      </c>
      <c r="C308" s="11" t="s">
        <v>283</v>
      </c>
      <c r="D308" s="11" t="s">
        <v>11</v>
      </c>
      <c r="E308" s="11"/>
      <c r="F308" s="5" t="e">
        <f>IF(DataExtraction="Manual",SUMIF('[1]TrialBalance (YTD)'!$C:$C,B308,'[1]TrialBalance (YTD)'!$E:$E),SUMIF('[1]TrialBalance (YTD)'!$G:$G,B308,'[1]TrialBalance (YTD)'!$I:$I))</f>
        <v>#VALUE!</v>
      </c>
      <c r="G308" s="5">
        <f>IFERROR(INDEX('[1]TrialBalance (YTD)'!$G:$S,MATCH([1]TBMapping!$C310,'[1]TrialBalance (YTD)'!G:G,0),MATCH([1]TBMapping!H$3,'[1]TrialBalance (YTD)'!$G$7:$Z$7,0)),0)</f>
        <v>0</v>
      </c>
      <c r="H308" s="5" t="e">
        <f>SUMIF('[1]TrialBalance (YTD)'!G:G,B308,'[1]TrialBalance (YTD)'!H:H)</f>
        <v>#VALUE!</v>
      </c>
      <c r="I308" s="5">
        <f>IFERROR(INDEX('[1]TrialBalance (YTD)'!$G:$S,MATCH([1]TBMapping!$C310,'[1]TrialBalance (YTD)'!G:G,0),MATCH([1]TBMapping!J$3,'[1]TrialBalance (YTD)'!$G$7:$Z$7,0)),0)</f>
        <v>0</v>
      </c>
      <c r="K308" s="5" t="e">
        <f>SUMIF('[1]TrialBalance (Quarter)'!$A:$A,B308,'[1]TrialBalance (Quarter)'!$B:$B)</f>
        <v>#VALUE!</v>
      </c>
      <c r="L308" s="5">
        <f>IFERROR(INDEX('[1]TrialBalance (Quarter)'!$A:$L,MATCH([1]TBMapping!$C310,'[1]TrialBalance (Quarter)'!A:A,0),MATCH([1]TBMapping!M$3,'[1]TrialBalance (Quarter)'!$7:$7,0)),0)</f>
        <v>0</v>
      </c>
      <c r="M308" s="5">
        <f>IFERROR(INDEX('[1]TrialBalance (Quarter)'!$A:$L,MATCH([1]TBMapping!$C310,'[1]TrialBalance (Quarter)'!A:A,0),MATCH([1]TBMapping!N$3,'[1]TrialBalance (Quarter)'!$7:$7,0)),0)</f>
        <v>0</v>
      </c>
      <c r="N308" s="5">
        <f>IFERROR(INDEX('[1]TrialBalance (Quarter)'!$A:$L,MATCH([1]TBMapping!$C310,'[1]TrialBalance (Quarter)'!A:A,0),MATCH([1]TBMapping!O$3,'[1]TrialBalance (Quarter)'!$7:$7,0)),0)</f>
        <v>0</v>
      </c>
    </row>
    <row r="309" spans="1:14">
      <c r="A309" s="2">
        <v>107</v>
      </c>
      <c r="B309" s="3">
        <v>132160</v>
      </c>
      <c r="C309" s="10" t="s">
        <v>284</v>
      </c>
      <c r="D309" s="10" t="s">
        <v>11</v>
      </c>
      <c r="E309" s="10"/>
      <c r="F309" s="5" t="e">
        <f>IF(DataExtraction="Manual",SUMIF('[1]TrialBalance (YTD)'!$C:$C,B309,'[1]TrialBalance (YTD)'!$E:$E),SUMIF('[1]TrialBalance (YTD)'!$G:$G,B309,'[1]TrialBalance (YTD)'!$I:$I))</f>
        <v>#VALUE!</v>
      </c>
      <c r="G309" s="5">
        <f>IFERROR(INDEX('[1]TrialBalance (YTD)'!$G:$S,MATCH([1]TBMapping!$C311,'[1]TrialBalance (YTD)'!G:G,0),MATCH([1]TBMapping!H$3,'[1]TrialBalance (YTD)'!$G$7:$Z$7,0)),0)</f>
        <v>0</v>
      </c>
      <c r="H309" s="5" t="e">
        <f>SUMIF('[1]TrialBalance (YTD)'!G:G,B309,'[1]TrialBalance (YTD)'!H:H)</f>
        <v>#VALUE!</v>
      </c>
      <c r="I309" s="5">
        <f>IFERROR(INDEX('[1]TrialBalance (YTD)'!$G:$S,MATCH([1]TBMapping!$C311,'[1]TrialBalance (YTD)'!G:G,0),MATCH([1]TBMapping!J$3,'[1]TrialBalance (YTD)'!$G$7:$Z$7,0)),0)</f>
        <v>0</v>
      </c>
      <c r="K309" s="5" t="e">
        <f>SUMIF('[1]TrialBalance (Quarter)'!$A:$A,B309,'[1]TrialBalance (Quarter)'!$B:$B)</f>
        <v>#VALUE!</v>
      </c>
      <c r="L309" s="5">
        <f>IFERROR(INDEX('[1]TrialBalance (Quarter)'!$A:$L,MATCH([1]TBMapping!$C311,'[1]TrialBalance (Quarter)'!A:A,0),MATCH([1]TBMapping!M$3,'[1]TrialBalance (Quarter)'!$7:$7,0)),0)</f>
        <v>0</v>
      </c>
      <c r="M309" s="5">
        <f>IFERROR(INDEX('[1]TrialBalance (Quarter)'!$A:$L,MATCH([1]TBMapping!$C311,'[1]TrialBalance (Quarter)'!A:A,0),MATCH([1]TBMapping!N$3,'[1]TrialBalance (Quarter)'!$7:$7,0)),0)</f>
        <v>0</v>
      </c>
      <c r="N309" s="5">
        <f>IFERROR(INDEX('[1]TrialBalance (Quarter)'!$A:$L,MATCH([1]TBMapping!$C311,'[1]TrialBalance (Quarter)'!A:A,0),MATCH([1]TBMapping!O$3,'[1]TrialBalance (Quarter)'!$7:$7,0)),0)</f>
        <v>0</v>
      </c>
    </row>
    <row r="310" spans="1:14">
      <c r="A310" s="2">
        <v>107</v>
      </c>
      <c r="B310" s="3">
        <v>132170</v>
      </c>
      <c r="C310" s="11" t="s">
        <v>285</v>
      </c>
      <c r="D310" s="11" t="s">
        <v>11</v>
      </c>
      <c r="E310" s="11"/>
      <c r="F310" s="5" t="e">
        <f>IF(DataExtraction="Manual",SUMIF('[1]TrialBalance (YTD)'!$C:$C,B310,'[1]TrialBalance (YTD)'!$E:$E),SUMIF('[1]TrialBalance (YTD)'!$G:$G,B310,'[1]TrialBalance (YTD)'!$I:$I))</f>
        <v>#VALUE!</v>
      </c>
      <c r="G310" s="5">
        <f>IFERROR(INDEX('[1]TrialBalance (YTD)'!$G:$S,MATCH([1]TBMapping!$C312,'[1]TrialBalance (YTD)'!G:G,0),MATCH([1]TBMapping!H$3,'[1]TrialBalance (YTD)'!$G$7:$Z$7,0)),0)</f>
        <v>0</v>
      </c>
      <c r="H310" s="5" t="e">
        <f>SUMIF('[1]TrialBalance (YTD)'!G:G,B310,'[1]TrialBalance (YTD)'!H:H)</f>
        <v>#VALUE!</v>
      </c>
      <c r="I310" s="5">
        <f>IFERROR(INDEX('[1]TrialBalance (YTD)'!$G:$S,MATCH([1]TBMapping!$C312,'[1]TrialBalance (YTD)'!G:G,0),MATCH([1]TBMapping!J$3,'[1]TrialBalance (YTD)'!$G$7:$Z$7,0)),0)</f>
        <v>0</v>
      </c>
      <c r="K310" s="5" t="e">
        <f>SUMIF('[1]TrialBalance (Quarter)'!$A:$A,B310,'[1]TrialBalance (Quarter)'!$B:$B)</f>
        <v>#VALUE!</v>
      </c>
      <c r="L310" s="5">
        <f>IFERROR(INDEX('[1]TrialBalance (Quarter)'!$A:$L,MATCH([1]TBMapping!$C312,'[1]TrialBalance (Quarter)'!A:A,0),MATCH([1]TBMapping!M$3,'[1]TrialBalance (Quarter)'!$7:$7,0)),0)</f>
        <v>0</v>
      </c>
      <c r="M310" s="5">
        <f>IFERROR(INDEX('[1]TrialBalance (Quarter)'!$A:$L,MATCH([1]TBMapping!$C312,'[1]TrialBalance (Quarter)'!A:A,0),MATCH([1]TBMapping!N$3,'[1]TrialBalance (Quarter)'!$7:$7,0)),0)</f>
        <v>0</v>
      </c>
      <c r="N310" s="5">
        <f>IFERROR(INDEX('[1]TrialBalance (Quarter)'!$A:$L,MATCH([1]TBMapping!$C312,'[1]TrialBalance (Quarter)'!A:A,0),MATCH([1]TBMapping!O$3,'[1]TrialBalance (Quarter)'!$7:$7,0)),0)</f>
        <v>0</v>
      </c>
    </row>
    <row r="311" spans="1:14">
      <c r="B311" s="3">
        <v>132199</v>
      </c>
      <c r="C311" s="10" t="s">
        <v>286</v>
      </c>
      <c r="D311" s="10" t="s">
        <v>16</v>
      </c>
      <c r="E311" s="10"/>
      <c r="F311" s="5" t="e">
        <f>IF(DataExtraction="Manual",SUMIF('[1]TrialBalance (YTD)'!$C:$C,B311,'[1]TrialBalance (YTD)'!$E:$E),SUMIF('[1]TrialBalance (YTD)'!$G:$G,B311,'[1]TrialBalance (YTD)'!$I:$I))</f>
        <v>#VALUE!</v>
      </c>
      <c r="G311" s="5">
        <f>IFERROR(INDEX('[1]TrialBalance (YTD)'!$G:$S,MATCH([1]TBMapping!$C313,'[1]TrialBalance (YTD)'!G:G,0),MATCH([1]TBMapping!H$3,'[1]TrialBalance (YTD)'!$G$7:$Z$7,0)),0)</f>
        <v>0</v>
      </c>
      <c r="H311" s="5" t="e">
        <f>SUMIF('[1]TrialBalance (YTD)'!G:G,B311,'[1]TrialBalance (YTD)'!H:H)</f>
        <v>#VALUE!</v>
      </c>
      <c r="I311" s="5">
        <f>IFERROR(INDEX('[1]TrialBalance (YTD)'!$G:$S,MATCH([1]TBMapping!$C313,'[1]TrialBalance (YTD)'!G:G,0),MATCH([1]TBMapping!J$3,'[1]TrialBalance (YTD)'!$G$7:$Z$7,0)),0)</f>
        <v>0</v>
      </c>
      <c r="K311" s="5" t="e">
        <f>SUMIF('[1]TrialBalance (Quarter)'!$A:$A,B311,'[1]TrialBalance (Quarter)'!$B:$B)</f>
        <v>#VALUE!</v>
      </c>
      <c r="L311" s="5">
        <f>IFERROR(INDEX('[1]TrialBalance (Quarter)'!$A:$L,MATCH([1]TBMapping!$C313,'[1]TrialBalance (Quarter)'!A:A,0),MATCH([1]TBMapping!M$3,'[1]TrialBalance (Quarter)'!$7:$7,0)),0)</f>
        <v>0</v>
      </c>
      <c r="M311" s="5">
        <f>IFERROR(INDEX('[1]TrialBalance (Quarter)'!$A:$L,MATCH([1]TBMapping!$C313,'[1]TrialBalance (Quarter)'!A:A,0),MATCH([1]TBMapping!N$3,'[1]TrialBalance (Quarter)'!$7:$7,0)),0)</f>
        <v>0</v>
      </c>
      <c r="N311" s="5">
        <f>IFERROR(INDEX('[1]TrialBalance (Quarter)'!$A:$L,MATCH([1]TBMapping!$C313,'[1]TrialBalance (Quarter)'!A:A,0),MATCH([1]TBMapping!O$3,'[1]TrialBalance (Quarter)'!$7:$7,0)),0)</f>
        <v>0</v>
      </c>
    </row>
    <row r="312" spans="1:14">
      <c r="B312" s="3">
        <v>132200</v>
      </c>
      <c r="C312" s="11" t="s">
        <v>287</v>
      </c>
      <c r="D312" s="11" t="s">
        <v>5</v>
      </c>
      <c r="E312" s="11"/>
      <c r="F312" s="5" t="e">
        <f>IF(DataExtraction="Manual",SUMIF('[1]TrialBalance (YTD)'!$C:$C,B312,'[1]TrialBalance (YTD)'!$E:$E),SUMIF('[1]TrialBalance (YTD)'!$G:$G,B312,'[1]TrialBalance (YTD)'!$I:$I))</f>
        <v>#VALUE!</v>
      </c>
      <c r="G312" s="5">
        <f>IFERROR(INDEX('[1]TrialBalance (YTD)'!$G:$S,MATCH([1]TBMapping!$C314,'[1]TrialBalance (YTD)'!G:G,0),MATCH([1]TBMapping!H$3,'[1]TrialBalance (YTD)'!$G$7:$Z$7,0)),0)</f>
        <v>0</v>
      </c>
      <c r="H312" s="5" t="e">
        <f>SUMIF('[1]TrialBalance (YTD)'!G:G,B312,'[1]TrialBalance (YTD)'!H:H)</f>
        <v>#VALUE!</v>
      </c>
      <c r="I312" s="5">
        <f>IFERROR(INDEX('[1]TrialBalance (YTD)'!$G:$S,MATCH([1]TBMapping!$C314,'[1]TrialBalance (YTD)'!G:G,0),MATCH([1]TBMapping!J$3,'[1]TrialBalance (YTD)'!$G$7:$Z$7,0)),0)</f>
        <v>0</v>
      </c>
      <c r="K312" s="5" t="e">
        <f>SUMIF('[1]TrialBalance (Quarter)'!$A:$A,B312,'[1]TrialBalance (Quarter)'!$B:$B)</f>
        <v>#VALUE!</v>
      </c>
      <c r="L312" s="5">
        <f>IFERROR(INDEX('[1]TrialBalance (Quarter)'!$A:$L,MATCH([1]TBMapping!$C314,'[1]TrialBalance (Quarter)'!A:A,0),MATCH([1]TBMapping!M$3,'[1]TrialBalance (Quarter)'!$7:$7,0)),0)</f>
        <v>0</v>
      </c>
      <c r="M312" s="5">
        <f>IFERROR(INDEX('[1]TrialBalance (Quarter)'!$A:$L,MATCH([1]TBMapping!$C314,'[1]TrialBalance (Quarter)'!A:A,0),MATCH([1]TBMapping!N$3,'[1]TrialBalance (Quarter)'!$7:$7,0)),0)</f>
        <v>0</v>
      </c>
      <c r="N312" s="5">
        <f>IFERROR(INDEX('[1]TrialBalance (Quarter)'!$A:$L,MATCH([1]TBMapping!$C314,'[1]TrialBalance (Quarter)'!A:A,0),MATCH([1]TBMapping!O$3,'[1]TrialBalance (Quarter)'!$7:$7,0)),0)</f>
        <v>0</v>
      </c>
    </row>
    <row r="313" spans="1:14">
      <c r="A313" s="2">
        <v>107</v>
      </c>
      <c r="B313" s="3">
        <v>132210</v>
      </c>
      <c r="C313" s="10" t="s">
        <v>287</v>
      </c>
      <c r="D313" s="10" t="s">
        <v>11</v>
      </c>
      <c r="E313" s="10"/>
      <c r="F313" s="5" t="e">
        <f>IF(DataExtraction="Manual",SUMIF('[1]TrialBalance (YTD)'!$C:$C,B313,'[1]TrialBalance (YTD)'!$E:$E),SUMIF('[1]TrialBalance (YTD)'!$G:$G,B313,'[1]TrialBalance (YTD)'!$I:$I))</f>
        <v>#VALUE!</v>
      </c>
      <c r="G313" s="5">
        <f>IFERROR(INDEX('[1]TrialBalance (YTD)'!$G:$S,MATCH([1]TBMapping!$C315,'[1]TrialBalance (YTD)'!G:G,0),MATCH([1]TBMapping!H$3,'[1]TrialBalance (YTD)'!$G$7:$Z$7,0)),0)</f>
        <v>0</v>
      </c>
      <c r="H313" s="5" t="e">
        <f>SUMIF('[1]TrialBalance (YTD)'!G:G,B313,'[1]TrialBalance (YTD)'!H:H)</f>
        <v>#VALUE!</v>
      </c>
      <c r="I313" s="5">
        <f>IFERROR(INDEX('[1]TrialBalance (YTD)'!$G:$S,MATCH([1]TBMapping!$C315,'[1]TrialBalance (YTD)'!G:G,0),MATCH([1]TBMapping!J$3,'[1]TrialBalance (YTD)'!$G$7:$Z$7,0)),0)</f>
        <v>0</v>
      </c>
      <c r="K313" s="5" t="e">
        <f>SUMIF('[1]TrialBalance (Quarter)'!$A:$A,B313,'[1]TrialBalance (Quarter)'!$B:$B)</f>
        <v>#VALUE!</v>
      </c>
      <c r="L313" s="5">
        <f>IFERROR(INDEX('[1]TrialBalance (Quarter)'!$A:$L,MATCH([1]TBMapping!$C315,'[1]TrialBalance (Quarter)'!A:A,0),MATCH([1]TBMapping!M$3,'[1]TrialBalance (Quarter)'!$7:$7,0)),0)</f>
        <v>0</v>
      </c>
      <c r="M313" s="5">
        <f>IFERROR(INDEX('[1]TrialBalance (Quarter)'!$A:$L,MATCH([1]TBMapping!$C315,'[1]TrialBalance (Quarter)'!A:A,0),MATCH([1]TBMapping!N$3,'[1]TrialBalance (Quarter)'!$7:$7,0)),0)</f>
        <v>0</v>
      </c>
      <c r="N313" s="5">
        <f>IFERROR(INDEX('[1]TrialBalance (Quarter)'!$A:$L,MATCH([1]TBMapping!$C315,'[1]TrialBalance (Quarter)'!A:A,0),MATCH([1]TBMapping!O$3,'[1]TrialBalance (Quarter)'!$7:$7,0)),0)</f>
        <v>0</v>
      </c>
    </row>
    <row r="314" spans="1:14">
      <c r="B314" s="3">
        <v>132299</v>
      </c>
      <c r="C314" s="11" t="s">
        <v>288</v>
      </c>
      <c r="D314" s="11" t="s">
        <v>16</v>
      </c>
      <c r="E314" s="11"/>
      <c r="F314" s="5" t="e">
        <f>IF(DataExtraction="Manual",SUMIF('[1]TrialBalance (YTD)'!$C:$C,B314,'[1]TrialBalance (YTD)'!$E:$E),SUMIF('[1]TrialBalance (YTD)'!$G:$G,B314,'[1]TrialBalance (YTD)'!$I:$I))</f>
        <v>#VALUE!</v>
      </c>
      <c r="G314" s="5">
        <f>IFERROR(INDEX('[1]TrialBalance (YTD)'!$G:$S,MATCH([1]TBMapping!$C316,'[1]TrialBalance (YTD)'!G:G,0),MATCH([1]TBMapping!H$3,'[1]TrialBalance (YTD)'!$G$7:$Z$7,0)),0)</f>
        <v>0</v>
      </c>
      <c r="H314" s="5" t="e">
        <f>SUMIF('[1]TrialBalance (YTD)'!G:G,B314,'[1]TrialBalance (YTD)'!H:H)</f>
        <v>#VALUE!</v>
      </c>
      <c r="I314" s="5">
        <f>IFERROR(INDEX('[1]TrialBalance (YTD)'!$G:$S,MATCH([1]TBMapping!$C316,'[1]TrialBalance (YTD)'!G:G,0),MATCH([1]TBMapping!J$3,'[1]TrialBalance (YTD)'!$G$7:$Z$7,0)),0)</f>
        <v>0</v>
      </c>
      <c r="K314" s="5" t="e">
        <f>SUMIF('[1]TrialBalance (Quarter)'!$A:$A,B314,'[1]TrialBalance (Quarter)'!$B:$B)</f>
        <v>#VALUE!</v>
      </c>
      <c r="L314" s="5">
        <f>IFERROR(INDEX('[1]TrialBalance (Quarter)'!$A:$L,MATCH([1]TBMapping!$C316,'[1]TrialBalance (Quarter)'!A:A,0),MATCH([1]TBMapping!M$3,'[1]TrialBalance (Quarter)'!$7:$7,0)),0)</f>
        <v>0</v>
      </c>
      <c r="M314" s="5">
        <f>IFERROR(INDEX('[1]TrialBalance (Quarter)'!$A:$L,MATCH([1]TBMapping!$C316,'[1]TrialBalance (Quarter)'!A:A,0),MATCH([1]TBMapping!N$3,'[1]TrialBalance (Quarter)'!$7:$7,0)),0)</f>
        <v>0</v>
      </c>
      <c r="N314" s="5">
        <f>IFERROR(INDEX('[1]TrialBalance (Quarter)'!$A:$L,MATCH([1]TBMapping!$C316,'[1]TrialBalance (Quarter)'!A:A,0),MATCH([1]TBMapping!O$3,'[1]TrialBalance (Quarter)'!$7:$7,0)),0)</f>
        <v>0</v>
      </c>
    </row>
    <row r="315" spans="1:14">
      <c r="B315" s="3">
        <v>132300</v>
      </c>
      <c r="C315" s="10" t="s">
        <v>289</v>
      </c>
      <c r="D315" s="10" t="s">
        <v>5</v>
      </c>
      <c r="E315" s="10"/>
      <c r="F315" s="5" t="e">
        <f>IF(DataExtraction="Manual",SUMIF('[1]TrialBalance (YTD)'!$C:$C,B315,'[1]TrialBalance (YTD)'!$E:$E),SUMIF('[1]TrialBalance (YTD)'!$G:$G,B315,'[1]TrialBalance (YTD)'!$I:$I))</f>
        <v>#VALUE!</v>
      </c>
      <c r="G315" s="5">
        <f>IFERROR(INDEX('[1]TrialBalance (YTD)'!$G:$S,MATCH([1]TBMapping!$C317,'[1]TrialBalance (YTD)'!G:G,0),MATCH([1]TBMapping!H$3,'[1]TrialBalance (YTD)'!$G$7:$Z$7,0)),0)</f>
        <v>0</v>
      </c>
      <c r="H315" s="5" t="e">
        <f>SUMIF('[1]TrialBalance (YTD)'!G:G,B315,'[1]TrialBalance (YTD)'!H:H)</f>
        <v>#VALUE!</v>
      </c>
      <c r="I315" s="5">
        <f>IFERROR(INDEX('[1]TrialBalance (YTD)'!$G:$S,MATCH([1]TBMapping!$C317,'[1]TrialBalance (YTD)'!G:G,0),MATCH([1]TBMapping!J$3,'[1]TrialBalance (YTD)'!$G$7:$Z$7,0)),0)</f>
        <v>0</v>
      </c>
      <c r="K315" s="5" t="e">
        <f>SUMIF('[1]TrialBalance (Quarter)'!$A:$A,B315,'[1]TrialBalance (Quarter)'!$B:$B)</f>
        <v>#VALUE!</v>
      </c>
      <c r="L315" s="5">
        <f>IFERROR(INDEX('[1]TrialBalance (Quarter)'!$A:$L,MATCH([1]TBMapping!$C317,'[1]TrialBalance (Quarter)'!A:A,0),MATCH([1]TBMapping!M$3,'[1]TrialBalance (Quarter)'!$7:$7,0)),0)</f>
        <v>0</v>
      </c>
      <c r="M315" s="5">
        <f>IFERROR(INDEX('[1]TrialBalance (Quarter)'!$A:$L,MATCH([1]TBMapping!$C317,'[1]TrialBalance (Quarter)'!A:A,0),MATCH([1]TBMapping!N$3,'[1]TrialBalance (Quarter)'!$7:$7,0)),0)</f>
        <v>0</v>
      </c>
      <c r="N315" s="5">
        <f>IFERROR(INDEX('[1]TrialBalance (Quarter)'!$A:$L,MATCH([1]TBMapping!$C317,'[1]TrialBalance (Quarter)'!A:A,0),MATCH([1]TBMapping!O$3,'[1]TrialBalance (Quarter)'!$7:$7,0)),0)</f>
        <v>0</v>
      </c>
    </row>
    <row r="316" spans="1:14">
      <c r="A316" s="2">
        <v>107</v>
      </c>
      <c r="B316" s="3">
        <v>132310</v>
      </c>
      <c r="C316" s="11" t="s">
        <v>289</v>
      </c>
      <c r="D316" s="11" t="s">
        <v>11</v>
      </c>
      <c r="E316" s="11"/>
      <c r="F316" s="5" t="e">
        <f>IF(DataExtraction="Manual",SUMIF('[1]TrialBalance (YTD)'!$C:$C,B316,'[1]TrialBalance (YTD)'!$E:$E),SUMIF('[1]TrialBalance (YTD)'!$G:$G,B316,'[1]TrialBalance (YTD)'!$I:$I))</f>
        <v>#VALUE!</v>
      </c>
      <c r="G316" s="5">
        <f>IFERROR(INDEX('[1]TrialBalance (YTD)'!$G:$S,MATCH([1]TBMapping!$C318,'[1]TrialBalance (YTD)'!G:G,0),MATCH([1]TBMapping!H$3,'[1]TrialBalance (YTD)'!$G$7:$Z$7,0)),0)</f>
        <v>0</v>
      </c>
      <c r="H316" s="5" t="e">
        <f>SUMIF('[1]TrialBalance (YTD)'!G:G,B316,'[1]TrialBalance (YTD)'!H:H)</f>
        <v>#VALUE!</v>
      </c>
      <c r="I316" s="5">
        <f>IFERROR(INDEX('[1]TrialBalance (YTD)'!$G:$S,MATCH([1]TBMapping!$C318,'[1]TrialBalance (YTD)'!G:G,0),MATCH([1]TBMapping!J$3,'[1]TrialBalance (YTD)'!$G$7:$Z$7,0)),0)</f>
        <v>0</v>
      </c>
      <c r="K316" s="5" t="e">
        <f>SUMIF('[1]TrialBalance (Quarter)'!$A:$A,B316,'[1]TrialBalance (Quarter)'!$B:$B)</f>
        <v>#VALUE!</v>
      </c>
      <c r="L316" s="5">
        <f>IFERROR(INDEX('[1]TrialBalance (Quarter)'!$A:$L,MATCH([1]TBMapping!$C318,'[1]TrialBalance (Quarter)'!A:A,0),MATCH([1]TBMapping!M$3,'[1]TrialBalance (Quarter)'!$7:$7,0)),0)</f>
        <v>0</v>
      </c>
      <c r="M316" s="5">
        <f>IFERROR(INDEX('[1]TrialBalance (Quarter)'!$A:$L,MATCH([1]TBMapping!$C318,'[1]TrialBalance (Quarter)'!A:A,0),MATCH([1]TBMapping!N$3,'[1]TrialBalance (Quarter)'!$7:$7,0)),0)</f>
        <v>0</v>
      </c>
      <c r="N316" s="5">
        <f>IFERROR(INDEX('[1]TrialBalance (Quarter)'!$A:$L,MATCH([1]TBMapping!$C318,'[1]TrialBalance (Quarter)'!A:A,0),MATCH([1]TBMapping!O$3,'[1]TrialBalance (Quarter)'!$7:$7,0)),0)</f>
        <v>0</v>
      </c>
    </row>
    <row r="317" spans="1:14">
      <c r="B317" s="3">
        <v>132399</v>
      </c>
      <c r="C317" s="10" t="s">
        <v>290</v>
      </c>
      <c r="D317" s="10" t="s">
        <v>16</v>
      </c>
      <c r="E317" s="10"/>
      <c r="F317" s="5" t="e">
        <f>IF(DataExtraction="Manual",SUMIF('[1]TrialBalance (YTD)'!$C:$C,B317,'[1]TrialBalance (YTD)'!$E:$E),SUMIF('[1]TrialBalance (YTD)'!$G:$G,B317,'[1]TrialBalance (YTD)'!$I:$I))</f>
        <v>#VALUE!</v>
      </c>
      <c r="G317" s="5">
        <f>IFERROR(INDEX('[1]TrialBalance (YTD)'!$G:$S,MATCH([1]TBMapping!$C319,'[1]TrialBalance (YTD)'!G:G,0),MATCH([1]TBMapping!H$3,'[1]TrialBalance (YTD)'!$G$7:$Z$7,0)),0)</f>
        <v>0</v>
      </c>
      <c r="H317" s="5" t="e">
        <f>SUMIF('[1]TrialBalance (YTD)'!G:G,B317,'[1]TrialBalance (YTD)'!H:H)</f>
        <v>#VALUE!</v>
      </c>
      <c r="I317" s="5">
        <f>IFERROR(INDEX('[1]TrialBalance (YTD)'!$G:$S,MATCH([1]TBMapping!$C319,'[1]TrialBalance (YTD)'!G:G,0),MATCH([1]TBMapping!J$3,'[1]TrialBalance (YTD)'!$G$7:$Z$7,0)),0)</f>
        <v>0</v>
      </c>
      <c r="K317" s="5" t="e">
        <f>SUMIF('[1]TrialBalance (Quarter)'!$A:$A,B317,'[1]TrialBalance (Quarter)'!$B:$B)</f>
        <v>#VALUE!</v>
      </c>
      <c r="L317" s="5">
        <f>IFERROR(INDEX('[1]TrialBalance (Quarter)'!$A:$L,MATCH([1]TBMapping!$C319,'[1]TrialBalance (Quarter)'!A:A,0),MATCH([1]TBMapping!M$3,'[1]TrialBalance (Quarter)'!$7:$7,0)),0)</f>
        <v>0</v>
      </c>
      <c r="M317" s="5">
        <f>IFERROR(INDEX('[1]TrialBalance (Quarter)'!$A:$L,MATCH([1]TBMapping!$C319,'[1]TrialBalance (Quarter)'!A:A,0),MATCH([1]TBMapping!N$3,'[1]TrialBalance (Quarter)'!$7:$7,0)),0)</f>
        <v>0</v>
      </c>
      <c r="N317" s="5">
        <f>IFERROR(INDEX('[1]TrialBalance (Quarter)'!$A:$L,MATCH([1]TBMapping!$C319,'[1]TrialBalance (Quarter)'!A:A,0),MATCH([1]TBMapping!O$3,'[1]TrialBalance (Quarter)'!$7:$7,0)),0)</f>
        <v>0</v>
      </c>
    </row>
    <row r="318" spans="1:14">
      <c r="B318" s="3">
        <v>132400</v>
      </c>
      <c r="C318" s="11" t="s">
        <v>291</v>
      </c>
      <c r="D318" s="11" t="s">
        <v>5</v>
      </c>
      <c r="E318" s="11"/>
      <c r="F318" s="5" t="e">
        <f>IF(DataExtraction="Manual",SUMIF('[1]TrialBalance (YTD)'!$C:$C,B318,'[1]TrialBalance (YTD)'!$E:$E),SUMIF('[1]TrialBalance (YTD)'!$G:$G,B318,'[1]TrialBalance (YTD)'!$I:$I))</f>
        <v>#VALUE!</v>
      </c>
      <c r="G318" s="5">
        <f>IFERROR(INDEX('[1]TrialBalance (YTD)'!$G:$S,MATCH([1]TBMapping!$C320,'[1]TrialBalance (YTD)'!G:G,0),MATCH([1]TBMapping!H$3,'[1]TrialBalance (YTD)'!$G$7:$Z$7,0)),0)</f>
        <v>0</v>
      </c>
      <c r="H318" s="5" t="e">
        <f>SUMIF('[1]TrialBalance (YTD)'!G:G,B318,'[1]TrialBalance (YTD)'!H:H)</f>
        <v>#VALUE!</v>
      </c>
      <c r="I318" s="5">
        <f>IFERROR(INDEX('[1]TrialBalance (YTD)'!$G:$S,MATCH([1]TBMapping!$C320,'[1]TrialBalance (YTD)'!G:G,0),MATCH([1]TBMapping!J$3,'[1]TrialBalance (YTD)'!$G$7:$Z$7,0)),0)</f>
        <v>0</v>
      </c>
      <c r="K318" s="5" t="e">
        <f>SUMIF('[1]TrialBalance (Quarter)'!$A:$A,B318,'[1]TrialBalance (Quarter)'!$B:$B)</f>
        <v>#VALUE!</v>
      </c>
      <c r="L318" s="5">
        <f>IFERROR(INDEX('[1]TrialBalance (Quarter)'!$A:$L,MATCH([1]TBMapping!$C320,'[1]TrialBalance (Quarter)'!A:A,0),MATCH([1]TBMapping!M$3,'[1]TrialBalance (Quarter)'!$7:$7,0)),0)</f>
        <v>0</v>
      </c>
      <c r="M318" s="5">
        <f>IFERROR(INDEX('[1]TrialBalance (Quarter)'!$A:$L,MATCH([1]TBMapping!$C320,'[1]TrialBalance (Quarter)'!A:A,0),MATCH([1]TBMapping!N$3,'[1]TrialBalance (Quarter)'!$7:$7,0)),0)</f>
        <v>0</v>
      </c>
      <c r="N318" s="5">
        <f>IFERROR(INDEX('[1]TrialBalance (Quarter)'!$A:$L,MATCH([1]TBMapping!$C320,'[1]TrialBalance (Quarter)'!A:A,0),MATCH([1]TBMapping!O$3,'[1]TrialBalance (Quarter)'!$7:$7,0)),0)</f>
        <v>0</v>
      </c>
    </row>
    <row r="319" spans="1:14">
      <c r="A319" s="2">
        <v>107</v>
      </c>
      <c r="B319" s="3">
        <v>132410</v>
      </c>
      <c r="C319" s="10" t="s">
        <v>291</v>
      </c>
      <c r="D319" s="10" t="s">
        <v>11</v>
      </c>
      <c r="E319" s="10"/>
      <c r="F319" s="5" t="e">
        <f>IF(DataExtraction="Manual",SUMIF('[1]TrialBalance (YTD)'!$C:$C,B319,'[1]TrialBalance (YTD)'!$E:$E),SUMIF('[1]TrialBalance (YTD)'!$G:$G,B319,'[1]TrialBalance (YTD)'!$I:$I))</f>
        <v>#VALUE!</v>
      </c>
      <c r="G319" s="5">
        <f>IFERROR(INDEX('[1]TrialBalance (YTD)'!$G:$S,MATCH([1]TBMapping!$C321,'[1]TrialBalance (YTD)'!G:G,0),MATCH([1]TBMapping!H$3,'[1]TrialBalance (YTD)'!$G$7:$Z$7,0)),0)</f>
        <v>0</v>
      </c>
      <c r="H319" s="5" t="e">
        <f>SUMIF('[1]TrialBalance (YTD)'!G:G,B319,'[1]TrialBalance (YTD)'!H:H)</f>
        <v>#VALUE!</v>
      </c>
      <c r="I319" s="5">
        <f>IFERROR(INDEX('[1]TrialBalance (YTD)'!$G:$S,MATCH([1]TBMapping!$C321,'[1]TrialBalance (YTD)'!G:G,0),MATCH([1]TBMapping!J$3,'[1]TrialBalance (YTD)'!$G$7:$Z$7,0)),0)</f>
        <v>0</v>
      </c>
      <c r="K319" s="5" t="e">
        <f>SUMIF('[1]TrialBalance (Quarter)'!$A:$A,B319,'[1]TrialBalance (Quarter)'!$B:$B)</f>
        <v>#VALUE!</v>
      </c>
      <c r="L319" s="5">
        <f>IFERROR(INDEX('[1]TrialBalance (Quarter)'!$A:$L,MATCH([1]TBMapping!$C321,'[1]TrialBalance (Quarter)'!A:A,0),MATCH([1]TBMapping!M$3,'[1]TrialBalance (Quarter)'!$7:$7,0)),0)</f>
        <v>0</v>
      </c>
      <c r="M319" s="5">
        <f>IFERROR(INDEX('[1]TrialBalance (Quarter)'!$A:$L,MATCH([1]TBMapping!$C321,'[1]TrialBalance (Quarter)'!A:A,0),MATCH([1]TBMapping!N$3,'[1]TrialBalance (Quarter)'!$7:$7,0)),0)</f>
        <v>0</v>
      </c>
      <c r="N319" s="5">
        <f>IFERROR(INDEX('[1]TrialBalance (Quarter)'!$A:$L,MATCH([1]TBMapping!$C321,'[1]TrialBalance (Quarter)'!A:A,0),MATCH([1]TBMapping!O$3,'[1]TrialBalance (Quarter)'!$7:$7,0)),0)</f>
        <v>0</v>
      </c>
    </row>
    <row r="320" spans="1:14">
      <c r="B320" s="3">
        <v>132999</v>
      </c>
      <c r="C320" s="11" t="s">
        <v>292</v>
      </c>
      <c r="D320" s="11" t="s">
        <v>16</v>
      </c>
      <c r="E320" s="11"/>
      <c r="F320" s="5" t="e">
        <f>IF(DataExtraction="Manual",SUMIF('[1]TrialBalance (YTD)'!$C:$C,B320,'[1]TrialBalance (YTD)'!$E:$E),SUMIF('[1]TrialBalance (YTD)'!$G:$G,B320,'[1]TrialBalance (YTD)'!$I:$I))</f>
        <v>#VALUE!</v>
      </c>
      <c r="G320" s="5">
        <f>IFERROR(INDEX('[1]TrialBalance (YTD)'!$G:$S,MATCH([1]TBMapping!$C322,'[1]TrialBalance (YTD)'!G:G,0),MATCH([1]TBMapping!H$3,'[1]TrialBalance (YTD)'!$G$7:$Z$7,0)),0)</f>
        <v>0</v>
      </c>
      <c r="H320" s="5" t="e">
        <f>SUMIF('[1]TrialBalance (YTD)'!G:G,B320,'[1]TrialBalance (YTD)'!H:H)</f>
        <v>#VALUE!</v>
      </c>
      <c r="I320" s="5">
        <f>IFERROR(INDEX('[1]TrialBalance (YTD)'!$G:$S,MATCH([1]TBMapping!$C322,'[1]TrialBalance (YTD)'!G:G,0),MATCH([1]TBMapping!J$3,'[1]TrialBalance (YTD)'!$G$7:$Z$7,0)),0)</f>
        <v>0</v>
      </c>
      <c r="K320" s="5" t="e">
        <f>SUMIF('[1]TrialBalance (Quarter)'!$A:$A,B320,'[1]TrialBalance (Quarter)'!$B:$B)</f>
        <v>#VALUE!</v>
      </c>
      <c r="L320" s="5">
        <f>IFERROR(INDEX('[1]TrialBalance (Quarter)'!$A:$L,MATCH([1]TBMapping!$C322,'[1]TrialBalance (Quarter)'!A:A,0),MATCH([1]TBMapping!M$3,'[1]TrialBalance (Quarter)'!$7:$7,0)),0)</f>
        <v>0</v>
      </c>
      <c r="M320" s="5">
        <f>IFERROR(INDEX('[1]TrialBalance (Quarter)'!$A:$L,MATCH([1]TBMapping!$C322,'[1]TrialBalance (Quarter)'!A:A,0),MATCH([1]TBMapping!N$3,'[1]TrialBalance (Quarter)'!$7:$7,0)),0)</f>
        <v>0</v>
      </c>
      <c r="N320" s="5">
        <f>IFERROR(INDEX('[1]TrialBalance (Quarter)'!$A:$L,MATCH([1]TBMapping!$C322,'[1]TrialBalance (Quarter)'!A:A,0),MATCH([1]TBMapping!O$3,'[1]TrialBalance (Quarter)'!$7:$7,0)),0)</f>
        <v>0</v>
      </c>
    </row>
    <row r="321" spans="1:14">
      <c r="B321" s="3">
        <v>133000</v>
      </c>
      <c r="C321" s="10" t="s">
        <v>293</v>
      </c>
      <c r="D321" s="10" t="s">
        <v>5</v>
      </c>
      <c r="E321" s="10"/>
      <c r="F321" s="5" t="e">
        <f>IF(DataExtraction="Manual",SUMIF('[1]TrialBalance (YTD)'!$C:$C,B321,'[1]TrialBalance (YTD)'!$E:$E),SUMIF('[1]TrialBalance (YTD)'!$G:$G,B321,'[1]TrialBalance (YTD)'!$I:$I))</f>
        <v>#VALUE!</v>
      </c>
      <c r="G321" s="5">
        <f>IFERROR(INDEX('[1]TrialBalance (YTD)'!$G:$S,MATCH([1]TBMapping!$C323,'[1]TrialBalance (YTD)'!G:G,0),MATCH([1]TBMapping!H$3,'[1]TrialBalance (YTD)'!$G$7:$Z$7,0)),0)</f>
        <v>0</v>
      </c>
      <c r="H321" s="5" t="e">
        <f>SUMIF('[1]TrialBalance (YTD)'!G:G,B321,'[1]TrialBalance (YTD)'!H:H)</f>
        <v>#VALUE!</v>
      </c>
      <c r="I321" s="5">
        <f>IFERROR(INDEX('[1]TrialBalance (YTD)'!$G:$S,MATCH([1]TBMapping!$C323,'[1]TrialBalance (YTD)'!G:G,0),MATCH([1]TBMapping!J$3,'[1]TrialBalance (YTD)'!$G$7:$Z$7,0)),0)</f>
        <v>0</v>
      </c>
      <c r="K321" s="5" t="e">
        <f>SUMIF('[1]TrialBalance (Quarter)'!$A:$A,B321,'[1]TrialBalance (Quarter)'!$B:$B)</f>
        <v>#VALUE!</v>
      </c>
      <c r="L321" s="5">
        <f>IFERROR(INDEX('[1]TrialBalance (Quarter)'!$A:$L,MATCH([1]TBMapping!$C323,'[1]TrialBalance (Quarter)'!A:A,0),MATCH([1]TBMapping!M$3,'[1]TrialBalance (Quarter)'!$7:$7,0)),0)</f>
        <v>0</v>
      </c>
      <c r="M321" s="5">
        <f>IFERROR(INDEX('[1]TrialBalance (Quarter)'!$A:$L,MATCH([1]TBMapping!$C323,'[1]TrialBalance (Quarter)'!A:A,0),MATCH([1]TBMapping!N$3,'[1]TrialBalance (Quarter)'!$7:$7,0)),0)</f>
        <v>0</v>
      </c>
      <c r="N321" s="5">
        <f>IFERROR(INDEX('[1]TrialBalance (Quarter)'!$A:$L,MATCH([1]TBMapping!$C323,'[1]TrialBalance (Quarter)'!A:A,0),MATCH([1]TBMapping!O$3,'[1]TrialBalance (Quarter)'!$7:$7,0)),0)</f>
        <v>0</v>
      </c>
    </row>
    <row r="322" spans="1:14">
      <c r="A322" s="2">
        <v>107</v>
      </c>
      <c r="B322" s="3">
        <v>133110</v>
      </c>
      <c r="C322" s="11" t="s">
        <v>250</v>
      </c>
      <c r="D322" s="11" t="s">
        <v>11</v>
      </c>
      <c r="E322" s="11"/>
      <c r="F322" s="5" t="e">
        <f>IF(DataExtraction="Manual",SUMIF('[1]TrialBalance (YTD)'!$C:$C,B322,'[1]TrialBalance (YTD)'!$E:$E),SUMIF('[1]TrialBalance (YTD)'!$G:$G,B322,'[1]TrialBalance (YTD)'!$I:$I))</f>
        <v>#VALUE!</v>
      </c>
      <c r="G322" s="5">
        <f>IFERROR(INDEX('[1]TrialBalance (YTD)'!$G:$S,MATCH([1]TBMapping!$C324,'[1]TrialBalance (YTD)'!G:G,0),MATCH([1]TBMapping!H$3,'[1]TrialBalance (YTD)'!$G$7:$Z$7,0)),0)</f>
        <v>0</v>
      </c>
      <c r="H322" s="5" t="e">
        <f>SUMIF('[1]TrialBalance (YTD)'!G:G,B322,'[1]TrialBalance (YTD)'!H:H)</f>
        <v>#VALUE!</v>
      </c>
      <c r="I322" s="5">
        <f>IFERROR(INDEX('[1]TrialBalance (YTD)'!$G:$S,MATCH([1]TBMapping!$C324,'[1]TrialBalance (YTD)'!G:G,0),MATCH([1]TBMapping!J$3,'[1]TrialBalance (YTD)'!$G$7:$Z$7,0)),0)</f>
        <v>0</v>
      </c>
      <c r="K322" s="5" t="e">
        <f>SUMIF('[1]TrialBalance (Quarter)'!$A:$A,B322,'[1]TrialBalance (Quarter)'!$B:$B)</f>
        <v>#VALUE!</v>
      </c>
      <c r="L322" s="5">
        <f>IFERROR(INDEX('[1]TrialBalance (Quarter)'!$A:$L,MATCH([1]TBMapping!$C324,'[1]TrialBalance (Quarter)'!A:A,0),MATCH([1]TBMapping!M$3,'[1]TrialBalance (Quarter)'!$7:$7,0)),0)</f>
        <v>0</v>
      </c>
      <c r="M322" s="5">
        <f>IFERROR(INDEX('[1]TrialBalance (Quarter)'!$A:$L,MATCH([1]TBMapping!$C324,'[1]TrialBalance (Quarter)'!A:A,0),MATCH([1]TBMapping!N$3,'[1]TrialBalance (Quarter)'!$7:$7,0)),0)</f>
        <v>0</v>
      </c>
      <c r="N322" s="5">
        <f>IFERROR(INDEX('[1]TrialBalance (Quarter)'!$A:$L,MATCH([1]TBMapping!$C324,'[1]TrialBalance (Quarter)'!A:A,0),MATCH([1]TBMapping!O$3,'[1]TrialBalance (Quarter)'!$7:$7,0)),0)</f>
        <v>0</v>
      </c>
    </row>
    <row r="323" spans="1:14">
      <c r="A323" s="2">
        <v>107</v>
      </c>
      <c r="B323" s="3">
        <v>133120</v>
      </c>
      <c r="C323" s="10" t="s">
        <v>294</v>
      </c>
      <c r="D323" s="10" t="s">
        <v>11</v>
      </c>
      <c r="E323" s="10"/>
      <c r="F323" s="5" t="e">
        <f>IF(DataExtraction="Manual",SUMIF('[1]TrialBalance (YTD)'!$C:$C,B323,'[1]TrialBalance (YTD)'!$E:$E),SUMIF('[1]TrialBalance (YTD)'!$G:$G,B323,'[1]TrialBalance (YTD)'!$I:$I))</f>
        <v>#VALUE!</v>
      </c>
      <c r="G323" s="5">
        <f>IFERROR(INDEX('[1]TrialBalance (YTD)'!$G:$S,MATCH([1]TBMapping!$C325,'[1]TrialBalance (YTD)'!G:G,0),MATCH([1]TBMapping!H$3,'[1]TrialBalance (YTD)'!$G$7:$Z$7,0)),0)</f>
        <v>0</v>
      </c>
      <c r="H323" s="5" t="e">
        <f>SUMIF('[1]TrialBalance (YTD)'!G:G,B323,'[1]TrialBalance (YTD)'!H:H)</f>
        <v>#VALUE!</v>
      </c>
      <c r="I323" s="5">
        <f>IFERROR(INDEX('[1]TrialBalance (YTD)'!$G:$S,MATCH([1]TBMapping!$C325,'[1]TrialBalance (YTD)'!G:G,0),MATCH([1]TBMapping!J$3,'[1]TrialBalance (YTD)'!$G$7:$Z$7,0)),0)</f>
        <v>0</v>
      </c>
      <c r="K323" s="5" t="e">
        <f>SUMIF('[1]TrialBalance (Quarter)'!$A:$A,B323,'[1]TrialBalance (Quarter)'!$B:$B)</f>
        <v>#VALUE!</v>
      </c>
      <c r="L323" s="5">
        <f>IFERROR(INDEX('[1]TrialBalance (Quarter)'!$A:$L,MATCH([1]TBMapping!$C325,'[1]TrialBalance (Quarter)'!A:A,0),MATCH([1]TBMapping!M$3,'[1]TrialBalance (Quarter)'!$7:$7,0)),0)</f>
        <v>0</v>
      </c>
      <c r="M323" s="5">
        <f>IFERROR(INDEX('[1]TrialBalance (Quarter)'!$A:$L,MATCH([1]TBMapping!$C325,'[1]TrialBalance (Quarter)'!A:A,0),MATCH([1]TBMapping!N$3,'[1]TrialBalance (Quarter)'!$7:$7,0)),0)</f>
        <v>0</v>
      </c>
      <c r="N323" s="5">
        <f>IFERROR(INDEX('[1]TrialBalance (Quarter)'!$A:$L,MATCH([1]TBMapping!$C325,'[1]TrialBalance (Quarter)'!A:A,0),MATCH([1]TBMapping!O$3,'[1]TrialBalance (Quarter)'!$7:$7,0)),0)</f>
        <v>0</v>
      </c>
    </row>
    <row r="324" spans="1:14">
      <c r="A324" s="2">
        <v>107</v>
      </c>
      <c r="B324" s="3">
        <v>133130</v>
      </c>
      <c r="C324" s="11" t="s">
        <v>295</v>
      </c>
      <c r="D324" s="11" t="s">
        <v>11</v>
      </c>
      <c r="E324" s="11"/>
      <c r="F324" s="5" t="e">
        <f>IF(DataExtraction="Manual",SUMIF('[1]TrialBalance (YTD)'!$C:$C,B324,'[1]TrialBalance (YTD)'!$E:$E),SUMIF('[1]TrialBalance (YTD)'!$G:$G,B324,'[1]TrialBalance (YTD)'!$I:$I))</f>
        <v>#VALUE!</v>
      </c>
      <c r="G324" s="5">
        <f>IFERROR(INDEX('[1]TrialBalance (YTD)'!$G:$S,MATCH([1]TBMapping!$C326,'[1]TrialBalance (YTD)'!G:G,0),MATCH([1]TBMapping!H$3,'[1]TrialBalance (YTD)'!$G$7:$Z$7,0)),0)</f>
        <v>0</v>
      </c>
      <c r="H324" s="5" t="e">
        <f>SUMIF('[1]TrialBalance (YTD)'!G:G,B324,'[1]TrialBalance (YTD)'!H:H)</f>
        <v>#VALUE!</v>
      </c>
      <c r="I324" s="5">
        <f>IFERROR(INDEX('[1]TrialBalance (YTD)'!$G:$S,MATCH([1]TBMapping!$C326,'[1]TrialBalance (YTD)'!G:G,0),MATCH([1]TBMapping!J$3,'[1]TrialBalance (YTD)'!$G$7:$Z$7,0)),0)</f>
        <v>0</v>
      </c>
      <c r="K324" s="5" t="e">
        <f>SUMIF('[1]TrialBalance (Quarter)'!$A:$A,B324,'[1]TrialBalance (Quarter)'!$B:$B)</f>
        <v>#VALUE!</v>
      </c>
      <c r="L324" s="5">
        <f>IFERROR(INDEX('[1]TrialBalance (Quarter)'!$A:$L,MATCH([1]TBMapping!$C326,'[1]TrialBalance (Quarter)'!A:A,0),MATCH([1]TBMapping!M$3,'[1]TrialBalance (Quarter)'!$7:$7,0)),0)</f>
        <v>0</v>
      </c>
      <c r="M324" s="5">
        <f>IFERROR(INDEX('[1]TrialBalance (Quarter)'!$A:$L,MATCH([1]TBMapping!$C326,'[1]TrialBalance (Quarter)'!A:A,0),MATCH([1]TBMapping!N$3,'[1]TrialBalance (Quarter)'!$7:$7,0)),0)</f>
        <v>0</v>
      </c>
      <c r="N324" s="5">
        <f>IFERROR(INDEX('[1]TrialBalance (Quarter)'!$A:$L,MATCH([1]TBMapping!$C326,'[1]TrialBalance (Quarter)'!A:A,0),MATCH([1]TBMapping!O$3,'[1]TrialBalance (Quarter)'!$7:$7,0)),0)</f>
        <v>0</v>
      </c>
    </row>
    <row r="325" spans="1:14">
      <c r="A325" s="2">
        <v>107</v>
      </c>
      <c r="B325" s="3">
        <v>133140</v>
      </c>
      <c r="C325" s="10" t="s">
        <v>296</v>
      </c>
      <c r="D325" s="10" t="s">
        <v>11</v>
      </c>
      <c r="E325" s="10"/>
      <c r="F325" s="5" t="e">
        <f>IF(DataExtraction="Manual",SUMIF('[1]TrialBalance (YTD)'!$C:$C,B325,'[1]TrialBalance (YTD)'!$E:$E),SUMIF('[1]TrialBalance (YTD)'!$G:$G,B325,'[1]TrialBalance (YTD)'!$I:$I))</f>
        <v>#VALUE!</v>
      </c>
      <c r="G325" s="5">
        <f>IFERROR(INDEX('[1]TrialBalance (YTD)'!$G:$S,MATCH([1]TBMapping!$C327,'[1]TrialBalance (YTD)'!G:G,0),MATCH([1]TBMapping!H$3,'[1]TrialBalance (YTD)'!$G$7:$Z$7,0)),0)</f>
        <v>0</v>
      </c>
      <c r="H325" s="5" t="e">
        <f>SUMIF('[1]TrialBalance (YTD)'!G:G,B325,'[1]TrialBalance (YTD)'!H:H)</f>
        <v>#VALUE!</v>
      </c>
      <c r="I325" s="5">
        <f>IFERROR(INDEX('[1]TrialBalance (YTD)'!$G:$S,MATCH([1]TBMapping!$C327,'[1]TrialBalance (YTD)'!G:G,0),MATCH([1]TBMapping!J$3,'[1]TrialBalance (YTD)'!$G$7:$Z$7,0)),0)</f>
        <v>0</v>
      </c>
      <c r="K325" s="5" t="e">
        <f>SUMIF('[1]TrialBalance (Quarter)'!$A:$A,B325,'[1]TrialBalance (Quarter)'!$B:$B)</f>
        <v>#VALUE!</v>
      </c>
      <c r="L325" s="5">
        <f>IFERROR(INDEX('[1]TrialBalance (Quarter)'!$A:$L,MATCH([1]TBMapping!$C327,'[1]TrialBalance (Quarter)'!A:A,0),MATCH([1]TBMapping!M$3,'[1]TrialBalance (Quarter)'!$7:$7,0)),0)</f>
        <v>0</v>
      </c>
      <c r="M325" s="5">
        <f>IFERROR(INDEX('[1]TrialBalance (Quarter)'!$A:$L,MATCH([1]TBMapping!$C327,'[1]TrialBalance (Quarter)'!A:A,0),MATCH([1]TBMapping!N$3,'[1]TrialBalance (Quarter)'!$7:$7,0)),0)</f>
        <v>0</v>
      </c>
      <c r="N325" s="5">
        <f>IFERROR(INDEX('[1]TrialBalance (Quarter)'!$A:$L,MATCH([1]TBMapping!$C327,'[1]TrialBalance (Quarter)'!A:A,0),MATCH([1]TBMapping!O$3,'[1]TrialBalance (Quarter)'!$7:$7,0)),0)</f>
        <v>0</v>
      </c>
    </row>
    <row r="326" spans="1:14">
      <c r="A326" s="2">
        <v>107</v>
      </c>
      <c r="B326" s="3">
        <v>133150</v>
      </c>
      <c r="C326" s="11" t="s">
        <v>297</v>
      </c>
      <c r="D326" s="11" t="s">
        <v>11</v>
      </c>
      <c r="E326" s="11"/>
      <c r="F326" s="5" t="e">
        <f>IF(DataExtraction="Manual",SUMIF('[1]TrialBalance (YTD)'!$C:$C,B326,'[1]TrialBalance (YTD)'!$E:$E),SUMIF('[1]TrialBalance (YTD)'!$G:$G,B326,'[1]TrialBalance (YTD)'!$I:$I))</f>
        <v>#VALUE!</v>
      </c>
      <c r="G326" s="5">
        <f>IFERROR(INDEX('[1]TrialBalance (YTD)'!$G:$S,MATCH([1]TBMapping!$C328,'[1]TrialBalance (YTD)'!G:G,0),MATCH([1]TBMapping!H$3,'[1]TrialBalance (YTD)'!$G$7:$Z$7,0)),0)</f>
        <v>0</v>
      </c>
      <c r="H326" s="5" t="e">
        <f>SUMIF('[1]TrialBalance (YTD)'!G:G,B326,'[1]TrialBalance (YTD)'!H:H)</f>
        <v>#VALUE!</v>
      </c>
      <c r="I326" s="5">
        <f>IFERROR(INDEX('[1]TrialBalance (YTD)'!$G:$S,MATCH([1]TBMapping!$C328,'[1]TrialBalance (YTD)'!G:G,0),MATCH([1]TBMapping!J$3,'[1]TrialBalance (YTD)'!$G$7:$Z$7,0)),0)</f>
        <v>0</v>
      </c>
      <c r="K326" s="5" t="e">
        <f>SUMIF('[1]TrialBalance (Quarter)'!$A:$A,B326,'[1]TrialBalance (Quarter)'!$B:$B)</f>
        <v>#VALUE!</v>
      </c>
      <c r="L326" s="5">
        <f>IFERROR(INDEX('[1]TrialBalance (Quarter)'!$A:$L,MATCH([1]TBMapping!$C328,'[1]TrialBalance (Quarter)'!A:A,0),MATCH([1]TBMapping!M$3,'[1]TrialBalance (Quarter)'!$7:$7,0)),0)</f>
        <v>0</v>
      </c>
      <c r="M326" s="5">
        <f>IFERROR(INDEX('[1]TrialBalance (Quarter)'!$A:$L,MATCH([1]TBMapping!$C328,'[1]TrialBalance (Quarter)'!A:A,0),MATCH([1]TBMapping!N$3,'[1]TrialBalance (Quarter)'!$7:$7,0)),0)</f>
        <v>0</v>
      </c>
      <c r="N326" s="5">
        <f>IFERROR(INDEX('[1]TrialBalance (Quarter)'!$A:$L,MATCH([1]TBMapping!$C328,'[1]TrialBalance (Quarter)'!A:A,0),MATCH([1]TBMapping!O$3,'[1]TrialBalance (Quarter)'!$7:$7,0)),0)</f>
        <v>0</v>
      </c>
    </row>
    <row r="327" spans="1:14">
      <c r="A327" s="2">
        <v>107</v>
      </c>
      <c r="B327" s="3">
        <v>133160</v>
      </c>
      <c r="C327" s="10" t="s">
        <v>298</v>
      </c>
      <c r="D327" s="10" t="s">
        <v>11</v>
      </c>
      <c r="E327" s="10"/>
      <c r="F327" s="5" t="e">
        <f>IF(DataExtraction="Manual",SUMIF('[1]TrialBalance (YTD)'!$C:$C,B327,'[1]TrialBalance (YTD)'!$E:$E),SUMIF('[1]TrialBalance (YTD)'!$G:$G,B327,'[1]TrialBalance (YTD)'!$I:$I))</f>
        <v>#VALUE!</v>
      </c>
      <c r="G327" s="5">
        <f>IFERROR(INDEX('[1]TrialBalance (YTD)'!$G:$S,MATCH([1]TBMapping!$C329,'[1]TrialBalance (YTD)'!G:G,0),MATCH([1]TBMapping!H$3,'[1]TrialBalance (YTD)'!$G$7:$Z$7,0)),0)</f>
        <v>0</v>
      </c>
      <c r="H327" s="5" t="e">
        <f>SUMIF('[1]TrialBalance (YTD)'!G:G,B327,'[1]TrialBalance (YTD)'!H:H)</f>
        <v>#VALUE!</v>
      </c>
      <c r="I327" s="5">
        <f>IFERROR(INDEX('[1]TrialBalance (YTD)'!$G:$S,MATCH([1]TBMapping!$C329,'[1]TrialBalance (YTD)'!G:G,0),MATCH([1]TBMapping!J$3,'[1]TrialBalance (YTD)'!$G$7:$Z$7,0)),0)</f>
        <v>0</v>
      </c>
      <c r="K327" s="5" t="e">
        <f>SUMIF('[1]TrialBalance (Quarter)'!$A:$A,B327,'[1]TrialBalance (Quarter)'!$B:$B)</f>
        <v>#VALUE!</v>
      </c>
      <c r="L327" s="5">
        <f>IFERROR(INDEX('[1]TrialBalance (Quarter)'!$A:$L,MATCH([1]TBMapping!$C329,'[1]TrialBalance (Quarter)'!A:A,0),MATCH([1]TBMapping!M$3,'[1]TrialBalance (Quarter)'!$7:$7,0)),0)</f>
        <v>0</v>
      </c>
      <c r="M327" s="5">
        <f>IFERROR(INDEX('[1]TrialBalance (Quarter)'!$A:$L,MATCH([1]TBMapping!$C329,'[1]TrialBalance (Quarter)'!A:A,0),MATCH([1]TBMapping!N$3,'[1]TrialBalance (Quarter)'!$7:$7,0)),0)</f>
        <v>0</v>
      </c>
      <c r="N327" s="5">
        <f>IFERROR(INDEX('[1]TrialBalance (Quarter)'!$A:$L,MATCH([1]TBMapping!$C329,'[1]TrialBalance (Quarter)'!A:A,0),MATCH([1]TBMapping!O$3,'[1]TrialBalance (Quarter)'!$7:$7,0)),0)</f>
        <v>0</v>
      </c>
    </row>
    <row r="328" spans="1:14">
      <c r="A328" s="2">
        <v>107</v>
      </c>
      <c r="B328" s="3">
        <v>133170</v>
      </c>
      <c r="C328" s="11" t="s">
        <v>299</v>
      </c>
      <c r="D328" s="11" t="s">
        <v>11</v>
      </c>
      <c r="E328" s="11"/>
      <c r="F328" s="5" t="e">
        <f>IF(DataExtraction="Manual",SUMIF('[1]TrialBalance (YTD)'!$C:$C,B328,'[1]TrialBalance (YTD)'!$E:$E),SUMIF('[1]TrialBalance (YTD)'!$G:$G,B328,'[1]TrialBalance (YTD)'!$I:$I))</f>
        <v>#VALUE!</v>
      </c>
      <c r="G328" s="5">
        <f>IFERROR(INDEX('[1]TrialBalance (YTD)'!$G:$S,MATCH([1]TBMapping!$C330,'[1]TrialBalance (YTD)'!G:G,0),MATCH([1]TBMapping!H$3,'[1]TrialBalance (YTD)'!$G$7:$Z$7,0)),0)</f>
        <v>0</v>
      </c>
      <c r="H328" s="5" t="e">
        <f>SUMIF('[1]TrialBalance (YTD)'!G:G,B328,'[1]TrialBalance (YTD)'!H:H)</f>
        <v>#VALUE!</v>
      </c>
      <c r="I328" s="5">
        <f>IFERROR(INDEX('[1]TrialBalance (YTD)'!$G:$S,MATCH([1]TBMapping!$C330,'[1]TrialBalance (YTD)'!G:G,0),MATCH([1]TBMapping!J$3,'[1]TrialBalance (YTD)'!$G$7:$Z$7,0)),0)</f>
        <v>0</v>
      </c>
      <c r="K328" s="5" t="e">
        <f>SUMIF('[1]TrialBalance (Quarter)'!$A:$A,B328,'[1]TrialBalance (Quarter)'!$B:$B)</f>
        <v>#VALUE!</v>
      </c>
      <c r="L328" s="5">
        <f>IFERROR(INDEX('[1]TrialBalance (Quarter)'!$A:$L,MATCH([1]TBMapping!$C330,'[1]TrialBalance (Quarter)'!A:A,0),MATCH([1]TBMapping!M$3,'[1]TrialBalance (Quarter)'!$7:$7,0)),0)</f>
        <v>0</v>
      </c>
      <c r="M328" s="5">
        <f>IFERROR(INDEX('[1]TrialBalance (Quarter)'!$A:$L,MATCH([1]TBMapping!$C330,'[1]TrialBalance (Quarter)'!A:A,0),MATCH([1]TBMapping!N$3,'[1]TrialBalance (Quarter)'!$7:$7,0)),0)</f>
        <v>0</v>
      </c>
      <c r="N328" s="5">
        <f>IFERROR(INDEX('[1]TrialBalance (Quarter)'!$A:$L,MATCH([1]TBMapping!$C330,'[1]TrialBalance (Quarter)'!A:A,0),MATCH([1]TBMapping!O$3,'[1]TrialBalance (Quarter)'!$7:$7,0)),0)</f>
        <v>0</v>
      </c>
    </row>
    <row r="329" spans="1:14">
      <c r="B329" s="3">
        <v>133999</v>
      </c>
      <c r="C329" s="10" t="s">
        <v>300</v>
      </c>
      <c r="D329" s="10" t="s">
        <v>16</v>
      </c>
      <c r="E329" s="10"/>
      <c r="F329" s="5" t="e">
        <f>IF(DataExtraction="Manual",SUMIF('[1]TrialBalance (YTD)'!$C:$C,B329,'[1]TrialBalance (YTD)'!$E:$E),SUMIF('[1]TrialBalance (YTD)'!$G:$G,B329,'[1]TrialBalance (YTD)'!$I:$I))</f>
        <v>#VALUE!</v>
      </c>
      <c r="G329" s="5">
        <f>IFERROR(INDEX('[1]TrialBalance (YTD)'!$G:$S,MATCH([1]TBMapping!$C331,'[1]TrialBalance (YTD)'!G:G,0),MATCH([1]TBMapping!H$3,'[1]TrialBalance (YTD)'!$G$7:$Z$7,0)),0)</f>
        <v>0</v>
      </c>
      <c r="H329" s="5" t="e">
        <f>SUMIF('[1]TrialBalance (YTD)'!G:G,B329,'[1]TrialBalance (YTD)'!H:H)</f>
        <v>#VALUE!</v>
      </c>
      <c r="I329" s="5">
        <f>IFERROR(INDEX('[1]TrialBalance (YTD)'!$G:$S,MATCH([1]TBMapping!$C331,'[1]TrialBalance (YTD)'!G:G,0),MATCH([1]TBMapping!J$3,'[1]TrialBalance (YTD)'!$G$7:$Z$7,0)),0)</f>
        <v>0</v>
      </c>
      <c r="K329" s="5" t="e">
        <f>SUMIF('[1]TrialBalance (Quarter)'!$A:$A,B329,'[1]TrialBalance (Quarter)'!$B:$B)</f>
        <v>#VALUE!</v>
      </c>
      <c r="L329" s="5">
        <f>IFERROR(INDEX('[1]TrialBalance (Quarter)'!$A:$L,MATCH([1]TBMapping!$C331,'[1]TrialBalance (Quarter)'!A:A,0),MATCH([1]TBMapping!M$3,'[1]TrialBalance (Quarter)'!$7:$7,0)),0)</f>
        <v>0</v>
      </c>
      <c r="M329" s="5">
        <f>IFERROR(INDEX('[1]TrialBalance (Quarter)'!$A:$L,MATCH([1]TBMapping!$C331,'[1]TrialBalance (Quarter)'!A:A,0),MATCH([1]TBMapping!N$3,'[1]TrialBalance (Quarter)'!$7:$7,0)),0)</f>
        <v>0</v>
      </c>
      <c r="N329" s="5">
        <f>IFERROR(INDEX('[1]TrialBalance (Quarter)'!$A:$L,MATCH([1]TBMapping!$C331,'[1]TrialBalance (Quarter)'!A:A,0),MATCH([1]TBMapping!O$3,'[1]TrialBalance (Quarter)'!$7:$7,0)),0)</f>
        <v>0</v>
      </c>
    </row>
    <row r="330" spans="1:14">
      <c r="B330" s="3">
        <v>134000</v>
      </c>
      <c r="C330" s="11" t="s">
        <v>301</v>
      </c>
      <c r="D330" s="11" t="s">
        <v>5</v>
      </c>
      <c r="E330" s="11"/>
      <c r="F330" s="5" t="e">
        <f>IF(DataExtraction="Manual",SUMIF('[1]TrialBalance (YTD)'!$C:$C,B330,'[1]TrialBalance (YTD)'!$E:$E),SUMIF('[1]TrialBalance (YTD)'!$G:$G,B330,'[1]TrialBalance (YTD)'!$I:$I))</f>
        <v>#VALUE!</v>
      </c>
      <c r="G330" s="5">
        <f>IFERROR(INDEX('[1]TrialBalance (YTD)'!$G:$S,MATCH([1]TBMapping!$C332,'[1]TrialBalance (YTD)'!G:G,0),MATCH([1]TBMapping!H$3,'[1]TrialBalance (YTD)'!$G$7:$Z$7,0)),0)</f>
        <v>0</v>
      </c>
      <c r="H330" s="5" t="e">
        <f>SUMIF('[1]TrialBalance (YTD)'!G:G,B330,'[1]TrialBalance (YTD)'!H:H)</f>
        <v>#VALUE!</v>
      </c>
      <c r="I330" s="5">
        <f>IFERROR(INDEX('[1]TrialBalance (YTD)'!$G:$S,MATCH([1]TBMapping!$C332,'[1]TrialBalance (YTD)'!G:G,0),MATCH([1]TBMapping!J$3,'[1]TrialBalance (YTD)'!$G$7:$Z$7,0)),0)</f>
        <v>0</v>
      </c>
      <c r="K330" s="5" t="e">
        <f>SUMIF('[1]TrialBalance (Quarter)'!$A:$A,B330,'[1]TrialBalance (Quarter)'!$B:$B)</f>
        <v>#VALUE!</v>
      </c>
      <c r="L330" s="5">
        <f>IFERROR(INDEX('[1]TrialBalance (Quarter)'!$A:$L,MATCH([1]TBMapping!$C332,'[1]TrialBalance (Quarter)'!A:A,0),MATCH([1]TBMapping!M$3,'[1]TrialBalance (Quarter)'!$7:$7,0)),0)</f>
        <v>0</v>
      </c>
      <c r="M330" s="5">
        <f>IFERROR(INDEX('[1]TrialBalance (Quarter)'!$A:$L,MATCH([1]TBMapping!$C332,'[1]TrialBalance (Quarter)'!A:A,0),MATCH([1]TBMapping!N$3,'[1]TrialBalance (Quarter)'!$7:$7,0)),0)</f>
        <v>0</v>
      </c>
      <c r="N330" s="5">
        <f>IFERROR(INDEX('[1]TrialBalance (Quarter)'!$A:$L,MATCH([1]TBMapping!$C332,'[1]TrialBalance (Quarter)'!A:A,0),MATCH([1]TBMapping!O$3,'[1]TrialBalance (Quarter)'!$7:$7,0)),0)</f>
        <v>0</v>
      </c>
    </row>
    <row r="331" spans="1:14">
      <c r="A331" s="2">
        <v>107</v>
      </c>
      <c r="B331" s="3">
        <v>134110</v>
      </c>
      <c r="C331" s="10" t="s">
        <v>302</v>
      </c>
      <c r="D331" s="10" t="s">
        <v>11</v>
      </c>
      <c r="E331" s="10"/>
      <c r="F331" s="5" t="e">
        <f>IF(DataExtraction="Manual",SUMIF('[1]TrialBalance (YTD)'!$C:$C,B331,'[1]TrialBalance (YTD)'!$E:$E),SUMIF('[1]TrialBalance (YTD)'!$G:$G,B331,'[1]TrialBalance (YTD)'!$I:$I))</f>
        <v>#VALUE!</v>
      </c>
      <c r="G331" s="5">
        <f>IFERROR(INDEX('[1]TrialBalance (YTD)'!$G:$S,MATCH([1]TBMapping!$C333,'[1]TrialBalance (YTD)'!G:G,0),MATCH([1]TBMapping!H$3,'[1]TrialBalance (YTD)'!$G$7:$Z$7,0)),0)</f>
        <v>0</v>
      </c>
      <c r="H331" s="5" t="e">
        <f>SUMIF('[1]TrialBalance (YTD)'!G:G,B331,'[1]TrialBalance (YTD)'!H:H)</f>
        <v>#VALUE!</v>
      </c>
      <c r="I331" s="5">
        <f>IFERROR(INDEX('[1]TrialBalance (YTD)'!$G:$S,MATCH([1]TBMapping!$C333,'[1]TrialBalance (YTD)'!G:G,0),MATCH([1]TBMapping!J$3,'[1]TrialBalance (YTD)'!$G$7:$Z$7,0)),0)</f>
        <v>0</v>
      </c>
      <c r="K331" s="5" t="e">
        <f>SUMIF('[1]TrialBalance (Quarter)'!$A:$A,B331,'[1]TrialBalance (Quarter)'!$B:$B)</f>
        <v>#VALUE!</v>
      </c>
      <c r="L331" s="5">
        <f>IFERROR(INDEX('[1]TrialBalance (Quarter)'!$A:$L,MATCH([1]TBMapping!$C333,'[1]TrialBalance (Quarter)'!A:A,0),MATCH([1]TBMapping!M$3,'[1]TrialBalance (Quarter)'!$7:$7,0)),0)</f>
        <v>0</v>
      </c>
      <c r="M331" s="5">
        <f>IFERROR(INDEX('[1]TrialBalance (Quarter)'!$A:$L,MATCH([1]TBMapping!$C333,'[1]TrialBalance (Quarter)'!A:A,0),MATCH([1]TBMapping!N$3,'[1]TrialBalance (Quarter)'!$7:$7,0)),0)</f>
        <v>0</v>
      </c>
      <c r="N331" s="5">
        <f>IFERROR(INDEX('[1]TrialBalance (Quarter)'!$A:$L,MATCH([1]TBMapping!$C333,'[1]TrialBalance (Quarter)'!A:A,0),MATCH([1]TBMapping!O$3,'[1]TrialBalance (Quarter)'!$7:$7,0)),0)</f>
        <v>0</v>
      </c>
    </row>
    <row r="332" spans="1:14">
      <c r="A332" s="2">
        <v>107</v>
      </c>
      <c r="B332" s="3">
        <v>134111</v>
      </c>
      <c r="C332" s="11" t="s">
        <v>303</v>
      </c>
      <c r="D332" s="11" t="s">
        <v>11</v>
      </c>
      <c r="E332" s="11"/>
      <c r="F332" s="5" t="e">
        <f>IF(DataExtraction="Manual",SUMIF('[1]TrialBalance (YTD)'!$C:$C,B332,'[1]TrialBalance (YTD)'!$E:$E),SUMIF('[1]TrialBalance (YTD)'!$G:$G,B332,'[1]TrialBalance (YTD)'!$I:$I))</f>
        <v>#VALUE!</v>
      </c>
      <c r="G332" s="5">
        <f>IFERROR(INDEX('[1]TrialBalance (YTD)'!$G:$S,MATCH([1]TBMapping!$C334,'[1]TrialBalance (YTD)'!G:G,0),MATCH([1]TBMapping!H$3,'[1]TrialBalance (YTD)'!$G$7:$Z$7,0)),0)</f>
        <v>0</v>
      </c>
      <c r="H332" s="5" t="e">
        <f>SUMIF('[1]TrialBalance (YTD)'!G:G,B332,'[1]TrialBalance (YTD)'!H:H)</f>
        <v>#VALUE!</v>
      </c>
      <c r="I332" s="5">
        <f>IFERROR(INDEX('[1]TrialBalance (YTD)'!$G:$S,MATCH([1]TBMapping!$C334,'[1]TrialBalance (YTD)'!G:G,0),MATCH([1]TBMapping!J$3,'[1]TrialBalance (YTD)'!$G$7:$Z$7,0)),0)</f>
        <v>268814.08000000002</v>
      </c>
      <c r="K332" s="5" t="e">
        <f>SUMIF('[1]TrialBalance (Quarter)'!$A:$A,B332,'[1]TrialBalance (Quarter)'!$B:$B)</f>
        <v>#VALUE!</v>
      </c>
      <c r="L332" s="5">
        <f>IFERROR(INDEX('[1]TrialBalance (Quarter)'!$A:$L,MATCH([1]TBMapping!$C334,'[1]TrialBalance (Quarter)'!A:A,0),MATCH([1]TBMapping!M$3,'[1]TrialBalance (Quarter)'!$7:$7,0)),0)</f>
        <v>0</v>
      </c>
      <c r="M332" s="5">
        <f>IFERROR(INDEX('[1]TrialBalance (Quarter)'!$A:$L,MATCH([1]TBMapping!$C334,'[1]TrialBalance (Quarter)'!A:A,0),MATCH([1]TBMapping!N$3,'[1]TrialBalance (Quarter)'!$7:$7,0)),0)</f>
        <v>133333.99</v>
      </c>
      <c r="N332" s="5">
        <f>IFERROR(INDEX('[1]TrialBalance (Quarter)'!$A:$L,MATCH([1]TBMapping!$C334,'[1]TrialBalance (Quarter)'!A:A,0),MATCH([1]TBMapping!O$3,'[1]TrialBalance (Quarter)'!$7:$7,0)),0)</f>
        <v>115068.44</v>
      </c>
    </row>
    <row r="333" spans="1:14">
      <c r="A333" s="2">
        <v>107</v>
      </c>
      <c r="B333" s="3">
        <v>134112</v>
      </c>
      <c r="C333" s="10" t="s">
        <v>304</v>
      </c>
      <c r="D333" s="10" t="s">
        <v>11</v>
      </c>
      <c r="E333" s="10"/>
      <c r="F333" s="5" t="e">
        <f>IF(DataExtraction="Manual",SUMIF('[1]TrialBalance (YTD)'!$C:$C,B333,'[1]TrialBalance (YTD)'!$E:$E),SUMIF('[1]TrialBalance (YTD)'!$G:$G,B333,'[1]TrialBalance (YTD)'!$I:$I))</f>
        <v>#VALUE!</v>
      </c>
      <c r="G333" s="5">
        <f>IFERROR(INDEX('[1]TrialBalance (YTD)'!$G:$S,MATCH([1]TBMapping!$C335,'[1]TrialBalance (YTD)'!G:G,0),MATCH([1]TBMapping!H$3,'[1]TrialBalance (YTD)'!$G$7:$Z$7,0)),0)</f>
        <v>0</v>
      </c>
      <c r="H333" s="5" t="e">
        <f>SUMIF('[1]TrialBalance (YTD)'!G:G,B333,'[1]TrialBalance (YTD)'!H:H)</f>
        <v>#VALUE!</v>
      </c>
      <c r="I333" s="5">
        <f>IFERROR(INDEX('[1]TrialBalance (YTD)'!$G:$S,MATCH([1]TBMapping!$C335,'[1]TrialBalance (YTD)'!G:G,0),MATCH([1]TBMapping!J$3,'[1]TrialBalance (YTD)'!$G$7:$Z$7,0)),0)</f>
        <v>0</v>
      </c>
      <c r="K333" s="5" t="e">
        <f>SUMIF('[1]TrialBalance (Quarter)'!$A:$A,B333,'[1]TrialBalance (Quarter)'!$B:$B)</f>
        <v>#VALUE!</v>
      </c>
      <c r="L333" s="5">
        <f>IFERROR(INDEX('[1]TrialBalance (Quarter)'!$A:$L,MATCH([1]TBMapping!$C335,'[1]TrialBalance (Quarter)'!A:A,0),MATCH([1]TBMapping!M$3,'[1]TrialBalance (Quarter)'!$7:$7,0)),0)</f>
        <v>0</v>
      </c>
      <c r="M333" s="5">
        <f>IFERROR(INDEX('[1]TrialBalance (Quarter)'!$A:$L,MATCH([1]TBMapping!$C335,'[1]TrialBalance (Quarter)'!A:A,0),MATCH([1]TBMapping!N$3,'[1]TrialBalance (Quarter)'!$7:$7,0)),0)</f>
        <v>0</v>
      </c>
      <c r="N333" s="5">
        <f>IFERROR(INDEX('[1]TrialBalance (Quarter)'!$A:$L,MATCH([1]TBMapping!$C335,'[1]TrialBalance (Quarter)'!A:A,0),MATCH([1]TBMapping!O$3,'[1]TrialBalance (Quarter)'!$7:$7,0)),0)</f>
        <v>0</v>
      </c>
    </row>
    <row r="334" spans="1:14">
      <c r="A334" s="2">
        <v>107</v>
      </c>
      <c r="B334" s="3">
        <v>134113</v>
      </c>
      <c r="C334" s="11" t="s">
        <v>305</v>
      </c>
      <c r="D334" s="11" t="s">
        <v>11</v>
      </c>
      <c r="E334" s="11"/>
      <c r="F334" s="5" t="e">
        <f>IF(DataExtraction="Manual",SUMIF('[1]TrialBalance (YTD)'!$C:$C,B334,'[1]TrialBalance (YTD)'!$E:$E),SUMIF('[1]TrialBalance (YTD)'!$G:$G,B334,'[1]TrialBalance (YTD)'!$I:$I))</f>
        <v>#VALUE!</v>
      </c>
      <c r="G334" s="5">
        <f>IFERROR(INDEX('[1]TrialBalance (YTD)'!$G:$S,MATCH([1]TBMapping!$C336,'[1]TrialBalance (YTD)'!G:G,0),MATCH([1]TBMapping!H$3,'[1]TrialBalance (YTD)'!$G$7:$Z$7,0)),0)</f>
        <v>0</v>
      </c>
      <c r="H334" s="5" t="e">
        <f>SUMIF('[1]TrialBalance (YTD)'!G:G,B334,'[1]TrialBalance (YTD)'!H:H)</f>
        <v>#VALUE!</v>
      </c>
      <c r="I334" s="5">
        <f>IFERROR(INDEX('[1]TrialBalance (YTD)'!$G:$S,MATCH([1]TBMapping!$C336,'[1]TrialBalance (YTD)'!G:G,0),MATCH([1]TBMapping!J$3,'[1]TrialBalance (YTD)'!$G$7:$Z$7,0)),0)</f>
        <v>0</v>
      </c>
      <c r="K334" s="5" t="e">
        <f>SUMIF('[1]TrialBalance (Quarter)'!$A:$A,B334,'[1]TrialBalance (Quarter)'!$B:$B)</f>
        <v>#VALUE!</v>
      </c>
      <c r="L334" s="5">
        <f>IFERROR(INDEX('[1]TrialBalance (Quarter)'!$A:$L,MATCH([1]TBMapping!$C336,'[1]TrialBalance (Quarter)'!A:A,0),MATCH([1]TBMapping!M$3,'[1]TrialBalance (Quarter)'!$7:$7,0)),0)</f>
        <v>0</v>
      </c>
      <c r="M334" s="5">
        <f>IFERROR(INDEX('[1]TrialBalance (Quarter)'!$A:$L,MATCH([1]TBMapping!$C336,'[1]TrialBalance (Quarter)'!A:A,0),MATCH([1]TBMapping!N$3,'[1]TrialBalance (Quarter)'!$7:$7,0)),0)</f>
        <v>0</v>
      </c>
      <c r="N334" s="5">
        <f>IFERROR(INDEX('[1]TrialBalance (Quarter)'!$A:$L,MATCH([1]TBMapping!$C336,'[1]TrialBalance (Quarter)'!A:A,0),MATCH([1]TBMapping!O$3,'[1]TrialBalance (Quarter)'!$7:$7,0)),0)</f>
        <v>0</v>
      </c>
    </row>
    <row r="335" spans="1:14">
      <c r="A335" s="2">
        <v>107</v>
      </c>
      <c r="B335" s="3">
        <v>134114</v>
      </c>
      <c r="C335" s="10" t="s">
        <v>306</v>
      </c>
      <c r="D335" s="10" t="s">
        <v>11</v>
      </c>
      <c r="E335" s="10"/>
      <c r="F335" s="5" t="e">
        <f>IF(DataExtraction="Manual",SUMIF('[1]TrialBalance (YTD)'!$C:$C,B335,'[1]TrialBalance (YTD)'!$E:$E),SUMIF('[1]TrialBalance (YTD)'!$G:$G,B335,'[1]TrialBalance (YTD)'!$I:$I))</f>
        <v>#VALUE!</v>
      </c>
      <c r="G335" s="5">
        <f>IFERROR(INDEX('[1]TrialBalance (YTD)'!$G:$S,MATCH([1]TBMapping!$C337,'[1]TrialBalance (YTD)'!G:G,0),MATCH([1]TBMapping!H$3,'[1]TrialBalance (YTD)'!$G$7:$Z$7,0)),0)</f>
        <v>0</v>
      </c>
      <c r="H335" s="5" t="e">
        <f>SUMIF('[1]TrialBalance (YTD)'!G:G,B335,'[1]TrialBalance (YTD)'!H:H)</f>
        <v>#VALUE!</v>
      </c>
      <c r="I335" s="5">
        <f>IFERROR(INDEX('[1]TrialBalance (YTD)'!$G:$S,MATCH([1]TBMapping!$C337,'[1]TrialBalance (YTD)'!G:G,0),MATCH([1]TBMapping!J$3,'[1]TrialBalance (YTD)'!$G$7:$Z$7,0)),0)</f>
        <v>0</v>
      </c>
      <c r="K335" s="5" t="e">
        <f>SUMIF('[1]TrialBalance (Quarter)'!$A:$A,B335,'[1]TrialBalance (Quarter)'!$B:$B)</f>
        <v>#VALUE!</v>
      </c>
      <c r="L335" s="5">
        <f>IFERROR(INDEX('[1]TrialBalance (Quarter)'!$A:$L,MATCH([1]TBMapping!$C337,'[1]TrialBalance (Quarter)'!A:A,0),MATCH([1]TBMapping!M$3,'[1]TrialBalance (Quarter)'!$7:$7,0)),0)</f>
        <v>0</v>
      </c>
      <c r="M335" s="5">
        <f>IFERROR(INDEX('[1]TrialBalance (Quarter)'!$A:$L,MATCH([1]TBMapping!$C337,'[1]TrialBalance (Quarter)'!A:A,0),MATCH([1]TBMapping!N$3,'[1]TrialBalance (Quarter)'!$7:$7,0)),0)</f>
        <v>0</v>
      </c>
      <c r="N335" s="5">
        <f>IFERROR(INDEX('[1]TrialBalance (Quarter)'!$A:$L,MATCH([1]TBMapping!$C337,'[1]TrialBalance (Quarter)'!A:A,0),MATCH([1]TBMapping!O$3,'[1]TrialBalance (Quarter)'!$7:$7,0)),0)</f>
        <v>0</v>
      </c>
    </row>
    <row r="336" spans="1:14">
      <c r="A336" s="2">
        <v>107</v>
      </c>
      <c r="B336" s="3">
        <v>134115</v>
      </c>
      <c r="C336" s="11" t="s">
        <v>307</v>
      </c>
      <c r="D336" s="11" t="s">
        <v>11</v>
      </c>
      <c r="E336" s="11"/>
      <c r="F336" s="5" t="e">
        <f>IF(DataExtraction="Manual",SUMIF('[1]TrialBalance (YTD)'!$C:$C,B336,'[1]TrialBalance (YTD)'!$E:$E),SUMIF('[1]TrialBalance (YTD)'!$G:$G,B336,'[1]TrialBalance (YTD)'!$I:$I))</f>
        <v>#VALUE!</v>
      </c>
      <c r="G336" s="5">
        <f>IFERROR(INDEX('[1]TrialBalance (YTD)'!$G:$S,MATCH([1]TBMapping!$C338,'[1]TrialBalance (YTD)'!G:G,0),MATCH([1]TBMapping!H$3,'[1]TrialBalance (YTD)'!$G$7:$Z$7,0)),0)</f>
        <v>0</v>
      </c>
      <c r="H336" s="5" t="e">
        <f>SUMIF('[1]TrialBalance (YTD)'!G:G,B336,'[1]TrialBalance (YTD)'!H:H)</f>
        <v>#VALUE!</v>
      </c>
      <c r="I336" s="5">
        <f>IFERROR(INDEX('[1]TrialBalance (YTD)'!$G:$S,MATCH([1]TBMapping!$C338,'[1]TrialBalance (YTD)'!G:G,0),MATCH([1]TBMapping!J$3,'[1]TrialBalance (YTD)'!$G$7:$Z$7,0)),0)</f>
        <v>0</v>
      </c>
      <c r="K336" s="5" t="e">
        <f>SUMIF('[1]TrialBalance (Quarter)'!$A:$A,B336,'[1]TrialBalance (Quarter)'!$B:$B)</f>
        <v>#VALUE!</v>
      </c>
      <c r="L336" s="5">
        <f>IFERROR(INDEX('[1]TrialBalance (Quarter)'!$A:$L,MATCH([1]TBMapping!$C338,'[1]TrialBalance (Quarter)'!A:A,0),MATCH([1]TBMapping!M$3,'[1]TrialBalance (Quarter)'!$7:$7,0)),0)</f>
        <v>0</v>
      </c>
      <c r="M336" s="5">
        <f>IFERROR(INDEX('[1]TrialBalance (Quarter)'!$A:$L,MATCH([1]TBMapping!$C338,'[1]TrialBalance (Quarter)'!A:A,0),MATCH([1]TBMapping!N$3,'[1]TrialBalance (Quarter)'!$7:$7,0)),0)</f>
        <v>0</v>
      </c>
      <c r="N336" s="5">
        <f>IFERROR(INDEX('[1]TrialBalance (Quarter)'!$A:$L,MATCH([1]TBMapping!$C338,'[1]TrialBalance (Quarter)'!A:A,0),MATCH([1]TBMapping!O$3,'[1]TrialBalance (Quarter)'!$7:$7,0)),0)</f>
        <v>0</v>
      </c>
    </row>
    <row r="337" spans="1:14">
      <c r="A337" s="2">
        <v>107</v>
      </c>
      <c r="B337" s="3">
        <v>134120</v>
      </c>
      <c r="C337" s="10" t="s">
        <v>308</v>
      </c>
      <c r="D337" s="10" t="s">
        <v>11</v>
      </c>
      <c r="E337" s="10"/>
      <c r="F337" s="5" t="e">
        <f>IF(DataExtraction="Manual",SUMIF('[1]TrialBalance (YTD)'!$C:$C,B337,'[1]TrialBalance (YTD)'!$E:$E),SUMIF('[1]TrialBalance (YTD)'!$G:$G,B337,'[1]TrialBalance (YTD)'!$I:$I))</f>
        <v>#VALUE!</v>
      </c>
      <c r="G337" s="5">
        <f>IFERROR(INDEX('[1]TrialBalance (YTD)'!$G:$S,MATCH([1]TBMapping!$C339,'[1]TrialBalance (YTD)'!G:G,0),MATCH([1]TBMapping!H$3,'[1]TrialBalance (YTD)'!$G$7:$Z$7,0)),0)</f>
        <v>0</v>
      </c>
      <c r="H337" s="5" t="e">
        <f>SUMIF('[1]TrialBalance (YTD)'!G:G,B337,'[1]TrialBalance (YTD)'!H:H)</f>
        <v>#VALUE!</v>
      </c>
      <c r="I337" s="5">
        <f>IFERROR(INDEX('[1]TrialBalance (YTD)'!$G:$S,MATCH([1]TBMapping!$C339,'[1]TrialBalance (YTD)'!G:G,0),MATCH([1]TBMapping!J$3,'[1]TrialBalance (YTD)'!$G$7:$Z$7,0)),0)</f>
        <v>0</v>
      </c>
      <c r="K337" s="5" t="e">
        <f>SUMIF('[1]TrialBalance (Quarter)'!$A:$A,B337,'[1]TrialBalance (Quarter)'!$B:$B)</f>
        <v>#VALUE!</v>
      </c>
      <c r="L337" s="5">
        <f>IFERROR(INDEX('[1]TrialBalance (Quarter)'!$A:$L,MATCH([1]TBMapping!$C339,'[1]TrialBalance (Quarter)'!A:A,0),MATCH([1]TBMapping!M$3,'[1]TrialBalance (Quarter)'!$7:$7,0)),0)</f>
        <v>0</v>
      </c>
      <c r="M337" s="5">
        <f>IFERROR(INDEX('[1]TrialBalance (Quarter)'!$A:$L,MATCH([1]TBMapping!$C339,'[1]TrialBalance (Quarter)'!A:A,0),MATCH([1]TBMapping!N$3,'[1]TrialBalance (Quarter)'!$7:$7,0)),0)</f>
        <v>0</v>
      </c>
      <c r="N337" s="5">
        <f>IFERROR(INDEX('[1]TrialBalance (Quarter)'!$A:$L,MATCH([1]TBMapping!$C339,'[1]TrialBalance (Quarter)'!A:A,0),MATCH([1]TBMapping!O$3,'[1]TrialBalance (Quarter)'!$7:$7,0)),0)</f>
        <v>0</v>
      </c>
    </row>
    <row r="338" spans="1:14">
      <c r="A338" s="2">
        <v>107</v>
      </c>
      <c r="B338" s="3">
        <v>134121</v>
      </c>
      <c r="C338" s="11" t="s">
        <v>309</v>
      </c>
      <c r="D338" s="11" t="s">
        <v>11</v>
      </c>
      <c r="E338" s="11"/>
      <c r="F338" s="5" t="e">
        <f>IF(DataExtraction="Manual",SUMIF('[1]TrialBalance (YTD)'!$C:$C,B338,'[1]TrialBalance (YTD)'!$E:$E),SUMIF('[1]TrialBalance (YTD)'!$G:$G,B338,'[1]TrialBalance (YTD)'!$I:$I))</f>
        <v>#VALUE!</v>
      </c>
      <c r="G338" s="5">
        <f>IFERROR(INDEX('[1]TrialBalance (YTD)'!$G:$S,MATCH([1]TBMapping!$C340,'[1]TrialBalance (YTD)'!G:G,0),MATCH([1]TBMapping!H$3,'[1]TrialBalance (YTD)'!$G$7:$Z$7,0)),0)</f>
        <v>0</v>
      </c>
      <c r="H338" s="5" t="e">
        <f>SUMIF('[1]TrialBalance (YTD)'!G:G,B338,'[1]TrialBalance (YTD)'!H:H)</f>
        <v>#VALUE!</v>
      </c>
      <c r="I338" s="5">
        <f>IFERROR(INDEX('[1]TrialBalance (YTD)'!$G:$S,MATCH([1]TBMapping!$C340,'[1]TrialBalance (YTD)'!G:G,0),MATCH([1]TBMapping!J$3,'[1]TrialBalance (YTD)'!$G$7:$Z$7,0)),0)</f>
        <v>0</v>
      </c>
      <c r="K338" s="5" t="e">
        <f>SUMIF('[1]TrialBalance (Quarter)'!$A:$A,B338,'[1]TrialBalance (Quarter)'!$B:$B)</f>
        <v>#VALUE!</v>
      </c>
      <c r="L338" s="5">
        <f>IFERROR(INDEX('[1]TrialBalance (Quarter)'!$A:$L,MATCH([1]TBMapping!$C340,'[1]TrialBalance (Quarter)'!A:A,0),MATCH([1]TBMapping!M$3,'[1]TrialBalance (Quarter)'!$7:$7,0)),0)</f>
        <v>0</v>
      </c>
      <c r="M338" s="5">
        <f>IFERROR(INDEX('[1]TrialBalance (Quarter)'!$A:$L,MATCH([1]TBMapping!$C340,'[1]TrialBalance (Quarter)'!A:A,0),MATCH([1]TBMapping!N$3,'[1]TrialBalance (Quarter)'!$7:$7,0)),0)</f>
        <v>0</v>
      </c>
      <c r="N338" s="5">
        <f>IFERROR(INDEX('[1]TrialBalance (Quarter)'!$A:$L,MATCH([1]TBMapping!$C340,'[1]TrialBalance (Quarter)'!A:A,0),MATCH([1]TBMapping!O$3,'[1]TrialBalance (Quarter)'!$7:$7,0)),0)</f>
        <v>0</v>
      </c>
    </row>
    <row r="339" spans="1:14">
      <c r="A339" s="2">
        <v>107</v>
      </c>
      <c r="B339" s="3">
        <v>134130</v>
      </c>
      <c r="C339" s="10" t="s">
        <v>310</v>
      </c>
      <c r="D339" s="10" t="s">
        <v>11</v>
      </c>
      <c r="E339" s="10"/>
      <c r="F339" s="5" t="e">
        <f>IF(DataExtraction="Manual",SUMIF('[1]TrialBalance (YTD)'!$C:$C,B339,'[1]TrialBalance (YTD)'!$E:$E),SUMIF('[1]TrialBalance (YTD)'!$G:$G,B339,'[1]TrialBalance (YTD)'!$I:$I))</f>
        <v>#VALUE!</v>
      </c>
      <c r="G339" s="5">
        <f>IFERROR(INDEX('[1]TrialBalance (YTD)'!$G:$S,MATCH([1]TBMapping!$C341,'[1]TrialBalance (YTD)'!G:G,0),MATCH([1]TBMapping!H$3,'[1]TrialBalance (YTD)'!$G$7:$Z$7,0)),0)</f>
        <v>0</v>
      </c>
      <c r="H339" s="5" t="e">
        <f>SUMIF('[1]TrialBalance (YTD)'!G:G,B339,'[1]TrialBalance (YTD)'!H:H)</f>
        <v>#VALUE!</v>
      </c>
      <c r="I339" s="5">
        <f>IFERROR(INDEX('[1]TrialBalance (YTD)'!$G:$S,MATCH([1]TBMapping!$C341,'[1]TrialBalance (YTD)'!G:G,0),MATCH([1]TBMapping!J$3,'[1]TrialBalance (YTD)'!$G$7:$Z$7,0)),0)</f>
        <v>27750.400000000001</v>
      </c>
      <c r="K339" s="5" t="e">
        <f>SUMIF('[1]TrialBalance (Quarter)'!$A:$A,B339,'[1]TrialBalance (Quarter)'!$B:$B)</f>
        <v>#VALUE!</v>
      </c>
      <c r="L339" s="5">
        <f>IFERROR(INDEX('[1]TrialBalance (Quarter)'!$A:$L,MATCH([1]TBMapping!$C341,'[1]TrialBalance (Quarter)'!A:A,0),MATCH([1]TBMapping!M$3,'[1]TrialBalance (Quarter)'!$7:$7,0)),0)</f>
        <v>0</v>
      </c>
      <c r="M339" s="5">
        <f>IFERROR(INDEX('[1]TrialBalance (Quarter)'!$A:$L,MATCH([1]TBMapping!$C341,'[1]TrialBalance (Quarter)'!A:A,0),MATCH([1]TBMapping!N$3,'[1]TrialBalance (Quarter)'!$7:$7,0)),0)</f>
        <v>7500</v>
      </c>
      <c r="N339" s="5">
        <f>IFERROR(INDEX('[1]TrialBalance (Quarter)'!$A:$L,MATCH([1]TBMapping!$C341,'[1]TrialBalance (Quarter)'!A:A,0),MATCH([1]TBMapping!O$3,'[1]TrialBalance (Quarter)'!$7:$7,0)),0)</f>
        <v>20250.400000000001</v>
      </c>
    </row>
    <row r="340" spans="1:14">
      <c r="A340" s="2">
        <v>107</v>
      </c>
      <c r="B340" s="3">
        <v>134131</v>
      </c>
      <c r="C340" s="11" t="s">
        <v>311</v>
      </c>
      <c r="D340" s="11" t="s">
        <v>11</v>
      </c>
      <c r="E340" s="11"/>
      <c r="F340" s="5" t="e">
        <f>IF(DataExtraction="Manual",SUMIF('[1]TrialBalance (YTD)'!$C:$C,B340,'[1]TrialBalance (YTD)'!$E:$E),SUMIF('[1]TrialBalance (YTD)'!$G:$G,B340,'[1]TrialBalance (YTD)'!$I:$I))</f>
        <v>#VALUE!</v>
      </c>
      <c r="G340" s="5">
        <f>IFERROR(INDEX('[1]TrialBalance (YTD)'!$G:$S,MATCH([1]TBMapping!$C342,'[1]TrialBalance (YTD)'!G:G,0),MATCH([1]TBMapping!H$3,'[1]TrialBalance (YTD)'!$G$7:$Z$7,0)),0)</f>
        <v>0</v>
      </c>
      <c r="H340" s="5" t="e">
        <f>SUMIF('[1]TrialBalance (YTD)'!G:G,B340,'[1]TrialBalance (YTD)'!H:H)</f>
        <v>#VALUE!</v>
      </c>
      <c r="I340" s="5">
        <f>IFERROR(INDEX('[1]TrialBalance (YTD)'!$G:$S,MATCH([1]TBMapping!$C342,'[1]TrialBalance (YTD)'!G:G,0),MATCH([1]TBMapping!J$3,'[1]TrialBalance (YTD)'!$G$7:$Z$7,0)),0)</f>
        <v>0</v>
      </c>
      <c r="K340" s="5" t="e">
        <f>SUMIF('[1]TrialBalance (Quarter)'!$A:$A,B340,'[1]TrialBalance (Quarter)'!$B:$B)</f>
        <v>#VALUE!</v>
      </c>
      <c r="L340" s="5">
        <f>IFERROR(INDEX('[1]TrialBalance (Quarter)'!$A:$L,MATCH([1]TBMapping!$C342,'[1]TrialBalance (Quarter)'!A:A,0),MATCH([1]TBMapping!M$3,'[1]TrialBalance (Quarter)'!$7:$7,0)),0)</f>
        <v>0</v>
      </c>
      <c r="M340" s="5">
        <f>IFERROR(INDEX('[1]TrialBalance (Quarter)'!$A:$L,MATCH([1]TBMapping!$C342,'[1]TrialBalance (Quarter)'!A:A,0),MATCH([1]TBMapping!N$3,'[1]TrialBalance (Quarter)'!$7:$7,0)),0)</f>
        <v>0</v>
      </c>
      <c r="N340" s="5">
        <f>IFERROR(INDEX('[1]TrialBalance (Quarter)'!$A:$L,MATCH([1]TBMapping!$C342,'[1]TrialBalance (Quarter)'!A:A,0),MATCH([1]TBMapping!O$3,'[1]TrialBalance (Quarter)'!$7:$7,0)),0)</f>
        <v>0</v>
      </c>
    </row>
    <row r="341" spans="1:14">
      <c r="A341" s="2">
        <v>107</v>
      </c>
      <c r="B341" s="3">
        <v>134135</v>
      </c>
      <c r="C341" s="10" t="s">
        <v>312</v>
      </c>
      <c r="D341" s="10" t="s">
        <v>11</v>
      </c>
      <c r="E341" s="10"/>
      <c r="F341" s="5" t="e">
        <f>IF(DataExtraction="Manual",SUMIF('[1]TrialBalance (YTD)'!$C:$C,B341,'[1]TrialBalance (YTD)'!$E:$E),SUMIF('[1]TrialBalance (YTD)'!$G:$G,B341,'[1]TrialBalance (YTD)'!$I:$I))</f>
        <v>#VALUE!</v>
      </c>
      <c r="G341" s="5">
        <f>IFERROR(INDEX('[1]TrialBalance (YTD)'!$G:$S,MATCH([1]TBMapping!$C343,'[1]TrialBalance (YTD)'!G:G,0),MATCH([1]TBMapping!H$3,'[1]TrialBalance (YTD)'!$G$7:$Z$7,0)),0)</f>
        <v>0</v>
      </c>
      <c r="H341" s="5" t="e">
        <f>SUMIF('[1]TrialBalance (YTD)'!G:G,B341,'[1]TrialBalance (YTD)'!H:H)</f>
        <v>#VALUE!</v>
      </c>
      <c r="I341" s="5">
        <f>IFERROR(INDEX('[1]TrialBalance (YTD)'!$G:$S,MATCH([1]TBMapping!$C343,'[1]TrialBalance (YTD)'!G:G,0),MATCH([1]TBMapping!J$3,'[1]TrialBalance (YTD)'!$G$7:$Z$7,0)),0)</f>
        <v>0</v>
      </c>
      <c r="K341" s="5" t="e">
        <f>SUMIF('[1]TrialBalance (Quarter)'!$A:$A,B341,'[1]TrialBalance (Quarter)'!$B:$B)</f>
        <v>#VALUE!</v>
      </c>
      <c r="L341" s="5">
        <f>IFERROR(INDEX('[1]TrialBalance (Quarter)'!$A:$L,MATCH([1]TBMapping!$C343,'[1]TrialBalance (Quarter)'!A:A,0),MATCH([1]TBMapping!M$3,'[1]TrialBalance (Quarter)'!$7:$7,0)),0)</f>
        <v>0</v>
      </c>
      <c r="M341" s="5">
        <f>IFERROR(INDEX('[1]TrialBalance (Quarter)'!$A:$L,MATCH([1]TBMapping!$C343,'[1]TrialBalance (Quarter)'!A:A,0),MATCH([1]TBMapping!N$3,'[1]TrialBalance (Quarter)'!$7:$7,0)),0)</f>
        <v>0</v>
      </c>
      <c r="N341" s="5">
        <f>IFERROR(INDEX('[1]TrialBalance (Quarter)'!$A:$L,MATCH([1]TBMapping!$C343,'[1]TrialBalance (Quarter)'!A:A,0),MATCH([1]TBMapping!O$3,'[1]TrialBalance (Quarter)'!$7:$7,0)),0)</f>
        <v>0</v>
      </c>
    </row>
    <row r="342" spans="1:14">
      <c r="A342" s="2">
        <v>107</v>
      </c>
      <c r="B342" s="3">
        <v>134136</v>
      </c>
      <c r="C342" s="11" t="s">
        <v>313</v>
      </c>
      <c r="D342" s="11" t="s">
        <v>11</v>
      </c>
      <c r="E342" s="11"/>
      <c r="F342" s="5" t="e">
        <f>IF(DataExtraction="Manual",SUMIF('[1]TrialBalance (YTD)'!$C:$C,B342,'[1]TrialBalance (YTD)'!$E:$E),SUMIF('[1]TrialBalance (YTD)'!$G:$G,B342,'[1]TrialBalance (YTD)'!$I:$I))</f>
        <v>#VALUE!</v>
      </c>
      <c r="G342" s="5">
        <f>IFERROR(INDEX('[1]TrialBalance (YTD)'!$G:$S,MATCH([1]TBMapping!$C344,'[1]TrialBalance (YTD)'!G:G,0),MATCH([1]TBMapping!H$3,'[1]TrialBalance (YTD)'!$G$7:$Z$7,0)),0)</f>
        <v>0</v>
      </c>
      <c r="H342" s="5" t="e">
        <f>SUMIF('[1]TrialBalance (YTD)'!G:G,B342,'[1]TrialBalance (YTD)'!H:H)</f>
        <v>#VALUE!</v>
      </c>
      <c r="I342" s="5">
        <f>IFERROR(INDEX('[1]TrialBalance (YTD)'!$G:$S,MATCH([1]TBMapping!$C344,'[1]TrialBalance (YTD)'!G:G,0),MATCH([1]TBMapping!J$3,'[1]TrialBalance (YTD)'!$G$7:$Z$7,0)),0)</f>
        <v>0</v>
      </c>
      <c r="K342" s="5" t="e">
        <f>SUMIF('[1]TrialBalance (Quarter)'!$A:$A,B342,'[1]TrialBalance (Quarter)'!$B:$B)</f>
        <v>#VALUE!</v>
      </c>
      <c r="L342" s="5">
        <f>IFERROR(INDEX('[1]TrialBalance (Quarter)'!$A:$L,MATCH([1]TBMapping!$C344,'[1]TrialBalance (Quarter)'!A:A,0),MATCH([1]TBMapping!M$3,'[1]TrialBalance (Quarter)'!$7:$7,0)),0)</f>
        <v>0</v>
      </c>
      <c r="M342" s="5">
        <f>IFERROR(INDEX('[1]TrialBalance (Quarter)'!$A:$L,MATCH([1]TBMapping!$C344,'[1]TrialBalance (Quarter)'!A:A,0),MATCH([1]TBMapping!N$3,'[1]TrialBalance (Quarter)'!$7:$7,0)),0)</f>
        <v>0</v>
      </c>
      <c r="N342" s="5">
        <f>IFERROR(INDEX('[1]TrialBalance (Quarter)'!$A:$L,MATCH([1]TBMapping!$C344,'[1]TrialBalance (Quarter)'!A:A,0),MATCH([1]TBMapping!O$3,'[1]TrialBalance (Quarter)'!$7:$7,0)),0)</f>
        <v>0</v>
      </c>
    </row>
    <row r="343" spans="1:14">
      <c r="A343" s="2">
        <v>107</v>
      </c>
      <c r="B343" s="3">
        <v>134140</v>
      </c>
      <c r="C343" s="10" t="s">
        <v>314</v>
      </c>
      <c r="D343" s="10" t="s">
        <v>11</v>
      </c>
      <c r="E343" s="10"/>
      <c r="F343" s="5" t="e">
        <f>IF(DataExtraction="Manual",SUMIF('[1]TrialBalance (YTD)'!$C:$C,B343,'[1]TrialBalance (YTD)'!$E:$E),SUMIF('[1]TrialBalance (YTD)'!$G:$G,B343,'[1]TrialBalance (YTD)'!$I:$I))</f>
        <v>#VALUE!</v>
      </c>
      <c r="G343" s="5">
        <f>IFERROR(INDEX('[1]TrialBalance (YTD)'!$G:$S,MATCH([1]TBMapping!$C345,'[1]TrialBalance (YTD)'!G:G,0),MATCH([1]TBMapping!H$3,'[1]TrialBalance (YTD)'!$G$7:$Z$7,0)),0)</f>
        <v>0</v>
      </c>
      <c r="H343" s="5" t="e">
        <f>SUMIF('[1]TrialBalance (YTD)'!G:G,B343,'[1]TrialBalance (YTD)'!H:H)</f>
        <v>#VALUE!</v>
      </c>
      <c r="I343" s="5">
        <f>IFERROR(INDEX('[1]TrialBalance (YTD)'!$G:$S,MATCH([1]TBMapping!$C345,'[1]TrialBalance (YTD)'!G:G,0),MATCH([1]TBMapping!J$3,'[1]TrialBalance (YTD)'!$G$7:$Z$7,0)),0)</f>
        <v>13800</v>
      </c>
      <c r="K343" s="5" t="e">
        <f>SUMIF('[1]TrialBalance (Quarter)'!$A:$A,B343,'[1]TrialBalance (Quarter)'!$B:$B)</f>
        <v>#VALUE!</v>
      </c>
      <c r="L343" s="5">
        <f>IFERROR(INDEX('[1]TrialBalance (Quarter)'!$A:$L,MATCH([1]TBMapping!$C345,'[1]TrialBalance (Quarter)'!A:A,0),MATCH([1]TBMapping!M$3,'[1]TrialBalance (Quarter)'!$7:$7,0)),0)</f>
        <v>0</v>
      </c>
      <c r="M343" s="5">
        <f>IFERROR(INDEX('[1]TrialBalance (Quarter)'!$A:$L,MATCH([1]TBMapping!$C345,'[1]TrialBalance (Quarter)'!A:A,0),MATCH([1]TBMapping!N$3,'[1]TrialBalance (Quarter)'!$7:$7,0)),0)</f>
        <v>9900</v>
      </c>
      <c r="N343" s="5">
        <f>IFERROR(INDEX('[1]TrialBalance (Quarter)'!$A:$L,MATCH([1]TBMapping!$C345,'[1]TrialBalance (Quarter)'!A:A,0),MATCH([1]TBMapping!O$3,'[1]TrialBalance (Quarter)'!$7:$7,0)),0)</f>
        <v>3900</v>
      </c>
    </row>
    <row r="344" spans="1:14">
      <c r="A344" s="2">
        <v>107</v>
      </c>
      <c r="B344" s="3">
        <v>134141</v>
      </c>
      <c r="C344" s="11" t="s">
        <v>315</v>
      </c>
      <c r="D344" s="11" t="s">
        <v>11</v>
      </c>
      <c r="E344" s="11"/>
      <c r="F344" s="5" t="e">
        <f>IF(DataExtraction="Manual",SUMIF('[1]TrialBalance (YTD)'!$C:$C,B344,'[1]TrialBalance (YTD)'!$E:$E),SUMIF('[1]TrialBalance (YTD)'!$G:$G,B344,'[1]TrialBalance (YTD)'!$I:$I))</f>
        <v>#VALUE!</v>
      </c>
      <c r="G344" s="5">
        <f>IFERROR(INDEX('[1]TrialBalance (YTD)'!$G:$S,MATCH([1]TBMapping!$C346,'[1]TrialBalance (YTD)'!G:G,0),MATCH([1]TBMapping!H$3,'[1]TrialBalance (YTD)'!$G$7:$Z$7,0)),0)</f>
        <v>0</v>
      </c>
      <c r="H344" s="5" t="e">
        <f>SUMIF('[1]TrialBalance (YTD)'!G:G,B344,'[1]TrialBalance (YTD)'!H:H)</f>
        <v>#VALUE!</v>
      </c>
      <c r="I344" s="5">
        <f>IFERROR(INDEX('[1]TrialBalance (YTD)'!$G:$S,MATCH([1]TBMapping!$C346,'[1]TrialBalance (YTD)'!G:G,0),MATCH([1]TBMapping!J$3,'[1]TrialBalance (YTD)'!$G$7:$Z$7,0)),0)</f>
        <v>0</v>
      </c>
      <c r="K344" s="5" t="e">
        <f>SUMIF('[1]TrialBalance (Quarter)'!$A:$A,B344,'[1]TrialBalance (Quarter)'!$B:$B)</f>
        <v>#VALUE!</v>
      </c>
      <c r="L344" s="5">
        <f>IFERROR(INDEX('[1]TrialBalance (Quarter)'!$A:$L,MATCH([1]TBMapping!$C346,'[1]TrialBalance (Quarter)'!A:A,0),MATCH([1]TBMapping!M$3,'[1]TrialBalance (Quarter)'!$7:$7,0)),0)</f>
        <v>0</v>
      </c>
      <c r="M344" s="5">
        <f>IFERROR(INDEX('[1]TrialBalance (Quarter)'!$A:$L,MATCH([1]TBMapping!$C346,'[1]TrialBalance (Quarter)'!A:A,0),MATCH([1]TBMapping!N$3,'[1]TrialBalance (Quarter)'!$7:$7,0)),0)</f>
        <v>0</v>
      </c>
      <c r="N344" s="5">
        <f>IFERROR(INDEX('[1]TrialBalance (Quarter)'!$A:$L,MATCH([1]TBMapping!$C346,'[1]TrialBalance (Quarter)'!A:A,0),MATCH([1]TBMapping!O$3,'[1]TrialBalance (Quarter)'!$7:$7,0)),0)</f>
        <v>0</v>
      </c>
    </row>
    <row r="345" spans="1:14">
      <c r="A345" s="2">
        <v>107</v>
      </c>
      <c r="B345" s="3">
        <v>134150</v>
      </c>
      <c r="C345" s="10" t="s">
        <v>316</v>
      </c>
      <c r="D345" s="10" t="s">
        <v>11</v>
      </c>
      <c r="E345" s="10"/>
      <c r="F345" s="5" t="e">
        <f>IF(DataExtraction="Manual",SUMIF('[1]TrialBalance (YTD)'!$C:$C,B345,'[1]TrialBalance (YTD)'!$E:$E),SUMIF('[1]TrialBalance (YTD)'!$G:$G,B345,'[1]TrialBalance (YTD)'!$I:$I))</f>
        <v>#VALUE!</v>
      </c>
      <c r="G345" s="5">
        <f>IFERROR(INDEX('[1]TrialBalance (YTD)'!$G:$S,MATCH([1]TBMapping!$C347,'[1]TrialBalance (YTD)'!G:G,0),MATCH([1]TBMapping!H$3,'[1]TrialBalance (YTD)'!$G$7:$Z$7,0)),0)</f>
        <v>0</v>
      </c>
      <c r="H345" s="5" t="e">
        <f>SUMIF('[1]TrialBalance (YTD)'!G:G,B345,'[1]TrialBalance (YTD)'!H:H)</f>
        <v>#VALUE!</v>
      </c>
      <c r="I345" s="5">
        <f>IFERROR(INDEX('[1]TrialBalance (YTD)'!$G:$S,MATCH([1]TBMapping!$C347,'[1]TrialBalance (YTD)'!G:G,0),MATCH([1]TBMapping!J$3,'[1]TrialBalance (YTD)'!$G$7:$Z$7,0)),0)</f>
        <v>0</v>
      </c>
      <c r="K345" s="5" t="e">
        <f>SUMIF('[1]TrialBalance (Quarter)'!$A:$A,B345,'[1]TrialBalance (Quarter)'!$B:$B)</f>
        <v>#VALUE!</v>
      </c>
      <c r="L345" s="5">
        <f>IFERROR(INDEX('[1]TrialBalance (Quarter)'!$A:$L,MATCH([1]TBMapping!$C347,'[1]TrialBalance (Quarter)'!A:A,0),MATCH([1]TBMapping!M$3,'[1]TrialBalance (Quarter)'!$7:$7,0)),0)</f>
        <v>0</v>
      </c>
      <c r="M345" s="5">
        <f>IFERROR(INDEX('[1]TrialBalance (Quarter)'!$A:$L,MATCH([1]TBMapping!$C347,'[1]TrialBalance (Quarter)'!A:A,0),MATCH([1]TBMapping!N$3,'[1]TrialBalance (Quarter)'!$7:$7,0)),0)</f>
        <v>0</v>
      </c>
      <c r="N345" s="5">
        <f>IFERROR(INDEX('[1]TrialBalance (Quarter)'!$A:$L,MATCH([1]TBMapping!$C347,'[1]TrialBalance (Quarter)'!A:A,0),MATCH([1]TBMapping!O$3,'[1]TrialBalance (Quarter)'!$7:$7,0)),0)</f>
        <v>0</v>
      </c>
    </row>
    <row r="346" spans="1:14">
      <c r="A346" s="2">
        <v>107</v>
      </c>
      <c r="B346" s="3">
        <v>134151</v>
      </c>
      <c r="C346" s="11" t="s">
        <v>317</v>
      </c>
      <c r="D346" s="11" t="s">
        <v>11</v>
      </c>
      <c r="E346" s="11"/>
      <c r="F346" s="5" t="e">
        <f>IF(DataExtraction="Manual",SUMIF('[1]TrialBalance (YTD)'!$C:$C,B346,'[1]TrialBalance (YTD)'!$E:$E),SUMIF('[1]TrialBalance (YTD)'!$G:$G,B346,'[1]TrialBalance (YTD)'!$I:$I))</f>
        <v>#VALUE!</v>
      </c>
      <c r="G346" s="5">
        <f>IFERROR(INDEX('[1]TrialBalance (YTD)'!$G:$S,MATCH([1]TBMapping!$C348,'[1]TrialBalance (YTD)'!G:G,0),MATCH([1]TBMapping!H$3,'[1]TrialBalance (YTD)'!$G$7:$Z$7,0)),0)</f>
        <v>0</v>
      </c>
      <c r="H346" s="5" t="e">
        <f>SUMIF('[1]TrialBalance (YTD)'!G:G,B346,'[1]TrialBalance (YTD)'!H:H)</f>
        <v>#VALUE!</v>
      </c>
      <c r="I346" s="5">
        <f>IFERROR(INDEX('[1]TrialBalance (YTD)'!$G:$S,MATCH([1]TBMapping!$C348,'[1]TrialBalance (YTD)'!G:G,0),MATCH([1]TBMapping!J$3,'[1]TrialBalance (YTD)'!$G$7:$Z$7,0)),0)</f>
        <v>0</v>
      </c>
      <c r="K346" s="5" t="e">
        <f>SUMIF('[1]TrialBalance (Quarter)'!$A:$A,B346,'[1]TrialBalance (Quarter)'!$B:$B)</f>
        <v>#VALUE!</v>
      </c>
      <c r="L346" s="5">
        <f>IFERROR(INDEX('[1]TrialBalance (Quarter)'!$A:$L,MATCH([1]TBMapping!$C348,'[1]TrialBalance (Quarter)'!A:A,0),MATCH([1]TBMapping!M$3,'[1]TrialBalance (Quarter)'!$7:$7,0)),0)</f>
        <v>0</v>
      </c>
      <c r="M346" s="5">
        <f>IFERROR(INDEX('[1]TrialBalance (Quarter)'!$A:$L,MATCH([1]TBMapping!$C348,'[1]TrialBalance (Quarter)'!A:A,0),MATCH([1]TBMapping!N$3,'[1]TrialBalance (Quarter)'!$7:$7,0)),0)</f>
        <v>0</v>
      </c>
      <c r="N346" s="5">
        <f>IFERROR(INDEX('[1]TrialBalance (Quarter)'!$A:$L,MATCH([1]TBMapping!$C348,'[1]TrialBalance (Quarter)'!A:A,0),MATCH([1]TBMapping!O$3,'[1]TrialBalance (Quarter)'!$7:$7,0)),0)</f>
        <v>0</v>
      </c>
    </row>
    <row r="347" spans="1:14">
      <c r="A347" s="2">
        <v>107</v>
      </c>
      <c r="B347" s="3">
        <v>134160</v>
      </c>
      <c r="C347" s="10" t="s">
        <v>318</v>
      </c>
      <c r="D347" s="10" t="s">
        <v>11</v>
      </c>
      <c r="E347" s="10"/>
      <c r="F347" s="5" t="e">
        <f>IF(DataExtraction="Manual",SUMIF('[1]TrialBalance (YTD)'!$C:$C,B347,'[1]TrialBalance (YTD)'!$E:$E),SUMIF('[1]TrialBalance (YTD)'!$G:$G,B347,'[1]TrialBalance (YTD)'!$I:$I))</f>
        <v>#VALUE!</v>
      </c>
      <c r="G347" s="5">
        <f>IFERROR(INDEX('[1]TrialBalance (YTD)'!$G:$S,MATCH([1]TBMapping!$C349,'[1]TrialBalance (YTD)'!G:G,0),MATCH([1]TBMapping!H$3,'[1]TrialBalance (YTD)'!$G$7:$Z$7,0)),0)</f>
        <v>0</v>
      </c>
      <c r="H347" s="5" t="e">
        <f>SUMIF('[1]TrialBalance (YTD)'!G:G,B347,'[1]TrialBalance (YTD)'!H:H)</f>
        <v>#VALUE!</v>
      </c>
      <c r="I347" s="5">
        <f>IFERROR(INDEX('[1]TrialBalance (YTD)'!$G:$S,MATCH([1]TBMapping!$C349,'[1]TrialBalance (YTD)'!G:G,0),MATCH([1]TBMapping!J$3,'[1]TrialBalance (YTD)'!$G$7:$Z$7,0)),0)</f>
        <v>44600</v>
      </c>
      <c r="K347" s="5" t="e">
        <f>SUMIF('[1]TrialBalance (Quarter)'!$A:$A,B347,'[1]TrialBalance (Quarter)'!$B:$B)</f>
        <v>#VALUE!</v>
      </c>
      <c r="L347" s="5">
        <f>IFERROR(INDEX('[1]TrialBalance (Quarter)'!$A:$L,MATCH([1]TBMapping!$C349,'[1]TrialBalance (Quarter)'!A:A,0),MATCH([1]TBMapping!M$3,'[1]TrialBalance (Quarter)'!$7:$7,0)),0)</f>
        <v>0</v>
      </c>
      <c r="M347" s="5">
        <f>IFERROR(INDEX('[1]TrialBalance (Quarter)'!$A:$L,MATCH([1]TBMapping!$C349,'[1]TrialBalance (Quarter)'!A:A,0),MATCH([1]TBMapping!N$3,'[1]TrialBalance (Quarter)'!$7:$7,0)),0)</f>
        <v>0</v>
      </c>
      <c r="N347" s="5">
        <f>IFERROR(INDEX('[1]TrialBalance (Quarter)'!$A:$L,MATCH([1]TBMapping!$C349,'[1]TrialBalance (Quarter)'!A:A,0),MATCH([1]TBMapping!O$3,'[1]TrialBalance (Quarter)'!$7:$7,0)),0)</f>
        <v>0</v>
      </c>
    </row>
    <row r="348" spans="1:14">
      <c r="A348" s="2">
        <v>107</v>
      </c>
      <c r="B348" s="3">
        <v>134161</v>
      </c>
      <c r="C348" s="11" t="s">
        <v>319</v>
      </c>
      <c r="D348" s="11" t="s">
        <v>11</v>
      </c>
      <c r="E348" s="11"/>
      <c r="F348" s="5" t="e">
        <f>IF(DataExtraction="Manual",SUMIF('[1]TrialBalance (YTD)'!$C:$C,B348,'[1]TrialBalance (YTD)'!$E:$E),SUMIF('[1]TrialBalance (YTD)'!$G:$G,B348,'[1]TrialBalance (YTD)'!$I:$I))</f>
        <v>#VALUE!</v>
      </c>
      <c r="G348" s="5">
        <f>IFERROR(INDEX('[1]TrialBalance (YTD)'!$G:$S,MATCH([1]TBMapping!$C350,'[1]TrialBalance (YTD)'!G:G,0),MATCH([1]TBMapping!H$3,'[1]TrialBalance (YTD)'!$G$7:$Z$7,0)),0)</f>
        <v>0</v>
      </c>
      <c r="H348" s="5" t="e">
        <f>SUMIF('[1]TrialBalance (YTD)'!G:G,B348,'[1]TrialBalance (YTD)'!H:H)</f>
        <v>#VALUE!</v>
      </c>
      <c r="I348" s="5">
        <f>IFERROR(INDEX('[1]TrialBalance (YTD)'!$G:$S,MATCH([1]TBMapping!$C350,'[1]TrialBalance (YTD)'!G:G,0),MATCH([1]TBMapping!J$3,'[1]TrialBalance (YTD)'!$G$7:$Z$7,0)),0)</f>
        <v>0</v>
      </c>
      <c r="K348" s="5" t="e">
        <f>SUMIF('[1]TrialBalance (Quarter)'!$A:$A,B348,'[1]TrialBalance (Quarter)'!$B:$B)</f>
        <v>#VALUE!</v>
      </c>
      <c r="L348" s="5">
        <f>IFERROR(INDEX('[1]TrialBalance (Quarter)'!$A:$L,MATCH([1]TBMapping!$C350,'[1]TrialBalance (Quarter)'!A:A,0),MATCH([1]TBMapping!M$3,'[1]TrialBalance (Quarter)'!$7:$7,0)),0)</f>
        <v>0</v>
      </c>
      <c r="M348" s="5">
        <f>IFERROR(INDEX('[1]TrialBalance (Quarter)'!$A:$L,MATCH([1]TBMapping!$C350,'[1]TrialBalance (Quarter)'!A:A,0),MATCH([1]TBMapping!N$3,'[1]TrialBalance (Quarter)'!$7:$7,0)),0)</f>
        <v>0</v>
      </c>
      <c r="N348" s="5">
        <f>IFERROR(INDEX('[1]TrialBalance (Quarter)'!$A:$L,MATCH([1]TBMapping!$C350,'[1]TrialBalance (Quarter)'!A:A,0),MATCH([1]TBMapping!O$3,'[1]TrialBalance (Quarter)'!$7:$7,0)),0)</f>
        <v>0</v>
      </c>
    </row>
    <row r="349" spans="1:14">
      <c r="A349" s="2">
        <v>107</v>
      </c>
      <c r="B349" s="3">
        <v>134170</v>
      </c>
      <c r="C349" s="10" t="s">
        <v>320</v>
      </c>
      <c r="D349" s="10" t="s">
        <v>11</v>
      </c>
      <c r="E349" s="10"/>
      <c r="F349" s="5" t="e">
        <f>IF(DataExtraction="Manual",SUMIF('[1]TrialBalance (YTD)'!$C:$C,B349,'[1]TrialBalance (YTD)'!$E:$E),SUMIF('[1]TrialBalance (YTD)'!$G:$G,B349,'[1]TrialBalance (YTD)'!$I:$I))</f>
        <v>#VALUE!</v>
      </c>
      <c r="G349" s="5">
        <f>IFERROR(INDEX('[1]TrialBalance (YTD)'!$G:$S,MATCH([1]TBMapping!$C351,'[1]TrialBalance (YTD)'!G:G,0),MATCH([1]TBMapping!H$3,'[1]TrialBalance (YTD)'!$G$7:$Z$7,0)),0)</f>
        <v>0</v>
      </c>
      <c r="H349" s="5" t="e">
        <f>SUMIF('[1]TrialBalance (YTD)'!G:G,B349,'[1]TrialBalance (YTD)'!H:H)</f>
        <v>#VALUE!</v>
      </c>
      <c r="I349" s="5">
        <f>IFERROR(INDEX('[1]TrialBalance (YTD)'!$G:$S,MATCH([1]TBMapping!$C351,'[1]TrialBalance (YTD)'!G:G,0),MATCH([1]TBMapping!J$3,'[1]TrialBalance (YTD)'!$G$7:$Z$7,0)),0)</f>
        <v>93550.399999999994</v>
      </c>
      <c r="K349" s="5" t="e">
        <f>SUMIF('[1]TrialBalance (Quarter)'!$A:$A,B349,'[1]TrialBalance (Quarter)'!$B:$B)</f>
        <v>#VALUE!</v>
      </c>
      <c r="L349" s="5">
        <f>IFERROR(INDEX('[1]TrialBalance (Quarter)'!$A:$L,MATCH([1]TBMapping!$C351,'[1]TrialBalance (Quarter)'!A:A,0),MATCH([1]TBMapping!M$3,'[1]TrialBalance (Quarter)'!$7:$7,0)),0)</f>
        <v>0</v>
      </c>
      <c r="M349" s="5">
        <f>IFERROR(INDEX('[1]TrialBalance (Quarter)'!$A:$L,MATCH([1]TBMapping!$C351,'[1]TrialBalance (Quarter)'!A:A,0),MATCH([1]TBMapping!N$3,'[1]TrialBalance (Quarter)'!$7:$7,0)),0)</f>
        <v>29875.200000000001</v>
      </c>
      <c r="N349" s="5">
        <f>IFERROR(INDEX('[1]TrialBalance (Quarter)'!$A:$L,MATCH([1]TBMapping!$C351,'[1]TrialBalance (Quarter)'!A:A,0),MATCH([1]TBMapping!O$3,'[1]TrialBalance (Quarter)'!$7:$7,0)),0)</f>
        <v>59250.400000000001</v>
      </c>
    </row>
    <row r="350" spans="1:14">
      <c r="A350" s="2">
        <v>107</v>
      </c>
      <c r="B350" s="3">
        <v>134171</v>
      </c>
      <c r="C350" s="11" t="s">
        <v>321</v>
      </c>
      <c r="D350" s="11" t="s">
        <v>11</v>
      </c>
      <c r="E350" s="11"/>
      <c r="F350" s="5" t="e">
        <f>IF(DataExtraction="Manual",SUMIF('[1]TrialBalance (YTD)'!$C:$C,B350,'[1]TrialBalance (YTD)'!$E:$E),SUMIF('[1]TrialBalance (YTD)'!$G:$G,B350,'[1]TrialBalance (YTD)'!$I:$I))</f>
        <v>#VALUE!</v>
      </c>
      <c r="G350" s="5">
        <f>IFERROR(INDEX('[1]TrialBalance (YTD)'!$G:$S,MATCH([1]TBMapping!$C352,'[1]TrialBalance (YTD)'!G:G,0),MATCH([1]TBMapping!H$3,'[1]TrialBalance (YTD)'!$G$7:$Z$7,0)),0)</f>
        <v>0</v>
      </c>
      <c r="H350" s="5" t="e">
        <f>SUMIF('[1]TrialBalance (YTD)'!G:G,B350,'[1]TrialBalance (YTD)'!H:H)</f>
        <v>#VALUE!</v>
      </c>
      <c r="I350" s="5">
        <f>IFERROR(INDEX('[1]TrialBalance (YTD)'!$G:$S,MATCH([1]TBMapping!$C352,'[1]TrialBalance (YTD)'!G:G,0),MATCH([1]TBMapping!J$3,'[1]TrialBalance (YTD)'!$G$7:$Z$7,0)),0)</f>
        <v>0</v>
      </c>
      <c r="K350" s="5" t="e">
        <f>SUMIF('[1]TrialBalance (Quarter)'!$A:$A,B350,'[1]TrialBalance (Quarter)'!$B:$B)</f>
        <v>#VALUE!</v>
      </c>
      <c r="L350" s="5">
        <f>IFERROR(INDEX('[1]TrialBalance (Quarter)'!$A:$L,MATCH([1]TBMapping!$C352,'[1]TrialBalance (Quarter)'!A:A,0),MATCH([1]TBMapping!M$3,'[1]TrialBalance (Quarter)'!$7:$7,0)),0)</f>
        <v>0</v>
      </c>
      <c r="M350" s="5">
        <f>IFERROR(INDEX('[1]TrialBalance (Quarter)'!$A:$L,MATCH([1]TBMapping!$C352,'[1]TrialBalance (Quarter)'!A:A,0),MATCH([1]TBMapping!N$3,'[1]TrialBalance (Quarter)'!$7:$7,0)),0)</f>
        <v>0</v>
      </c>
      <c r="N350" s="5">
        <f>IFERROR(INDEX('[1]TrialBalance (Quarter)'!$A:$L,MATCH([1]TBMapping!$C352,'[1]TrialBalance (Quarter)'!A:A,0),MATCH([1]TBMapping!O$3,'[1]TrialBalance (Quarter)'!$7:$7,0)),0)</f>
        <v>0</v>
      </c>
    </row>
    <row r="351" spans="1:14">
      <c r="A351" s="2">
        <v>107</v>
      </c>
      <c r="B351" s="3">
        <v>134180</v>
      </c>
      <c r="C351" s="10" t="s">
        <v>322</v>
      </c>
      <c r="D351" s="10" t="s">
        <v>11</v>
      </c>
      <c r="E351" s="10"/>
      <c r="F351" s="5" t="e">
        <f>IF(DataExtraction="Manual",SUMIF('[1]TrialBalance (YTD)'!$C:$C,B351,'[1]TrialBalance (YTD)'!$E:$E),SUMIF('[1]TrialBalance (YTD)'!$G:$G,B351,'[1]TrialBalance (YTD)'!$I:$I))</f>
        <v>#VALUE!</v>
      </c>
      <c r="G351" s="5">
        <f>IFERROR(INDEX('[1]TrialBalance (YTD)'!$G:$S,MATCH([1]TBMapping!$C353,'[1]TrialBalance (YTD)'!G:G,0),MATCH([1]TBMapping!H$3,'[1]TrialBalance (YTD)'!$G$7:$Z$7,0)),0)</f>
        <v>0</v>
      </c>
      <c r="H351" s="5" t="e">
        <f>SUMIF('[1]TrialBalance (YTD)'!G:G,B351,'[1]TrialBalance (YTD)'!H:H)</f>
        <v>#VALUE!</v>
      </c>
      <c r="I351" s="5">
        <f>IFERROR(INDEX('[1]TrialBalance (YTD)'!$G:$S,MATCH([1]TBMapping!$C353,'[1]TrialBalance (YTD)'!G:G,0),MATCH([1]TBMapping!J$3,'[1]TrialBalance (YTD)'!$G$7:$Z$7,0)),0)</f>
        <v>0</v>
      </c>
      <c r="K351" s="5" t="e">
        <f>SUMIF('[1]TrialBalance (Quarter)'!$A:$A,B351,'[1]TrialBalance (Quarter)'!$B:$B)</f>
        <v>#VALUE!</v>
      </c>
      <c r="L351" s="5">
        <f>IFERROR(INDEX('[1]TrialBalance (Quarter)'!$A:$L,MATCH([1]TBMapping!$C353,'[1]TrialBalance (Quarter)'!A:A,0),MATCH([1]TBMapping!M$3,'[1]TrialBalance (Quarter)'!$7:$7,0)),0)</f>
        <v>0</v>
      </c>
      <c r="M351" s="5">
        <f>IFERROR(INDEX('[1]TrialBalance (Quarter)'!$A:$L,MATCH([1]TBMapping!$C353,'[1]TrialBalance (Quarter)'!A:A,0),MATCH([1]TBMapping!N$3,'[1]TrialBalance (Quarter)'!$7:$7,0)),0)</f>
        <v>0</v>
      </c>
      <c r="N351" s="5">
        <f>IFERROR(INDEX('[1]TrialBalance (Quarter)'!$A:$L,MATCH([1]TBMapping!$C353,'[1]TrialBalance (Quarter)'!A:A,0),MATCH([1]TBMapping!O$3,'[1]TrialBalance (Quarter)'!$7:$7,0)),0)</f>
        <v>0</v>
      </c>
    </row>
    <row r="352" spans="1:14">
      <c r="B352" s="3">
        <v>134190</v>
      </c>
      <c r="C352" s="11" t="s">
        <v>323</v>
      </c>
      <c r="D352" s="11" t="s">
        <v>11</v>
      </c>
      <c r="E352" s="11"/>
      <c r="F352" s="5" t="e">
        <f>IF(DataExtraction="Manual",SUMIF('[1]TrialBalance (YTD)'!$C:$C,B352,'[1]TrialBalance (YTD)'!$E:$E),SUMIF('[1]TrialBalance (YTD)'!$G:$G,B352,'[1]TrialBalance (YTD)'!$I:$I))</f>
        <v>#VALUE!</v>
      </c>
      <c r="G352" s="5">
        <f>IFERROR(INDEX('[1]TrialBalance (YTD)'!$G:$S,MATCH([1]TBMapping!$C354,'[1]TrialBalance (YTD)'!G:G,0),MATCH([1]TBMapping!H$3,'[1]TrialBalance (YTD)'!$G$7:$Z$7,0)),0)</f>
        <v>0</v>
      </c>
      <c r="H352" s="5" t="e">
        <f>SUMIF('[1]TrialBalance (YTD)'!G:G,B352,'[1]TrialBalance (YTD)'!H:H)</f>
        <v>#VALUE!</v>
      </c>
      <c r="I352" s="5">
        <f>IFERROR(INDEX('[1]TrialBalance (YTD)'!$G:$S,MATCH([1]TBMapping!$C354,'[1]TrialBalance (YTD)'!G:G,0),MATCH([1]TBMapping!J$3,'[1]TrialBalance (YTD)'!$G$7:$Z$7,0)),0)</f>
        <v>0</v>
      </c>
      <c r="K352" s="5" t="e">
        <f>SUMIF('[1]TrialBalance (Quarter)'!$A:$A,B352,'[1]TrialBalance (Quarter)'!$B:$B)</f>
        <v>#VALUE!</v>
      </c>
      <c r="L352" s="5">
        <f>IFERROR(INDEX('[1]TrialBalance (Quarter)'!$A:$L,MATCH([1]TBMapping!$C354,'[1]TrialBalance (Quarter)'!A:A,0),MATCH([1]TBMapping!M$3,'[1]TrialBalance (Quarter)'!$7:$7,0)),0)</f>
        <v>0</v>
      </c>
      <c r="M352" s="5">
        <f>IFERROR(INDEX('[1]TrialBalance (Quarter)'!$A:$L,MATCH([1]TBMapping!$C354,'[1]TrialBalance (Quarter)'!A:A,0),MATCH([1]TBMapping!N$3,'[1]TrialBalance (Quarter)'!$7:$7,0)),0)</f>
        <v>0</v>
      </c>
      <c r="N352" s="5">
        <f>IFERROR(INDEX('[1]TrialBalance (Quarter)'!$A:$L,MATCH([1]TBMapping!$C354,'[1]TrialBalance (Quarter)'!A:A,0),MATCH([1]TBMapping!O$3,'[1]TrialBalance (Quarter)'!$7:$7,0)),0)</f>
        <v>0</v>
      </c>
    </row>
    <row r="353" spans="1:14">
      <c r="B353" s="3">
        <v>134200</v>
      </c>
      <c r="C353" s="10" t="s">
        <v>324</v>
      </c>
      <c r="D353" s="10" t="s">
        <v>11</v>
      </c>
      <c r="E353" s="10"/>
      <c r="F353" s="5" t="e">
        <f>IF(DataExtraction="Manual",SUMIF('[1]TrialBalance (YTD)'!$C:$C,B353,'[1]TrialBalance (YTD)'!$E:$E),SUMIF('[1]TrialBalance (YTD)'!$G:$G,B353,'[1]TrialBalance (YTD)'!$I:$I))</f>
        <v>#VALUE!</v>
      </c>
      <c r="G353" s="5">
        <f>IFERROR(INDEX('[1]TrialBalance (YTD)'!$G:$S,MATCH([1]TBMapping!$C355,'[1]TrialBalance (YTD)'!G:G,0),MATCH([1]TBMapping!H$3,'[1]TrialBalance (YTD)'!$G$7:$Z$7,0)),0)</f>
        <v>0</v>
      </c>
      <c r="H353" s="5" t="e">
        <f>SUMIF('[1]TrialBalance (YTD)'!G:G,B353,'[1]TrialBalance (YTD)'!H:H)</f>
        <v>#VALUE!</v>
      </c>
      <c r="I353" s="5">
        <f>IFERROR(INDEX('[1]TrialBalance (YTD)'!$G:$S,MATCH([1]TBMapping!$C355,'[1]TrialBalance (YTD)'!G:G,0),MATCH([1]TBMapping!J$3,'[1]TrialBalance (YTD)'!$G$7:$Z$7,0)),0)</f>
        <v>0</v>
      </c>
      <c r="K353" s="5" t="e">
        <f>SUMIF('[1]TrialBalance (Quarter)'!$A:$A,B353,'[1]TrialBalance (Quarter)'!$B:$B)</f>
        <v>#VALUE!</v>
      </c>
      <c r="L353" s="5">
        <f>IFERROR(INDEX('[1]TrialBalance (Quarter)'!$A:$L,MATCH([1]TBMapping!$C355,'[1]TrialBalance (Quarter)'!A:A,0),MATCH([1]TBMapping!M$3,'[1]TrialBalance (Quarter)'!$7:$7,0)),0)</f>
        <v>0</v>
      </c>
      <c r="M353" s="5">
        <f>IFERROR(INDEX('[1]TrialBalance (Quarter)'!$A:$L,MATCH([1]TBMapping!$C355,'[1]TrialBalance (Quarter)'!A:A,0),MATCH([1]TBMapping!N$3,'[1]TrialBalance (Quarter)'!$7:$7,0)),0)</f>
        <v>0</v>
      </c>
      <c r="N353" s="5">
        <f>IFERROR(INDEX('[1]TrialBalance (Quarter)'!$A:$L,MATCH([1]TBMapping!$C355,'[1]TrialBalance (Quarter)'!A:A,0),MATCH([1]TBMapping!O$3,'[1]TrialBalance (Quarter)'!$7:$7,0)),0)</f>
        <v>0</v>
      </c>
    </row>
    <row r="354" spans="1:14">
      <c r="A354" s="2">
        <v>107</v>
      </c>
      <c r="B354" s="3">
        <v>134210</v>
      </c>
      <c r="C354" s="11" t="s">
        <v>325</v>
      </c>
      <c r="D354" s="11" t="s">
        <v>11</v>
      </c>
      <c r="E354" s="11"/>
      <c r="F354" s="5" t="e">
        <f>IF(DataExtraction="Manual",SUMIF('[1]TrialBalance (YTD)'!$C:$C,B354,'[1]TrialBalance (YTD)'!$E:$E),SUMIF('[1]TrialBalance (YTD)'!$G:$G,B354,'[1]TrialBalance (YTD)'!$I:$I))</f>
        <v>#VALUE!</v>
      </c>
      <c r="G354" s="5">
        <f>IFERROR(INDEX('[1]TrialBalance (YTD)'!$G:$S,MATCH([1]TBMapping!$C356,'[1]TrialBalance (YTD)'!G:G,0),MATCH([1]TBMapping!H$3,'[1]TrialBalance (YTD)'!$G$7:$Z$7,0)),0)</f>
        <v>0</v>
      </c>
      <c r="H354" s="5" t="e">
        <f>SUMIF('[1]TrialBalance (YTD)'!G:G,B354,'[1]TrialBalance (YTD)'!H:H)</f>
        <v>#VALUE!</v>
      </c>
      <c r="I354" s="5">
        <f>IFERROR(INDEX('[1]TrialBalance (YTD)'!$G:$S,MATCH([1]TBMapping!$C356,'[1]TrialBalance (YTD)'!G:G,0),MATCH([1]TBMapping!J$3,'[1]TrialBalance (YTD)'!$G$7:$Z$7,0)),0)</f>
        <v>0</v>
      </c>
      <c r="K354" s="5" t="e">
        <f>SUMIF('[1]TrialBalance (Quarter)'!$A:$A,B354,'[1]TrialBalance (Quarter)'!$B:$B)</f>
        <v>#VALUE!</v>
      </c>
      <c r="L354" s="5">
        <f>IFERROR(INDEX('[1]TrialBalance (Quarter)'!$A:$L,MATCH([1]TBMapping!$C356,'[1]TrialBalance (Quarter)'!A:A,0),MATCH([1]TBMapping!M$3,'[1]TrialBalance (Quarter)'!$7:$7,0)),0)</f>
        <v>0</v>
      </c>
      <c r="M354" s="5">
        <f>IFERROR(INDEX('[1]TrialBalance (Quarter)'!$A:$L,MATCH([1]TBMapping!$C356,'[1]TrialBalance (Quarter)'!A:A,0),MATCH([1]TBMapping!N$3,'[1]TrialBalance (Quarter)'!$7:$7,0)),0)</f>
        <v>0</v>
      </c>
      <c r="N354" s="5">
        <f>IFERROR(INDEX('[1]TrialBalance (Quarter)'!$A:$L,MATCH([1]TBMapping!$C356,'[1]TrialBalance (Quarter)'!A:A,0),MATCH([1]TBMapping!O$3,'[1]TrialBalance (Quarter)'!$7:$7,0)),0)</f>
        <v>0</v>
      </c>
    </row>
    <row r="355" spans="1:14">
      <c r="A355" s="2">
        <v>107</v>
      </c>
      <c r="B355" s="3">
        <v>134220</v>
      </c>
      <c r="C355" s="10" t="s">
        <v>326</v>
      </c>
      <c r="D355" s="10" t="s">
        <v>11</v>
      </c>
      <c r="E355" s="10"/>
      <c r="F355" s="5" t="e">
        <f>IF(DataExtraction="Manual",SUMIF('[1]TrialBalance (YTD)'!$C:$C,B355,'[1]TrialBalance (YTD)'!$E:$E),SUMIF('[1]TrialBalance (YTD)'!$G:$G,B355,'[1]TrialBalance (YTD)'!$I:$I))</f>
        <v>#VALUE!</v>
      </c>
      <c r="G355" s="5">
        <f>IFERROR(INDEX('[1]TrialBalance (YTD)'!$G:$S,MATCH([1]TBMapping!$C357,'[1]TrialBalance (YTD)'!G:G,0),MATCH([1]TBMapping!H$3,'[1]TrialBalance (YTD)'!$G$7:$Z$7,0)),0)</f>
        <v>0</v>
      </c>
      <c r="H355" s="5" t="e">
        <f>SUMIF('[1]TrialBalance (YTD)'!G:G,B355,'[1]TrialBalance (YTD)'!H:H)</f>
        <v>#VALUE!</v>
      </c>
      <c r="I355" s="5">
        <f>IFERROR(INDEX('[1]TrialBalance (YTD)'!$G:$S,MATCH([1]TBMapping!$C357,'[1]TrialBalance (YTD)'!G:G,0),MATCH([1]TBMapping!J$3,'[1]TrialBalance (YTD)'!$G$7:$Z$7,0)),0)</f>
        <v>15393.34</v>
      </c>
      <c r="K355" s="5" t="e">
        <f>SUMIF('[1]TrialBalance (Quarter)'!$A:$A,B355,'[1]TrialBalance (Quarter)'!$B:$B)</f>
        <v>#VALUE!</v>
      </c>
      <c r="L355" s="5">
        <f>IFERROR(INDEX('[1]TrialBalance (Quarter)'!$A:$L,MATCH([1]TBMapping!$C357,'[1]TrialBalance (Quarter)'!A:A,0),MATCH([1]TBMapping!M$3,'[1]TrialBalance (Quarter)'!$7:$7,0)),0)</f>
        <v>0</v>
      </c>
      <c r="M355" s="5">
        <f>IFERROR(INDEX('[1]TrialBalance (Quarter)'!$A:$L,MATCH([1]TBMapping!$C357,'[1]TrialBalance (Quarter)'!A:A,0),MATCH([1]TBMapping!N$3,'[1]TrialBalance (Quarter)'!$7:$7,0)),0)</f>
        <v>4966.28</v>
      </c>
      <c r="N355" s="5">
        <f>IFERROR(INDEX('[1]TrialBalance (Quarter)'!$A:$L,MATCH([1]TBMapping!$C357,'[1]TrialBalance (Quarter)'!A:A,0),MATCH([1]TBMapping!O$3,'[1]TrialBalance (Quarter)'!$7:$7,0)),0)</f>
        <v>8596.15</v>
      </c>
    </row>
    <row r="356" spans="1:14">
      <c r="A356" s="2">
        <v>107</v>
      </c>
      <c r="B356" s="3">
        <v>134230</v>
      </c>
      <c r="C356" s="11" t="s">
        <v>70</v>
      </c>
      <c r="D356" s="11" t="s">
        <v>11</v>
      </c>
      <c r="E356" s="11"/>
      <c r="F356" s="5" t="e">
        <f>IF(DataExtraction="Manual",SUMIF('[1]TrialBalance (YTD)'!$C:$C,B356,'[1]TrialBalance (YTD)'!$E:$E),SUMIF('[1]TrialBalance (YTD)'!$G:$G,B356,'[1]TrialBalance (YTD)'!$I:$I))</f>
        <v>#VALUE!</v>
      </c>
      <c r="G356" s="5">
        <f>IFERROR(INDEX('[1]TrialBalance (YTD)'!$G:$S,MATCH([1]TBMapping!$C358,'[1]TrialBalance (YTD)'!G:G,0),MATCH([1]TBMapping!H$3,'[1]TrialBalance (YTD)'!$G$7:$Z$7,0)),0)</f>
        <v>0</v>
      </c>
      <c r="H356" s="5" t="e">
        <f>SUMIF('[1]TrialBalance (YTD)'!G:G,B356,'[1]TrialBalance (YTD)'!H:H)</f>
        <v>#VALUE!</v>
      </c>
      <c r="I356" s="5">
        <f>IFERROR(INDEX('[1]TrialBalance (YTD)'!$G:$S,MATCH([1]TBMapping!$C358,'[1]TrialBalance (YTD)'!G:G,0),MATCH([1]TBMapping!J$3,'[1]TrialBalance (YTD)'!$G$7:$Z$7,0)),0)</f>
        <v>1789</v>
      </c>
      <c r="K356" s="5" t="e">
        <f>SUMIF('[1]TrialBalance (Quarter)'!$A:$A,B356,'[1]TrialBalance (Quarter)'!$B:$B)</f>
        <v>#VALUE!</v>
      </c>
      <c r="L356" s="5">
        <f>IFERROR(INDEX('[1]TrialBalance (Quarter)'!$A:$L,MATCH([1]TBMapping!$C358,'[1]TrialBalance (Quarter)'!A:A,0),MATCH([1]TBMapping!M$3,'[1]TrialBalance (Quarter)'!$7:$7,0)),0)</f>
        <v>0</v>
      </c>
      <c r="M356" s="5">
        <f>IFERROR(INDEX('[1]TrialBalance (Quarter)'!$A:$L,MATCH([1]TBMapping!$C358,'[1]TrialBalance (Quarter)'!A:A,0),MATCH([1]TBMapping!N$3,'[1]TrialBalance (Quarter)'!$7:$7,0)),0)</f>
        <v>250</v>
      </c>
      <c r="N356" s="5">
        <f>IFERROR(INDEX('[1]TrialBalance (Quarter)'!$A:$L,MATCH([1]TBMapping!$C358,'[1]TrialBalance (Quarter)'!A:A,0),MATCH([1]TBMapping!O$3,'[1]TrialBalance (Quarter)'!$7:$7,0)),0)</f>
        <v>1789</v>
      </c>
    </row>
    <row r="357" spans="1:14">
      <c r="B357" s="3">
        <v>134999</v>
      </c>
      <c r="C357" s="10" t="s">
        <v>327</v>
      </c>
      <c r="D357" s="10" t="s">
        <v>16</v>
      </c>
      <c r="E357" s="10"/>
      <c r="F357" s="5" t="e">
        <f>IF(DataExtraction="Manual",SUMIF('[1]TrialBalance (YTD)'!$C:$C,B357,'[1]TrialBalance (YTD)'!$E:$E),SUMIF('[1]TrialBalance (YTD)'!$G:$G,B357,'[1]TrialBalance (YTD)'!$I:$I))</f>
        <v>#VALUE!</v>
      </c>
      <c r="G357" s="5">
        <f>IFERROR(INDEX('[1]TrialBalance (YTD)'!$G:$S,MATCH([1]TBMapping!$C359,'[1]TrialBalance (YTD)'!G:G,0),MATCH([1]TBMapping!H$3,'[1]TrialBalance (YTD)'!$G$7:$Z$7,0)),0)</f>
        <v>0</v>
      </c>
      <c r="H357" s="5" t="e">
        <f>SUMIF('[1]TrialBalance (YTD)'!G:G,B357,'[1]TrialBalance (YTD)'!H:H)</f>
        <v>#VALUE!</v>
      </c>
      <c r="I357" s="5">
        <f>IFERROR(INDEX('[1]TrialBalance (YTD)'!$G:$S,MATCH([1]TBMapping!$C359,'[1]TrialBalance (YTD)'!G:G,0),MATCH([1]TBMapping!J$3,'[1]TrialBalance (YTD)'!$G$7:$Z$7,0)),0)</f>
        <v>0</v>
      </c>
      <c r="K357" s="5" t="e">
        <f>SUMIF('[1]TrialBalance (Quarter)'!$A:$A,B357,'[1]TrialBalance (Quarter)'!$B:$B)</f>
        <v>#VALUE!</v>
      </c>
      <c r="L357" s="5">
        <f>IFERROR(INDEX('[1]TrialBalance (Quarter)'!$A:$L,MATCH([1]TBMapping!$C359,'[1]TrialBalance (Quarter)'!A:A,0),MATCH([1]TBMapping!M$3,'[1]TrialBalance (Quarter)'!$7:$7,0)),0)</f>
        <v>0</v>
      </c>
      <c r="M357" s="5">
        <f>IFERROR(INDEX('[1]TrialBalance (Quarter)'!$A:$L,MATCH([1]TBMapping!$C359,'[1]TrialBalance (Quarter)'!A:A,0),MATCH([1]TBMapping!N$3,'[1]TrialBalance (Quarter)'!$7:$7,0)),0)</f>
        <v>0</v>
      </c>
      <c r="N357" s="5">
        <f>IFERROR(INDEX('[1]TrialBalance (Quarter)'!$A:$L,MATCH([1]TBMapping!$C359,'[1]TrialBalance (Quarter)'!A:A,0),MATCH([1]TBMapping!O$3,'[1]TrialBalance (Quarter)'!$7:$7,0)),0)</f>
        <v>0</v>
      </c>
    </row>
    <row r="358" spans="1:14">
      <c r="B358" s="3">
        <v>135000</v>
      </c>
      <c r="C358" s="11" t="s">
        <v>256</v>
      </c>
      <c r="D358" s="11" t="s">
        <v>5</v>
      </c>
      <c r="E358" s="11"/>
      <c r="F358" s="5" t="e">
        <f>IF(DataExtraction="Manual",SUMIF('[1]TrialBalance (YTD)'!$C:$C,B358,'[1]TrialBalance (YTD)'!$E:$E),SUMIF('[1]TrialBalance (YTD)'!$G:$G,B358,'[1]TrialBalance (YTD)'!$I:$I))</f>
        <v>#VALUE!</v>
      </c>
      <c r="G358" s="5">
        <f>IFERROR(INDEX('[1]TrialBalance (YTD)'!$G:$S,MATCH([1]TBMapping!$C360,'[1]TrialBalance (YTD)'!G:G,0),MATCH([1]TBMapping!H$3,'[1]TrialBalance (YTD)'!$G$7:$Z$7,0)),0)</f>
        <v>0</v>
      </c>
      <c r="H358" s="5" t="e">
        <f>SUMIF('[1]TrialBalance (YTD)'!G:G,B358,'[1]TrialBalance (YTD)'!H:H)</f>
        <v>#VALUE!</v>
      </c>
      <c r="I358" s="5">
        <f>IFERROR(INDEX('[1]TrialBalance (YTD)'!$G:$S,MATCH([1]TBMapping!$C360,'[1]TrialBalance (YTD)'!G:G,0),MATCH([1]TBMapping!J$3,'[1]TrialBalance (YTD)'!$G$7:$Z$7,0)),0)</f>
        <v>0</v>
      </c>
      <c r="K358" s="5" t="e">
        <f>SUMIF('[1]TrialBalance (Quarter)'!$A:$A,B358,'[1]TrialBalance (Quarter)'!$B:$B)</f>
        <v>#VALUE!</v>
      </c>
      <c r="L358" s="5">
        <f>IFERROR(INDEX('[1]TrialBalance (Quarter)'!$A:$L,MATCH([1]TBMapping!$C360,'[1]TrialBalance (Quarter)'!A:A,0),MATCH([1]TBMapping!M$3,'[1]TrialBalance (Quarter)'!$7:$7,0)),0)</f>
        <v>0</v>
      </c>
      <c r="M358" s="5">
        <f>IFERROR(INDEX('[1]TrialBalance (Quarter)'!$A:$L,MATCH([1]TBMapping!$C360,'[1]TrialBalance (Quarter)'!A:A,0),MATCH([1]TBMapping!N$3,'[1]TrialBalance (Quarter)'!$7:$7,0)),0)</f>
        <v>0</v>
      </c>
      <c r="N358" s="5">
        <f>IFERROR(INDEX('[1]TrialBalance (Quarter)'!$A:$L,MATCH([1]TBMapping!$C360,'[1]TrialBalance (Quarter)'!A:A,0),MATCH([1]TBMapping!O$3,'[1]TrialBalance (Quarter)'!$7:$7,0)),0)</f>
        <v>0</v>
      </c>
    </row>
    <row r="359" spans="1:14">
      <c r="A359" s="2">
        <v>107</v>
      </c>
      <c r="B359" s="3">
        <v>135110</v>
      </c>
      <c r="C359" s="10" t="s">
        <v>328</v>
      </c>
      <c r="D359" s="10" t="s">
        <v>11</v>
      </c>
      <c r="E359" s="10"/>
      <c r="F359" s="5" t="e">
        <f>IF(DataExtraction="Manual",SUMIF('[1]TrialBalance (YTD)'!$C:$C,B359,'[1]TrialBalance (YTD)'!$E:$E),SUMIF('[1]TrialBalance (YTD)'!$G:$G,B359,'[1]TrialBalance (YTD)'!$I:$I))</f>
        <v>#VALUE!</v>
      </c>
      <c r="G359" s="5">
        <f>IFERROR(INDEX('[1]TrialBalance (YTD)'!$G:$S,MATCH([1]TBMapping!$C361,'[1]TrialBalance (YTD)'!G:G,0),MATCH([1]TBMapping!H$3,'[1]TrialBalance (YTD)'!$G$7:$Z$7,0)),0)</f>
        <v>0</v>
      </c>
      <c r="H359" s="5" t="e">
        <f>SUMIF('[1]TrialBalance (YTD)'!G:G,B359,'[1]TrialBalance (YTD)'!H:H)</f>
        <v>#VALUE!</v>
      </c>
      <c r="I359" s="5">
        <f>IFERROR(INDEX('[1]TrialBalance (YTD)'!$G:$S,MATCH([1]TBMapping!$C361,'[1]TrialBalance (YTD)'!G:G,0),MATCH([1]TBMapping!J$3,'[1]TrialBalance (YTD)'!$G$7:$Z$7,0)),0)</f>
        <v>0</v>
      </c>
      <c r="K359" s="5" t="e">
        <f>SUMIF('[1]TrialBalance (Quarter)'!$A:$A,B359,'[1]TrialBalance (Quarter)'!$B:$B)</f>
        <v>#VALUE!</v>
      </c>
      <c r="L359" s="5">
        <f>IFERROR(INDEX('[1]TrialBalance (Quarter)'!$A:$L,MATCH([1]TBMapping!$C361,'[1]TrialBalance (Quarter)'!A:A,0),MATCH([1]TBMapping!M$3,'[1]TrialBalance (Quarter)'!$7:$7,0)),0)</f>
        <v>0</v>
      </c>
      <c r="M359" s="5">
        <f>IFERROR(INDEX('[1]TrialBalance (Quarter)'!$A:$L,MATCH([1]TBMapping!$C361,'[1]TrialBalance (Quarter)'!A:A,0),MATCH([1]TBMapping!N$3,'[1]TrialBalance (Quarter)'!$7:$7,0)),0)</f>
        <v>0</v>
      </c>
      <c r="N359" s="5">
        <f>IFERROR(INDEX('[1]TrialBalance (Quarter)'!$A:$L,MATCH([1]TBMapping!$C361,'[1]TrialBalance (Quarter)'!A:A,0),MATCH([1]TBMapping!O$3,'[1]TrialBalance (Quarter)'!$7:$7,0)),0)</f>
        <v>0</v>
      </c>
    </row>
    <row r="360" spans="1:14">
      <c r="A360" s="2">
        <v>107</v>
      </c>
      <c r="B360" s="3">
        <v>135120</v>
      </c>
      <c r="C360" s="11" t="s">
        <v>262</v>
      </c>
      <c r="D360" s="11" t="s">
        <v>11</v>
      </c>
      <c r="E360" s="11"/>
      <c r="F360" s="5" t="e">
        <f>IF(DataExtraction="Manual",SUMIF('[1]TrialBalance (YTD)'!$C:$C,B360,'[1]TrialBalance (YTD)'!$E:$E),SUMIF('[1]TrialBalance (YTD)'!$G:$G,B360,'[1]TrialBalance (YTD)'!$I:$I))</f>
        <v>#VALUE!</v>
      </c>
      <c r="G360" s="5">
        <f>IFERROR(INDEX('[1]TrialBalance (YTD)'!$G:$S,MATCH([1]TBMapping!$C362,'[1]TrialBalance (YTD)'!G:G,0),MATCH([1]TBMapping!H$3,'[1]TrialBalance (YTD)'!$G$7:$Z$7,0)),0)</f>
        <v>0</v>
      </c>
      <c r="H360" s="5" t="e">
        <f>SUMIF('[1]TrialBalance (YTD)'!G:G,B360,'[1]TrialBalance (YTD)'!H:H)</f>
        <v>#VALUE!</v>
      </c>
      <c r="I360" s="5">
        <f>IFERROR(INDEX('[1]TrialBalance (YTD)'!$G:$S,MATCH([1]TBMapping!$C362,'[1]TrialBalance (YTD)'!G:G,0),MATCH([1]TBMapping!J$3,'[1]TrialBalance (YTD)'!$G$7:$Z$7,0)),0)</f>
        <v>0</v>
      </c>
      <c r="K360" s="5" t="e">
        <f>SUMIF('[1]TrialBalance (Quarter)'!$A:$A,B360,'[1]TrialBalance (Quarter)'!$B:$B)</f>
        <v>#VALUE!</v>
      </c>
      <c r="L360" s="5">
        <f>IFERROR(INDEX('[1]TrialBalance (Quarter)'!$A:$L,MATCH([1]TBMapping!$C362,'[1]TrialBalance (Quarter)'!A:A,0),MATCH([1]TBMapping!M$3,'[1]TrialBalance (Quarter)'!$7:$7,0)),0)</f>
        <v>0</v>
      </c>
      <c r="M360" s="5">
        <f>IFERROR(INDEX('[1]TrialBalance (Quarter)'!$A:$L,MATCH([1]TBMapping!$C362,'[1]TrialBalance (Quarter)'!A:A,0),MATCH([1]TBMapping!N$3,'[1]TrialBalance (Quarter)'!$7:$7,0)),0)</f>
        <v>0</v>
      </c>
      <c r="N360" s="5">
        <f>IFERROR(INDEX('[1]TrialBalance (Quarter)'!$A:$L,MATCH([1]TBMapping!$C362,'[1]TrialBalance (Quarter)'!A:A,0),MATCH([1]TBMapping!O$3,'[1]TrialBalance (Quarter)'!$7:$7,0)),0)</f>
        <v>0</v>
      </c>
    </row>
    <row r="361" spans="1:14">
      <c r="A361" s="2">
        <v>107</v>
      </c>
      <c r="B361" s="3">
        <v>135130</v>
      </c>
      <c r="C361" s="10" t="s">
        <v>329</v>
      </c>
      <c r="D361" s="10" t="s">
        <v>11</v>
      </c>
      <c r="E361" s="10"/>
      <c r="F361" s="5" t="e">
        <f>IF(DataExtraction="Manual",SUMIF('[1]TrialBalance (YTD)'!$C:$C,B361,'[1]TrialBalance (YTD)'!$E:$E),SUMIF('[1]TrialBalance (YTD)'!$G:$G,B361,'[1]TrialBalance (YTD)'!$I:$I))</f>
        <v>#VALUE!</v>
      </c>
      <c r="G361" s="5">
        <f>IFERROR(INDEX('[1]TrialBalance (YTD)'!$G:$S,MATCH([1]TBMapping!$C363,'[1]TrialBalance (YTD)'!G:G,0),MATCH([1]TBMapping!H$3,'[1]TrialBalance (YTD)'!$G$7:$Z$7,0)),0)</f>
        <v>0</v>
      </c>
      <c r="H361" s="5" t="e">
        <f>SUMIF('[1]TrialBalance (YTD)'!G:G,B361,'[1]TrialBalance (YTD)'!H:H)</f>
        <v>#VALUE!</v>
      </c>
      <c r="I361" s="5">
        <f>IFERROR(INDEX('[1]TrialBalance (YTD)'!$G:$S,MATCH([1]TBMapping!$C363,'[1]TrialBalance (YTD)'!G:G,0),MATCH([1]TBMapping!J$3,'[1]TrialBalance (YTD)'!$G$7:$Z$7,0)),0)</f>
        <v>0</v>
      </c>
      <c r="K361" s="5" t="e">
        <f>SUMIF('[1]TrialBalance (Quarter)'!$A:$A,B361,'[1]TrialBalance (Quarter)'!$B:$B)</f>
        <v>#VALUE!</v>
      </c>
      <c r="L361" s="5">
        <f>IFERROR(INDEX('[1]TrialBalance (Quarter)'!$A:$L,MATCH([1]TBMapping!$C363,'[1]TrialBalance (Quarter)'!A:A,0),MATCH([1]TBMapping!M$3,'[1]TrialBalance (Quarter)'!$7:$7,0)),0)</f>
        <v>0</v>
      </c>
      <c r="M361" s="5">
        <f>IFERROR(INDEX('[1]TrialBalance (Quarter)'!$A:$L,MATCH([1]TBMapping!$C363,'[1]TrialBalance (Quarter)'!A:A,0),MATCH([1]TBMapping!N$3,'[1]TrialBalance (Quarter)'!$7:$7,0)),0)</f>
        <v>0</v>
      </c>
      <c r="N361" s="5">
        <f>IFERROR(INDEX('[1]TrialBalance (Quarter)'!$A:$L,MATCH([1]TBMapping!$C363,'[1]TrialBalance (Quarter)'!A:A,0),MATCH([1]TBMapping!O$3,'[1]TrialBalance (Quarter)'!$7:$7,0)),0)</f>
        <v>0</v>
      </c>
    </row>
    <row r="362" spans="1:14">
      <c r="A362" s="2">
        <v>107</v>
      </c>
      <c r="B362" s="3">
        <v>135140</v>
      </c>
      <c r="C362" s="11" t="s">
        <v>330</v>
      </c>
      <c r="D362" s="11" t="s">
        <v>11</v>
      </c>
      <c r="E362" s="11"/>
      <c r="F362" s="5" t="e">
        <f>IF(DataExtraction="Manual",SUMIF('[1]TrialBalance (YTD)'!$C:$C,B362,'[1]TrialBalance (YTD)'!$E:$E),SUMIF('[1]TrialBalance (YTD)'!$G:$G,B362,'[1]TrialBalance (YTD)'!$I:$I))</f>
        <v>#VALUE!</v>
      </c>
      <c r="G362" s="5">
        <f>IFERROR(INDEX('[1]TrialBalance (YTD)'!$G:$S,MATCH([1]TBMapping!$C364,'[1]TrialBalance (YTD)'!G:G,0),MATCH([1]TBMapping!H$3,'[1]TrialBalance (YTD)'!$G$7:$Z$7,0)),0)</f>
        <v>0</v>
      </c>
      <c r="H362" s="5" t="e">
        <f>SUMIF('[1]TrialBalance (YTD)'!G:G,B362,'[1]TrialBalance (YTD)'!H:H)</f>
        <v>#VALUE!</v>
      </c>
      <c r="I362" s="5">
        <f>IFERROR(INDEX('[1]TrialBalance (YTD)'!$G:$S,MATCH([1]TBMapping!$C364,'[1]TrialBalance (YTD)'!G:G,0),MATCH([1]TBMapping!J$3,'[1]TrialBalance (YTD)'!$G$7:$Z$7,0)),0)</f>
        <v>0</v>
      </c>
      <c r="K362" s="5" t="e">
        <f>SUMIF('[1]TrialBalance (Quarter)'!$A:$A,B362,'[1]TrialBalance (Quarter)'!$B:$B)</f>
        <v>#VALUE!</v>
      </c>
      <c r="L362" s="5">
        <f>IFERROR(INDEX('[1]TrialBalance (Quarter)'!$A:$L,MATCH([1]TBMapping!$C364,'[1]TrialBalance (Quarter)'!A:A,0),MATCH([1]TBMapping!M$3,'[1]TrialBalance (Quarter)'!$7:$7,0)),0)</f>
        <v>0</v>
      </c>
      <c r="M362" s="5">
        <f>IFERROR(INDEX('[1]TrialBalance (Quarter)'!$A:$L,MATCH([1]TBMapping!$C364,'[1]TrialBalance (Quarter)'!A:A,0),MATCH([1]TBMapping!N$3,'[1]TrialBalance (Quarter)'!$7:$7,0)),0)</f>
        <v>0</v>
      </c>
      <c r="N362" s="5">
        <f>IFERROR(INDEX('[1]TrialBalance (Quarter)'!$A:$L,MATCH([1]TBMapping!$C364,'[1]TrialBalance (Quarter)'!A:A,0),MATCH([1]TBMapping!O$3,'[1]TrialBalance (Quarter)'!$7:$7,0)),0)</f>
        <v>0</v>
      </c>
    </row>
    <row r="363" spans="1:14">
      <c r="A363" s="2">
        <v>107</v>
      </c>
      <c r="B363" s="3">
        <v>135150</v>
      </c>
      <c r="C363" s="10" t="s">
        <v>331</v>
      </c>
      <c r="D363" s="10" t="s">
        <v>11</v>
      </c>
      <c r="E363" s="10"/>
      <c r="F363" s="5" t="e">
        <f>IF(DataExtraction="Manual",SUMIF('[1]TrialBalance (YTD)'!$C:$C,B363,'[1]TrialBalance (YTD)'!$E:$E),SUMIF('[1]TrialBalance (YTD)'!$G:$G,B363,'[1]TrialBalance (YTD)'!$I:$I))</f>
        <v>#VALUE!</v>
      </c>
      <c r="G363" s="5">
        <f>IFERROR(INDEX('[1]TrialBalance (YTD)'!$G:$S,MATCH([1]TBMapping!$C365,'[1]TrialBalance (YTD)'!G:G,0),MATCH([1]TBMapping!H$3,'[1]TrialBalance (YTD)'!$G$7:$Z$7,0)),0)</f>
        <v>0</v>
      </c>
      <c r="H363" s="5" t="e">
        <f>SUMIF('[1]TrialBalance (YTD)'!G:G,B363,'[1]TrialBalance (YTD)'!H:H)</f>
        <v>#VALUE!</v>
      </c>
      <c r="I363" s="5">
        <f>IFERROR(INDEX('[1]TrialBalance (YTD)'!$G:$S,MATCH([1]TBMapping!$C365,'[1]TrialBalance (YTD)'!G:G,0),MATCH([1]TBMapping!J$3,'[1]TrialBalance (YTD)'!$G$7:$Z$7,0)),0)</f>
        <v>0</v>
      </c>
      <c r="K363" s="5" t="e">
        <f>SUMIF('[1]TrialBalance (Quarter)'!$A:$A,B363,'[1]TrialBalance (Quarter)'!$B:$B)</f>
        <v>#VALUE!</v>
      </c>
      <c r="L363" s="5">
        <f>IFERROR(INDEX('[1]TrialBalance (Quarter)'!$A:$L,MATCH([1]TBMapping!$C365,'[1]TrialBalance (Quarter)'!A:A,0),MATCH([1]TBMapping!M$3,'[1]TrialBalance (Quarter)'!$7:$7,0)),0)</f>
        <v>0</v>
      </c>
      <c r="M363" s="5">
        <f>IFERROR(INDEX('[1]TrialBalance (Quarter)'!$A:$L,MATCH([1]TBMapping!$C365,'[1]TrialBalance (Quarter)'!A:A,0),MATCH([1]TBMapping!N$3,'[1]TrialBalance (Quarter)'!$7:$7,0)),0)</f>
        <v>0</v>
      </c>
      <c r="N363" s="5">
        <f>IFERROR(INDEX('[1]TrialBalance (Quarter)'!$A:$L,MATCH([1]TBMapping!$C365,'[1]TrialBalance (Quarter)'!A:A,0),MATCH([1]TBMapping!O$3,'[1]TrialBalance (Quarter)'!$7:$7,0)),0)</f>
        <v>0</v>
      </c>
    </row>
    <row r="364" spans="1:14">
      <c r="A364" s="2">
        <v>107</v>
      </c>
      <c r="B364" s="3">
        <v>135160</v>
      </c>
      <c r="C364" s="11" t="s">
        <v>332</v>
      </c>
      <c r="D364" s="11" t="s">
        <v>11</v>
      </c>
      <c r="E364" s="11"/>
      <c r="F364" s="5" t="e">
        <f>IF(DataExtraction="Manual",SUMIF('[1]TrialBalance (YTD)'!$C:$C,B364,'[1]TrialBalance (YTD)'!$E:$E),SUMIF('[1]TrialBalance (YTD)'!$G:$G,B364,'[1]TrialBalance (YTD)'!$I:$I))</f>
        <v>#VALUE!</v>
      </c>
      <c r="G364" s="5">
        <f>IFERROR(INDEX('[1]TrialBalance (YTD)'!$G:$S,MATCH([1]TBMapping!$C366,'[1]TrialBalance (YTD)'!G:G,0),MATCH([1]TBMapping!H$3,'[1]TrialBalance (YTD)'!$G$7:$Z$7,0)),0)</f>
        <v>0</v>
      </c>
      <c r="H364" s="5" t="e">
        <f>SUMIF('[1]TrialBalance (YTD)'!G:G,B364,'[1]TrialBalance (YTD)'!H:H)</f>
        <v>#VALUE!</v>
      </c>
      <c r="I364" s="5">
        <f>IFERROR(INDEX('[1]TrialBalance (YTD)'!$G:$S,MATCH([1]TBMapping!$C366,'[1]TrialBalance (YTD)'!G:G,0),MATCH([1]TBMapping!J$3,'[1]TrialBalance (YTD)'!$G$7:$Z$7,0)),0)</f>
        <v>0</v>
      </c>
      <c r="K364" s="5" t="e">
        <f>SUMIF('[1]TrialBalance (Quarter)'!$A:$A,B364,'[1]TrialBalance (Quarter)'!$B:$B)</f>
        <v>#VALUE!</v>
      </c>
      <c r="L364" s="5">
        <f>IFERROR(INDEX('[1]TrialBalance (Quarter)'!$A:$L,MATCH([1]TBMapping!$C366,'[1]TrialBalance (Quarter)'!A:A,0),MATCH([1]TBMapping!M$3,'[1]TrialBalance (Quarter)'!$7:$7,0)),0)</f>
        <v>0</v>
      </c>
      <c r="M364" s="5">
        <f>IFERROR(INDEX('[1]TrialBalance (Quarter)'!$A:$L,MATCH([1]TBMapping!$C366,'[1]TrialBalance (Quarter)'!A:A,0),MATCH([1]TBMapping!N$3,'[1]TrialBalance (Quarter)'!$7:$7,0)),0)</f>
        <v>0</v>
      </c>
      <c r="N364" s="5">
        <f>IFERROR(INDEX('[1]TrialBalance (Quarter)'!$A:$L,MATCH([1]TBMapping!$C366,'[1]TrialBalance (Quarter)'!A:A,0),MATCH([1]TBMapping!O$3,'[1]TrialBalance (Quarter)'!$7:$7,0)),0)</f>
        <v>0</v>
      </c>
    </row>
    <row r="365" spans="1:14">
      <c r="A365" s="2">
        <v>107</v>
      </c>
      <c r="B365" s="3">
        <v>135170</v>
      </c>
      <c r="C365" s="10" t="s">
        <v>333</v>
      </c>
      <c r="D365" s="10" t="s">
        <v>11</v>
      </c>
      <c r="E365" s="10"/>
      <c r="F365" s="5" t="e">
        <f>IF(DataExtraction="Manual",SUMIF('[1]TrialBalance (YTD)'!$C:$C,B365,'[1]TrialBalance (YTD)'!$E:$E),SUMIF('[1]TrialBalance (YTD)'!$G:$G,B365,'[1]TrialBalance (YTD)'!$I:$I))</f>
        <v>#VALUE!</v>
      </c>
      <c r="G365" s="5">
        <f>IFERROR(INDEX('[1]TrialBalance (YTD)'!$G:$S,MATCH([1]TBMapping!$C367,'[1]TrialBalance (YTD)'!G:G,0),MATCH([1]TBMapping!H$3,'[1]TrialBalance (YTD)'!$G$7:$Z$7,0)),0)</f>
        <v>0</v>
      </c>
      <c r="H365" s="5" t="e">
        <f>SUMIF('[1]TrialBalance (YTD)'!G:G,B365,'[1]TrialBalance (YTD)'!H:H)</f>
        <v>#VALUE!</v>
      </c>
      <c r="I365" s="5">
        <f>IFERROR(INDEX('[1]TrialBalance (YTD)'!$G:$S,MATCH([1]TBMapping!$C367,'[1]TrialBalance (YTD)'!G:G,0),MATCH([1]TBMapping!J$3,'[1]TrialBalance (YTD)'!$G$7:$Z$7,0)),0)</f>
        <v>0</v>
      </c>
      <c r="K365" s="5" t="e">
        <f>SUMIF('[1]TrialBalance (Quarter)'!$A:$A,B365,'[1]TrialBalance (Quarter)'!$B:$B)</f>
        <v>#VALUE!</v>
      </c>
      <c r="L365" s="5">
        <f>IFERROR(INDEX('[1]TrialBalance (Quarter)'!$A:$L,MATCH([1]TBMapping!$C367,'[1]TrialBalance (Quarter)'!A:A,0),MATCH([1]TBMapping!M$3,'[1]TrialBalance (Quarter)'!$7:$7,0)),0)</f>
        <v>0</v>
      </c>
      <c r="M365" s="5">
        <f>IFERROR(INDEX('[1]TrialBalance (Quarter)'!$A:$L,MATCH([1]TBMapping!$C367,'[1]TrialBalance (Quarter)'!A:A,0),MATCH([1]TBMapping!N$3,'[1]TrialBalance (Quarter)'!$7:$7,0)),0)</f>
        <v>0</v>
      </c>
      <c r="N365" s="5">
        <f>IFERROR(INDEX('[1]TrialBalance (Quarter)'!$A:$L,MATCH([1]TBMapping!$C367,'[1]TrialBalance (Quarter)'!A:A,0),MATCH([1]TBMapping!O$3,'[1]TrialBalance (Quarter)'!$7:$7,0)),0)</f>
        <v>0</v>
      </c>
    </row>
    <row r="366" spans="1:14">
      <c r="A366" s="2">
        <v>107</v>
      </c>
      <c r="B366" s="3">
        <v>135180</v>
      </c>
      <c r="C366" s="11" t="s">
        <v>334</v>
      </c>
      <c r="D366" s="11" t="s">
        <v>11</v>
      </c>
      <c r="E366" s="11"/>
      <c r="F366" s="5" t="e">
        <f>IF(DataExtraction="Manual",SUMIF('[1]TrialBalance (YTD)'!$C:$C,B366,'[1]TrialBalance (YTD)'!$E:$E),SUMIF('[1]TrialBalance (YTD)'!$G:$G,B366,'[1]TrialBalance (YTD)'!$I:$I))</f>
        <v>#VALUE!</v>
      </c>
      <c r="G366" s="5">
        <f>IFERROR(INDEX('[1]TrialBalance (YTD)'!$G:$S,MATCH([1]TBMapping!$C368,'[1]TrialBalance (YTD)'!G:G,0),MATCH([1]TBMapping!H$3,'[1]TrialBalance (YTD)'!$G$7:$Z$7,0)),0)</f>
        <v>0</v>
      </c>
      <c r="H366" s="5" t="e">
        <f>SUMIF('[1]TrialBalance (YTD)'!G:G,B366,'[1]TrialBalance (YTD)'!H:H)</f>
        <v>#VALUE!</v>
      </c>
      <c r="I366" s="5">
        <f>IFERROR(INDEX('[1]TrialBalance (YTD)'!$G:$S,MATCH([1]TBMapping!$C368,'[1]TrialBalance (YTD)'!G:G,0),MATCH([1]TBMapping!J$3,'[1]TrialBalance (YTD)'!$G$7:$Z$7,0)),0)</f>
        <v>0</v>
      </c>
      <c r="K366" s="5" t="e">
        <f>SUMIF('[1]TrialBalance (Quarter)'!$A:$A,B366,'[1]TrialBalance (Quarter)'!$B:$B)</f>
        <v>#VALUE!</v>
      </c>
      <c r="L366" s="5">
        <f>IFERROR(INDEX('[1]TrialBalance (Quarter)'!$A:$L,MATCH([1]TBMapping!$C368,'[1]TrialBalance (Quarter)'!A:A,0),MATCH([1]TBMapping!M$3,'[1]TrialBalance (Quarter)'!$7:$7,0)),0)</f>
        <v>0</v>
      </c>
      <c r="M366" s="5">
        <f>IFERROR(INDEX('[1]TrialBalance (Quarter)'!$A:$L,MATCH([1]TBMapping!$C368,'[1]TrialBalance (Quarter)'!A:A,0),MATCH([1]TBMapping!N$3,'[1]TrialBalance (Quarter)'!$7:$7,0)),0)</f>
        <v>0</v>
      </c>
      <c r="N366" s="5">
        <f>IFERROR(INDEX('[1]TrialBalance (Quarter)'!$A:$L,MATCH([1]TBMapping!$C368,'[1]TrialBalance (Quarter)'!A:A,0),MATCH([1]TBMapping!O$3,'[1]TrialBalance (Quarter)'!$7:$7,0)),0)</f>
        <v>0</v>
      </c>
    </row>
    <row r="367" spans="1:14">
      <c r="B367" s="3">
        <v>135499</v>
      </c>
      <c r="C367" s="10" t="s">
        <v>335</v>
      </c>
      <c r="D367" s="10" t="s">
        <v>16</v>
      </c>
      <c r="E367" s="10"/>
      <c r="F367" s="5" t="e">
        <f>IF(DataExtraction="Manual",SUMIF('[1]TrialBalance (YTD)'!$C:$C,B367,'[1]TrialBalance (YTD)'!$E:$E),SUMIF('[1]TrialBalance (YTD)'!$G:$G,B367,'[1]TrialBalance (YTD)'!$I:$I))</f>
        <v>#VALUE!</v>
      </c>
      <c r="G367" s="5">
        <f>IFERROR(INDEX('[1]TrialBalance (YTD)'!$G:$S,MATCH([1]TBMapping!$C369,'[1]TrialBalance (YTD)'!G:G,0),MATCH([1]TBMapping!H$3,'[1]TrialBalance (YTD)'!$G$7:$Z$7,0)),0)</f>
        <v>0</v>
      </c>
      <c r="H367" s="5" t="e">
        <f>SUMIF('[1]TrialBalance (YTD)'!G:G,B367,'[1]TrialBalance (YTD)'!H:H)</f>
        <v>#VALUE!</v>
      </c>
      <c r="I367" s="5">
        <f>IFERROR(INDEX('[1]TrialBalance (YTD)'!$G:$S,MATCH([1]TBMapping!$C369,'[1]TrialBalance (YTD)'!G:G,0),MATCH([1]TBMapping!J$3,'[1]TrialBalance (YTD)'!$G$7:$Z$7,0)),0)</f>
        <v>0</v>
      </c>
      <c r="K367" s="5" t="e">
        <f>SUMIF('[1]TrialBalance (Quarter)'!$A:$A,B367,'[1]TrialBalance (Quarter)'!$B:$B)</f>
        <v>#VALUE!</v>
      </c>
      <c r="L367" s="5">
        <f>IFERROR(INDEX('[1]TrialBalance (Quarter)'!$A:$L,MATCH([1]TBMapping!$C369,'[1]TrialBalance (Quarter)'!A:A,0),MATCH([1]TBMapping!M$3,'[1]TrialBalance (Quarter)'!$7:$7,0)),0)</f>
        <v>0</v>
      </c>
      <c r="M367" s="5">
        <f>IFERROR(INDEX('[1]TrialBalance (Quarter)'!$A:$L,MATCH([1]TBMapping!$C369,'[1]TrialBalance (Quarter)'!A:A,0),MATCH([1]TBMapping!N$3,'[1]TrialBalance (Quarter)'!$7:$7,0)),0)</f>
        <v>0</v>
      </c>
      <c r="N367" s="5">
        <f>IFERROR(INDEX('[1]TrialBalance (Quarter)'!$A:$L,MATCH([1]TBMapping!$C369,'[1]TrialBalance (Quarter)'!A:A,0),MATCH([1]TBMapping!O$3,'[1]TrialBalance (Quarter)'!$7:$7,0)),0)</f>
        <v>0</v>
      </c>
    </row>
    <row r="368" spans="1:14">
      <c r="B368" s="3">
        <v>135500</v>
      </c>
      <c r="C368" s="11" t="s">
        <v>336</v>
      </c>
      <c r="D368" s="11" t="s">
        <v>5</v>
      </c>
      <c r="E368" s="11"/>
      <c r="F368" s="5" t="e">
        <f>IF(DataExtraction="Manual",SUMIF('[1]TrialBalance (YTD)'!$C:$C,B368,'[1]TrialBalance (YTD)'!$E:$E),SUMIF('[1]TrialBalance (YTD)'!$G:$G,B368,'[1]TrialBalance (YTD)'!$I:$I))</f>
        <v>#VALUE!</v>
      </c>
      <c r="G368" s="5">
        <f>IFERROR(INDEX('[1]TrialBalance (YTD)'!$G:$S,MATCH([1]TBMapping!$C370,'[1]TrialBalance (YTD)'!G:G,0),MATCH([1]TBMapping!H$3,'[1]TrialBalance (YTD)'!$G$7:$Z$7,0)),0)</f>
        <v>0</v>
      </c>
      <c r="H368" s="5" t="e">
        <f>SUMIF('[1]TrialBalance (YTD)'!G:G,B368,'[1]TrialBalance (YTD)'!H:H)</f>
        <v>#VALUE!</v>
      </c>
      <c r="I368" s="5">
        <f>IFERROR(INDEX('[1]TrialBalance (YTD)'!$G:$S,MATCH([1]TBMapping!$C370,'[1]TrialBalance (YTD)'!G:G,0),MATCH([1]TBMapping!J$3,'[1]TrialBalance (YTD)'!$G$7:$Z$7,0)),0)</f>
        <v>0</v>
      </c>
      <c r="K368" s="5" t="e">
        <f>SUMIF('[1]TrialBalance (Quarter)'!$A:$A,B368,'[1]TrialBalance (Quarter)'!$B:$B)</f>
        <v>#VALUE!</v>
      </c>
      <c r="L368" s="5">
        <f>IFERROR(INDEX('[1]TrialBalance (Quarter)'!$A:$L,MATCH([1]TBMapping!$C370,'[1]TrialBalance (Quarter)'!A:A,0),MATCH([1]TBMapping!M$3,'[1]TrialBalance (Quarter)'!$7:$7,0)),0)</f>
        <v>0</v>
      </c>
      <c r="M368" s="5">
        <f>IFERROR(INDEX('[1]TrialBalance (Quarter)'!$A:$L,MATCH([1]TBMapping!$C370,'[1]TrialBalance (Quarter)'!A:A,0),MATCH([1]TBMapping!N$3,'[1]TrialBalance (Quarter)'!$7:$7,0)),0)</f>
        <v>0</v>
      </c>
      <c r="N368" s="5">
        <f>IFERROR(INDEX('[1]TrialBalance (Quarter)'!$A:$L,MATCH([1]TBMapping!$C370,'[1]TrialBalance (Quarter)'!A:A,0),MATCH([1]TBMapping!O$3,'[1]TrialBalance (Quarter)'!$7:$7,0)),0)</f>
        <v>0</v>
      </c>
    </row>
    <row r="369" spans="1:14">
      <c r="A369" s="2">
        <v>107</v>
      </c>
      <c r="B369" s="3">
        <v>135510</v>
      </c>
      <c r="C369" s="10" t="s">
        <v>337</v>
      </c>
      <c r="D369" s="10" t="s">
        <v>11</v>
      </c>
      <c r="E369" s="10"/>
      <c r="F369" s="5" t="e">
        <f>IF(DataExtraction="Manual",SUMIF('[1]TrialBalance (YTD)'!$C:$C,B369,'[1]TrialBalance (YTD)'!$E:$E),SUMIF('[1]TrialBalance (YTD)'!$G:$G,B369,'[1]TrialBalance (YTD)'!$I:$I))</f>
        <v>#VALUE!</v>
      </c>
      <c r="G369" s="5">
        <f>IFERROR(INDEX('[1]TrialBalance (YTD)'!$G:$S,MATCH([1]TBMapping!$C371,'[1]TrialBalance (YTD)'!G:G,0),MATCH([1]TBMapping!H$3,'[1]TrialBalance (YTD)'!$G$7:$Z$7,0)),0)</f>
        <v>0</v>
      </c>
      <c r="H369" s="5" t="e">
        <f>SUMIF('[1]TrialBalance (YTD)'!G:G,B369,'[1]TrialBalance (YTD)'!H:H)</f>
        <v>#VALUE!</v>
      </c>
      <c r="I369" s="5">
        <f>IFERROR(INDEX('[1]TrialBalance (YTD)'!$G:$S,MATCH([1]TBMapping!$C371,'[1]TrialBalance (YTD)'!G:G,0),MATCH([1]TBMapping!J$3,'[1]TrialBalance (YTD)'!$G$7:$Z$7,0)),0)</f>
        <v>0</v>
      </c>
      <c r="K369" s="5" t="e">
        <f>SUMIF('[1]TrialBalance (Quarter)'!$A:$A,B369,'[1]TrialBalance (Quarter)'!$B:$B)</f>
        <v>#VALUE!</v>
      </c>
      <c r="L369" s="5">
        <f>IFERROR(INDEX('[1]TrialBalance (Quarter)'!$A:$L,MATCH([1]TBMapping!$C371,'[1]TrialBalance (Quarter)'!A:A,0),MATCH([1]TBMapping!M$3,'[1]TrialBalance (Quarter)'!$7:$7,0)),0)</f>
        <v>0</v>
      </c>
      <c r="M369" s="5">
        <f>IFERROR(INDEX('[1]TrialBalance (Quarter)'!$A:$L,MATCH([1]TBMapping!$C371,'[1]TrialBalance (Quarter)'!A:A,0),MATCH([1]TBMapping!N$3,'[1]TrialBalance (Quarter)'!$7:$7,0)),0)</f>
        <v>0</v>
      </c>
      <c r="N369" s="5">
        <f>IFERROR(INDEX('[1]TrialBalance (Quarter)'!$A:$L,MATCH([1]TBMapping!$C371,'[1]TrialBalance (Quarter)'!A:A,0),MATCH([1]TBMapping!O$3,'[1]TrialBalance (Quarter)'!$7:$7,0)),0)</f>
        <v>0</v>
      </c>
    </row>
    <row r="370" spans="1:14">
      <c r="A370" s="2">
        <v>107</v>
      </c>
      <c r="B370" s="3">
        <v>135520</v>
      </c>
      <c r="C370" s="11" t="s">
        <v>338</v>
      </c>
      <c r="D370" s="11" t="s">
        <v>11</v>
      </c>
      <c r="E370" s="11"/>
      <c r="F370" s="5" t="e">
        <f>IF(DataExtraction="Manual",SUMIF('[1]TrialBalance (YTD)'!$C:$C,B370,'[1]TrialBalance (YTD)'!$E:$E),SUMIF('[1]TrialBalance (YTD)'!$G:$G,B370,'[1]TrialBalance (YTD)'!$I:$I))</f>
        <v>#VALUE!</v>
      </c>
      <c r="G370" s="5">
        <f>IFERROR(INDEX('[1]TrialBalance (YTD)'!$G:$S,MATCH([1]TBMapping!$C372,'[1]TrialBalance (YTD)'!G:G,0),MATCH([1]TBMapping!H$3,'[1]TrialBalance (YTD)'!$G$7:$Z$7,0)),0)</f>
        <v>0</v>
      </c>
      <c r="H370" s="5" t="e">
        <f>SUMIF('[1]TrialBalance (YTD)'!G:G,B370,'[1]TrialBalance (YTD)'!H:H)</f>
        <v>#VALUE!</v>
      </c>
      <c r="I370" s="5">
        <f>IFERROR(INDEX('[1]TrialBalance (YTD)'!$G:$S,MATCH([1]TBMapping!$C372,'[1]TrialBalance (YTD)'!G:G,0),MATCH([1]TBMapping!J$3,'[1]TrialBalance (YTD)'!$G$7:$Z$7,0)),0)</f>
        <v>0</v>
      </c>
      <c r="K370" s="5" t="e">
        <f>SUMIF('[1]TrialBalance (Quarter)'!$A:$A,B370,'[1]TrialBalance (Quarter)'!$B:$B)</f>
        <v>#VALUE!</v>
      </c>
      <c r="L370" s="5">
        <f>IFERROR(INDEX('[1]TrialBalance (Quarter)'!$A:$L,MATCH([1]TBMapping!$C372,'[1]TrialBalance (Quarter)'!A:A,0),MATCH([1]TBMapping!M$3,'[1]TrialBalance (Quarter)'!$7:$7,0)),0)</f>
        <v>0</v>
      </c>
      <c r="M370" s="5">
        <f>IFERROR(INDEX('[1]TrialBalance (Quarter)'!$A:$L,MATCH([1]TBMapping!$C372,'[1]TrialBalance (Quarter)'!A:A,0),MATCH([1]TBMapping!N$3,'[1]TrialBalance (Quarter)'!$7:$7,0)),0)</f>
        <v>0</v>
      </c>
      <c r="N370" s="5">
        <f>IFERROR(INDEX('[1]TrialBalance (Quarter)'!$A:$L,MATCH([1]TBMapping!$C372,'[1]TrialBalance (Quarter)'!A:A,0),MATCH([1]TBMapping!O$3,'[1]TrialBalance (Quarter)'!$7:$7,0)),0)</f>
        <v>0</v>
      </c>
    </row>
    <row r="371" spans="1:14">
      <c r="A371" s="2">
        <v>107</v>
      </c>
      <c r="B371" s="3">
        <v>135530</v>
      </c>
      <c r="C371" s="10" t="s">
        <v>339</v>
      </c>
      <c r="D371" s="10" t="s">
        <v>11</v>
      </c>
      <c r="E371" s="10"/>
      <c r="F371" s="5" t="e">
        <f>IF(DataExtraction="Manual",SUMIF('[1]TrialBalance (YTD)'!$C:$C,B371,'[1]TrialBalance (YTD)'!$E:$E),SUMIF('[1]TrialBalance (YTD)'!$G:$G,B371,'[1]TrialBalance (YTD)'!$I:$I))</f>
        <v>#VALUE!</v>
      </c>
      <c r="G371" s="5">
        <f>IFERROR(INDEX('[1]TrialBalance (YTD)'!$G:$S,MATCH([1]TBMapping!$C373,'[1]TrialBalance (YTD)'!G:G,0),MATCH([1]TBMapping!H$3,'[1]TrialBalance (YTD)'!$G$7:$Z$7,0)),0)</f>
        <v>0</v>
      </c>
      <c r="H371" s="5" t="e">
        <f>SUMIF('[1]TrialBalance (YTD)'!G:G,B371,'[1]TrialBalance (YTD)'!H:H)</f>
        <v>#VALUE!</v>
      </c>
      <c r="I371" s="5">
        <f>IFERROR(INDEX('[1]TrialBalance (YTD)'!$G:$S,MATCH([1]TBMapping!$C373,'[1]TrialBalance (YTD)'!G:G,0),MATCH([1]TBMapping!J$3,'[1]TrialBalance (YTD)'!$G$7:$Z$7,0)),0)</f>
        <v>0</v>
      </c>
      <c r="K371" s="5" t="e">
        <f>SUMIF('[1]TrialBalance (Quarter)'!$A:$A,B371,'[1]TrialBalance (Quarter)'!$B:$B)</f>
        <v>#VALUE!</v>
      </c>
      <c r="L371" s="5">
        <f>IFERROR(INDEX('[1]TrialBalance (Quarter)'!$A:$L,MATCH([1]TBMapping!$C373,'[1]TrialBalance (Quarter)'!A:A,0),MATCH([1]TBMapping!M$3,'[1]TrialBalance (Quarter)'!$7:$7,0)),0)</f>
        <v>0</v>
      </c>
      <c r="M371" s="5">
        <f>IFERROR(INDEX('[1]TrialBalance (Quarter)'!$A:$L,MATCH([1]TBMapping!$C373,'[1]TrialBalance (Quarter)'!A:A,0),MATCH([1]TBMapping!N$3,'[1]TrialBalance (Quarter)'!$7:$7,0)),0)</f>
        <v>0</v>
      </c>
      <c r="N371" s="5">
        <f>IFERROR(INDEX('[1]TrialBalance (Quarter)'!$A:$L,MATCH([1]TBMapping!$C373,'[1]TrialBalance (Quarter)'!A:A,0),MATCH([1]TBMapping!O$3,'[1]TrialBalance (Quarter)'!$7:$7,0)),0)</f>
        <v>0</v>
      </c>
    </row>
    <row r="372" spans="1:14">
      <c r="A372" s="2">
        <v>107</v>
      </c>
      <c r="B372" s="3">
        <v>135540</v>
      </c>
      <c r="C372" s="11" t="s">
        <v>340</v>
      </c>
      <c r="D372" s="11" t="s">
        <v>11</v>
      </c>
      <c r="E372" s="11"/>
      <c r="F372" s="5" t="e">
        <f>IF(DataExtraction="Manual",SUMIF('[1]TrialBalance (YTD)'!$C:$C,B372,'[1]TrialBalance (YTD)'!$E:$E),SUMIF('[1]TrialBalance (YTD)'!$G:$G,B372,'[1]TrialBalance (YTD)'!$I:$I))</f>
        <v>#VALUE!</v>
      </c>
      <c r="G372" s="5">
        <f>IFERROR(INDEX('[1]TrialBalance (YTD)'!$G:$S,MATCH([1]TBMapping!$C374,'[1]TrialBalance (YTD)'!G:G,0),MATCH([1]TBMapping!H$3,'[1]TrialBalance (YTD)'!$G$7:$Z$7,0)),0)</f>
        <v>0</v>
      </c>
      <c r="H372" s="5" t="e">
        <f>SUMIF('[1]TrialBalance (YTD)'!G:G,B372,'[1]TrialBalance (YTD)'!H:H)</f>
        <v>#VALUE!</v>
      </c>
      <c r="I372" s="5">
        <f>IFERROR(INDEX('[1]TrialBalance (YTD)'!$G:$S,MATCH([1]TBMapping!$C374,'[1]TrialBalance (YTD)'!G:G,0),MATCH([1]TBMapping!J$3,'[1]TrialBalance (YTD)'!$G$7:$Z$7,0)),0)</f>
        <v>0</v>
      </c>
      <c r="K372" s="5" t="e">
        <f>SUMIF('[1]TrialBalance (Quarter)'!$A:$A,B372,'[1]TrialBalance (Quarter)'!$B:$B)</f>
        <v>#VALUE!</v>
      </c>
      <c r="L372" s="5">
        <f>IFERROR(INDEX('[1]TrialBalance (Quarter)'!$A:$L,MATCH([1]TBMapping!$C374,'[1]TrialBalance (Quarter)'!A:A,0),MATCH([1]TBMapping!M$3,'[1]TrialBalance (Quarter)'!$7:$7,0)),0)</f>
        <v>0</v>
      </c>
      <c r="M372" s="5">
        <f>IFERROR(INDEX('[1]TrialBalance (Quarter)'!$A:$L,MATCH([1]TBMapping!$C374,'[1]TrialBalance (Quarter)'!A:A,0),MATCH([1]TBMapping!N$3,'[1]TrialBalance (Quarter)'!$7:$7,0)),0)</f>
        <v>0</v>
      </c>
      <c r="N372" s="5">
        <f>IFERROR(INDEX('[1]TrialBalance (Quarter)'!$A:$L,MATCH([1]TBMapping!$C374,'[1]TrialBalance (Quarter)'!A:A,0),MATCH([1]TBMapping!O$3,'[1]TrialBalance (Quarter)'!$7:$7,0)),0)</f>
        <v>0</v>
      </c>
    </row>
    <row r="373" spans="1:14">
      <c r="B373" s="3">
        <v>135999</v>
      </c>
      <c r="C373" s="10" t="s">
        <v>341</v>
      </c>
      <c r="D373" s="10" t="s">
        <v>16</v>
      </c>
      <c r="E373" s="10"/>
      <c r="F373" s="5" t="e">
        <f>IF(DataExtraction="Manual",SUMIF('[1]TrialBalance (YTD)'!$C:$C,B373,'[1]TrialBalance (YTD)'!$E:$E),SUMIF('[1]TrialBalance (YTD)'!$G:$G,B373,'[1]TrialBalance (YTD)'!$I:$I))</f>
        <v>#VALUE!</v>
      </c>
      <c r="G373" s="5">
        <f>IFERROR(INDEX('[1]TrialBalance (YTD)'!$G:$S,MATCH([1]TBMapping!$C375,'[1]TrialBalance (YTD)'!G:G,0),MATCH([1]TBMapping!H$3,'[1]TrialBalance (YTD)'!$G$7:$Z$7,0)),0)</f>
        <v>0</v>
      </c>
      <c r="H373" s="5" t="e">
        <f>SUMIF('[1]TrialBalance (YTD)'!G:G,B373,'[1]TrialBalance (YTD)'!H:H)</f>
        <v>#VALUE!</v>
      </c>
      <c r="I373" s="5">
        <f>IFERROR(INDEX('[1]TrialBalance (YTD)'!$G:$S,MATCH([1]TBMapping!$C375,'[1]TrialBalance (YTD)'!G:G,0),MATCH([1]TBMapping!J$3,'[1]TrialBalance (YTD)'!$G$7:$Z$7,0)),0)</f>
        <v>0</v>
      </c>
      <c r="K373" s="5" t="e">
        <f>SUMIF('[1]TrialBalance (Quarter)'!$A:$A,B373,'[1]TrialBalance (Quarter)'!$B:$B)</f>
        <v>#VALUE!</v>
      </c>
      <c r="L373" s="5">
        <f>IFERROR(INDEX('[1]TrialBalance (Quarter)'!$A:$L,MATCH([1]TBMapping!$C375,'[1]TrialBalance (Quarter)'!A:A,0),MATCH([1]TBMapping!M$3,'[1]TrialBalance (Quarter)'!$7:$7,0)),0)</f>
        <v>0</v>
      </c>
      <c r="M373" s="5">
        <f>IFERROR(INDEX('[1]TrialBalance (Quarter)'!$A:$L,MATCH([1]TBMapping!$C375,'[1]TrialBalance (Quarter)'!A:A,0),MATCH([1]TBMapping!N$3,'[1]TrialBalance (Quarter)'!$7:$7,0)),0)</f>
        <v>0</v>
      </c>
      <c r="N373" s="5">
        <f>IFERROR(INDEX('[1]TrialBalance (Quarter)'!$A:$L,MATCH([1]TBMapping!$C375,'[1]TrialBalance (Quarter)'!A:A,0),MATCH([1]TBMapping!O$3,'[1]TrialBalance (Quarter)'!$7:$7,0)),0)</f>
        <v>0</v>
      </c>
    </row>
    <row r="374" spans="1:14">
      <c r="B374" s="3">
        <v>136000</v>
      </c>
      <c r="C374" s="11" t="s">
        <v>342</v>
      </c>
      <c r="D374" s="11" t="s">
        <v>5</v>
      </c>
      <c r="E374" s="11"/>
      <c r="F374" s="5" t="e">
        <f>IF(DataExtraction="Manual",SUMIF('[1]TrialBalance (YTD)'!$C:$C,B374,'[1]TrialBalance (YTD)'!$E:$E),SUMIF('[1]TrialBalance (YTD)'!$G:$G,B374,'[1]TrialBalance (YTD)'!$I:$I))</f>
        <v>#VALUE!</v>
      </c>
      <c r="G374" s="5">
        <f>IFERROR(INDEX('[1]TrialBalance (YTD)'!$G:$S,MATCH([1]TBMapping!$C376,'[1]TrialBalance (YTD)'!G:G,0),MATCH([1]TBMapping!H$3,'[1]TrialBalance (YTD)'!$G$7:$Z$7,0)),0)</f>
        <v>0</v>
      </c>
      <c r="H374" s="5" t="e">
        <f>SUMIF('[1]TrialBalance (YTD)'!G:G,B374,'[1]TrialBalance (YTD)'!H:H)</f>
        <v>#VALUE!</v>
      </c>
      <c r="I374" s="5">
        <f>IFERROR(INDEX('[1]TrialBalance (YTD)'!$G:$S,MATCH([1]TBMapping!$C376,'[1]TrialBalance (YTD)'!G:G,0),MATCH([1]TBMapping!J$3,'[1]TrialBalance (YTD)'!$G$7:$Z$7,0)),0)</f>
        <v>0</v>
      </c>
      <c r="K374" s="5" t="e">
        <f>SUMIF('[1]TrialBalance (Quarter)'!$A:$A,B374,'[1]TrialBalance (Quarter)'!$B:$B)</f>
        <v>#VALUE!</v>
      </c>
      <c r="L374" s="5">
        <f>IFERROR(INDEX('[1]TrialBalance (Quarter)'!$A:$L,MATCH([1]TBMapping!$C376,'[1]TrialBalance (Quarter)'!A:A,0),MATCH([1]TBMapping!M$3,'[1]TrialBalance (Quarter)'!$7:$7,0)),0)</f>
        <v>0</v>
      </c>
      <c r="M374" s="5">
        <f>IFERROR(INDEX('[1]TrialBalance (Quarter)'!$A:$L,MATCH([1]TBMapping!$C376,'[1]TrialBalance (Quarter)'!A:A,0),MATCH([1]TBMapping!N$3,'[1]TrialBalance (Quarter)'!$7:$7,0)),0)</f>
        <v>0</v>
      </c>
      <c r="N374" s="5">
        <f>IFERROR(INDEX('[1]TrialBalance (Quarter)'!$A:$L,MATCH([1]TBMapping!$C376,'[1]TrialBalance (Quarter)'!A:A,0),MATCH([1]TBMapping!O$3,'[1]TrialBalance (Quarter)'!$7:$7,0)),0)</f>
        <v>0</v>
      </c>
    </row>
    <row r="375" spans="1:14">
      <c r="A375" s="2">
        <v>107</v>
      </c>
      <c r="B375" s="3">
        <v>136110</v>
      </c>
      <c r="C375" s="10" t="s">
        <v>343</v>
      </c>
      <c r="D375" s="10" t="s">
        <v>11</v>
      </c>
      <c r="E375" s="10"/>
      <c r="F375" s="5" t="e">
        <f>IF(DataExtraction="Manual",SUMIF('[1]TrialBalance (YTD)'!$C:$C,B375,'[1]TrialBalance (YTD)'!$E:$E),SUMIF('[1]TrialBalance (YTD)'!$G:$G,B375,'[1]TrialBalance (YTD)'!$I:$I))</f>
        <v>#VALUE!</v>
      </c>
      <c r="G375" s="5">
        <f>IFERROR(INDEX('[1]TrialBalance (YTD)'!$G:$S,MATCH([1]TBMapping!$C377,'[1]TrialBalance (YTD)'!G:G,0),MATCH([1]TBMapping!H$3,'[1]TrialBalance (YTD)'!$G$7:$Z$7,0)),0)</f>
        <v>0</v>
      </c>
      <c r="H375" s="5" t="e">
        <f>SUMIF('[1]TrialBalance (YTD)'!G:G,B375,'[1]TrialBalance (YTD)'!H:H)</f>
        <v>#VALUE!</v>
      </c>
      <c r="I375" s="5">
        <f>IFERROR(INDEX('[1]TrialBalance (YTD)'!$G:$S,MATCH([1]TBMapping!$C377,'[1]TrialBalance (YTD)'!G:G,0),MATCH([1]TBMapping!J$3,'[1]TrialBalance (YTD)'!$G$7:$Z$7,0)),0)</f>
        <v>0</v>
      </c>
      <c r="K375" s="5" t="e">
        <f>SUMIF('[1]TrialBalance (Quarter)'!$A:$A,B375,'[1]TrialBalance (Quarter)'!$B:$B)</f>
        <v>#VALUE!</v>
      </c>
      <c r="L375" s="5">
        <f>IFERROR(INDEX('[1]TrialBalance (Quarter)'!$A:$L,MATCH([1]TBMapping!$C377,'[1]TrialBalance (Quarter)'!A:A,0),MATCH([1]TBMapping!M$3,'[1]TrialBalance (Quarter)'!$7:$7,0)),0)</f>
        <v>0</v>
      </c>
      <c r="M375" s="5">
        <f>IFERROR(INDEX('[1]TrialBalance (Quarter)'!$A:$L,MATCH([1]TBMapping!$C377,'[1]TrialBalance (Quarter)'!A:A,0),MATCH([1]TBMapping!N$3,'[1]TrialBalance (Quarter)'!$7:$7,0)),0)</f>
        <v>0</v>
      </c>
      <c r="N375" s="5">
        <f>IFERROR(INDEX('[1]TrialBalance (Quarter)'!$A:$L,MATCH([1]TBMapping!$C377,'[1]TrialBalance (Quarter)'!A:A,0),MATCH([1]TBMapping!O$3,'[1]TrialBalance (Quarter)'!$7:$7,0)),0)</f>
        <v>0</v>
      </c>
    </row>
    <row r="376" spans="1:14">
      <c r="A376" s="2">
        <v>107</v>
      </c>
      <c r="B376" s="3">
        <v>136120</v>
      </c>
      <c r="C376" s="11" t="s">
        <v>344</v>
      </c>
      <c r="D376" s="11" t="s">
        <v>11</v>
      </c>
      <c r="E376" s="11"/>
      <c r="F376" s="5" t="e">
        <f>IF(DataExtraction="Manual",SUMIF('[1]TrialBalance (YTD)'!$C:$C,B376,'[1]TrialBalance (YTD)'!$E:$E),SUMIF('[1]TrialBalance (YTD)'!$G:$G,B376,'[1]TrialBalance (YTD)'!$I:$I))</f>
        <v>#VALUE!</v>
      </c>
      <c r="G376" s="5">
        <f>IFERROR(INDEX('[1]TrialBalance (YTD)'!$G:$S,MATCH([1]TBMapping!$C378,'[1]TrialBalance (YTD)'!G:G,0),MATCH([1]TBMapping!H$3,'[1]TrialBalance (YTD)'!$G$7:$Z$7,0)),0)</f>
        <v>0</v>
      </c>
      <c r="H376" s="5" t="e">
        <f>SUMIF('[1]TrialBalance (YTD)'!G:G,B376,'[1]TrialBalance (YTD)'!H:H)</f>
        <v>#VALUE!</v>
      </c>
      <c r="I376" s="5">
        <f>IFERROR(INDEX('[1]TrialBalance (YTD)'!$G:$S,MATCH([1]TBMapping!$C378,'[1]TrialBalance (YTD)'!G:G,0),MATCH([1]TBMapping!J$3,'[1]TrialBalance (YTD)'!$G$7:$Z$7,0)),0)</f>
        <v>0</v>
      </c>
      <c r="K376" s="5" t="e">
        <f>SUMIF('[1]TrialBalance (Quarter)'!$A:$A,B376,'[1]TrialBalance (Quarter)'!$B:$B)</f>
        <v>#VALUE!</v>
      </c>
      <c r="L376" s="5">
        <f>IFERROR(INDEX('[1]TrialBalance (Quarter)'!$A:$L,MATCH([1]TBMapping!$C378,'[1]TrialBalance (Quarter)'!A:A,0),MATCH([1]TBMapping!M$3,'[1]TrialBalance (Quarter)'!$7:$7,0)),0)</f>
        <v>0</v>
      </c>
      <c r="M376" s="5">
        <f>IFERROR(INDEX('[1]TrialBalance (Quarter)'!$A:$L,MATCH([1]TBMapping!$C378,'[1]TrialBalance (Quarter)'!A:A,0),MATCH([1]TBMapping!N$3,'[1]TrialBalance (Quarter)'!$7:$7,0)),0)</f>
        <v>0</v>
      </c>
      <c r="N376" s="5">
        <f>IFERROR(INDEX('[1]TrialBalance (Quarter)'!$A:$L,MATCH([1]TBMapping!$C378,'[1]TrialBalance (Quarter)'!A:A,0),MATCH([1]TBMapping!O$3,'[1]TrialBalance (Quarter)'!$7:$7,0)),0)</f>
        <v>0</v>
      </c>
    </row>
    <row r="377" spans="1:14">
      <c r="A377" s="2">
        <v>107</v>
      </c>
      <c r="B377" s="3">
        <v>136130</v>
      </c>
      <c r="C377" s="10" t="s">
        <v>345</v>
      </c>
      <c r="D377" s="10" t="s">
        <v>11</v>
      </c>
      <c r="E377" s="10"/>
      <c r="F377" s="5" t="e">
        <f>IF(DataExtraction="Manual",SUMIF('[1]TrialBalance (YTD)'!$C:$C,B377,'[1]TrialBalance (YTD)'!$E:$E),SUMIF('[1]TrialBalance (YTD)'!$G:$G,B377,'[1]TrialBalance (YTD)'!$I:$I))</f>
        <v>#VALUE!</v>
      </c>
      <c r="G377" s="5">
        <f>IFERROR(INDEX('[1]TrialBalance (YTD)'!$G:$S,MATCH([1]TBMapping!$C379,'[1]TrialBalance (YTD)'!G:G,0),MATCH([1]TBMapping!H$3,'[1]TrialBalance (YTD)'!$G$7:$Z$7,0)),0)</f>
        <v>0</v>
      </c>
      <c r="H377" s="5" t="e">
        <f>SUMIF('[1]TrialBalance (YTD)'!G:G,B377,'[1]TrialBalance (YTD)'!H:H)</f>
        <v>#VALUE!</v>
      </c>
      <c r="I377" s="5">
        <f>IFERROR(INDEX('[1]TrialBalance (YTD)'!$G:$S,MATCH([1]TBMapping!$C379,'[1]TrialBalance (YTD)'!G:G,0),MATCH([1]TBMapping!J$3,'[1]TrialBalance (YTD)'!$G$7:$Z$7,0)),0)</f>
        <v>0</v>
      </c>
      <c r="K377" s="5" t="e">
        <f>SUMIF('[1]TrialBalance (Quarter)'!$A:$A,B377,'[1]TrialBalance (Quarter)'!$B:$B)</f>
        <v>#VALUE!</v>
      </c>
      <c r="L377" s="5">
        <f>IFERROR(INDEX('[1]TrialBalance (Quarter)'!$A:$L,MATCH([1]TBMapping!$C379,'[1]TrialBalance (Quarter)'!A:A,0),MATCH([1]TBMapping!M$3,'[1]TrialBalance (Quarter)'!$7:$7,0)),0)</f>
        <v>0</v>
      </c>
      <c r="M377" s="5">
        <f>IFERROR(INDEX('[1]TrialBalance (Quarter)'!$A:$L,MATCH([1]TBMapping!$C379,'[1]TrialBalance (Quarter)'!A:A,0),MATCH([1]TBMapping!N$3,'[1]TrialBalance (Quarter)'!$7:$7,0)),0)</f>
        <v>0</v>
      </c>
      <c r="N377" s="5">
        <f>IFERROR(INDEX('[1]TrialBalance (Quarter)'!$A:$L,MATCH([1]TBMapping!$C379,'[1]TrialBalance (Quarter)'!A:A,0),MATCH([1]TBMapping!O$3,'[1]TrialBalance (Quarter)'!$7:$7,0)),0)</f>
        <v>0</v>
      </c>
    </row>
    <row r="378" spans="1:14">
      <c r="B378" s="3">
        <v>136199</v>
      </c>
      <c r="C378" s="11" t="s">
        <v>346</v>
      </c>
      <c r="D378" s="11" t="s">
        <v>16</v>
      </c>
      <c r="E378" s="11"/>
      <c r="F378" s="5" t="e">
        <f>IF(DataExtraction="Manual",SUMIF('[1]TrialBalance (YTD)'!$C:$C,B378,'[1]TrialBalance (YTD)'!$E:$E),SUMIF('[1]TrialBalance (YTD)'!$G:$G,B378,'[1]TrialBalance (YTD)'!$I:$I))</f>
        <v>#VALUE!</v>
      </c>
      <c r="G378" s="5">
        <f>IFERROR(INDEX('[1]TrialBalance (YTD)'!$G:$S,MATCH([1]TBMapping!$C380,'[1]TrialBalance (YTD)'!G:G,0),MATCH([1]TBMapping!H$3,'[1]TrialBalance (YTD)'!$G$7:$Z$7,0)),0)</f>
        <v>0</v>
      </c>
      <c r="H378" s="5" t="e">
        <f>SUMIF('[1]TrialBalance (YTD)'!G:G,B378,'[1]TrialBalance (YTD)'!H:H)</f>
        <v>#VALUE!</v>
      </c>
      <c r="I378" s="5">
        <f>IFERROR(INDEX('[1]TrialBalance (YTD)'!$G:$S,MATCH([1]TBMapping!$C380,'[1]TrialBalance (YTD)'!G:G,0),MATCH([1]TBMapping!J$3,'[1]TrialBalance (YTD)'!$G$7:$Z$7,0)),0)</f>
        <v>0</v>
      </c>
      <c r="K378" s="5" t="e">
        <f>SUMIF('[1]TrialBalance (Quarter)'!$A:$A,B378,'[1]TrialBalance (Quarter)'!$B:$B)</f>
        <v>#VALUE!</v>
      </c>
      <c r="L378" s="5">
        <f>IFERROR(INDEX('[1]TrialBalance (Quarter)'!$A:$L,MATCH([1]TBMapping!$C380,'[1]TrialBalance (Quarter)'!A:A,0),MATCH([1]TBMapping!M$3,'[1]TrialBalance (Quarter)'!$7:$7,0)),0)</f>
        <v>0</v>
      </c>
      <c r="M378" s="5">
        <f>IFERROR(INDEX('[1]TrialBalance (Quarter)'!$A:$L,MATCH([1]TBMapping!$C380,'[1]TrialBalance (Quarter)'!A:A,0),MATCH([1]TBMapping!N$3,'[1]TrialBalance (Quarter)'!$7:$7,0)),0)</f>
        <v>0</v>
      </c>
      <c r="N378" s="5">
        <f>IFERROR(INDEX('[1]TrialBalance (Quarter)'!$A:$L,MATCH([1]TBMapping!$C380,'[1]TrialBalance (Quarter)'!A:A,0),MATCH([1]TBMapping!O$3,'[1]TrialBalance (Quarter)'!$7:$7,0)),0)</f>
        <v>0</v>
      </c>
    </row>
    <row r="379" spans="1:14">
      <c r="B379" s="3">
        <v>136200</v>
      </c>
      <c r="C379" s="10" t="s">
        <v>347</v>
      </c>
      <c r="D379" s="10" t="s">
        <v>5</v>
      </c>
      <c r="E379" s="10"/>
      <c r="F379" s="5" t="e">
        <f>IF(DataExtraction="Manual",SUMIF('[1]TrialBalance (YTD)'!$C:$C,B379,'[1]TrialBalance (YTD)'!$E:$E),SUMIF('[1]TrialBalance (YTD)'!$G:$G,B379,'[1]TrialBalance (YTD)'!$I:$I))</f>
        <v>#VALUE!</v>
      </c>
      <c r="G379" s="5">
        <f>IFERROR(INDEX('[1]TrialBalance (YTD)'!$G:$S,MATCH([1]TBMapping!$C381,'[1]TrialBalance (YTD)'!G:G,0),MATCH([1]TBMapping!H$3,'[1]TrialBalance (YTD)'!$G$7:$Z$7,0)),0)</f>
        <v>0</v>
      </c>
      <c r="H379" s="5" t="e">
        <f>SUMIF('[1]TrialBalance (YTD)'!G:G,B379,'[1]TrialBalance (YTD)'!H:H)</f>
        <v>#VALUE!</v>
      </c>
      <c r="I379" s="5">
        <f>IFERROR(INDEX('[1]TrialBalance (YTD)'!$G:$S,MATCH([1]TBMapping!$C381,'[1]TrialBalance (YTD)'!G:G,0),MATCH([1]TBMapping!J$3,'[1]TrialBalance (YTD)'!$G$7:$Z$7,0)),0)</f>
        <v>0</v>
      </c>
      <c r="K379" s="5" t="e">
        <f>SUMIF('[1]TrialBalance (Quarter)'!$A:$A,B379,'[1]TrialBalance (Quarter)'!$B:$B)</f>
        <v>#VALUE!</v>
      </c>
      <c r="L379" s="5">
        <f>IFERROR(INDEX('[1]TrialBalance (Quarter)'!$A:$L,MATCH([1]TBMapping!$C381,'[1]TrialBalance (Quarter)'!A:A,0),MATCH([1]TBMapping!M$3,'[1]TrialBalance (Quarter)'!$7:$7,0)),0)</f>
        <v>0</v>
      </c>
      <c r="M379" s="5">
        <f>IFERROR(INDEX('[1]TrialBalance (Quarter)'!$A:$L,MATCH([1]TBMapping!$C381,'[1]TrialBalance (Quarter)'!A:A,0),MATCH([1]TBMapping!N$3,'[1]TrialBalance (Quarter)'!$7:$7,0)),0)</f>
        <v>0</v>
      </c>
      <c r="N379" s="5">
        <f>IFERROR(INDEX('[1]TrialBalance (Quarter)'!$A:$L,MATCH([1]TBMapping!$C381,'[1]TrialBalance (Quarter)'!A:A,0),MATCH([1]TBMapping!O$3,'[1]TrialBalance (Quarter)'!$7:$7,0)),0)</f>
        <v>0</v>
      </c>
    </row>
    <row r="380" spans="1:14">
      <c r="A380" s="2">
        <v>107</v>
      </c>
      <c r="B380" s="3">
        <v>136210</v>
      </c>
      <c r="C380" s="11" t="s">
        <v>347</v>
      </c>
      <c r="D380" s="11" t="s">
        <v>11</v>
      </c>
      <c r="E380" s="11"/>
      <c r="F380" s="5" t="e">
        <f>IF(DataExtraction="Manual",SUMIF('[1]TrialBalance (YTD)'!$C:$C,B380,'[1]TrialBalance (YTD)'!$E:$E),SUMIF('[1]TrialBalance (YTD)'!$G:$G,B380,'[1]TrialBalance (YTD)'!$I:$I))</f>
        <v>#VALUE!</v>
      </c>
      <c r="G380" s="5">
        <f>IFERROR(INDEX('[1]TrialBalance (YTD)'!$G:$S,MATCH([1]TBMapping!$C382,'[1]TrialBalance (YTD)'!G:G,0),MATCH([1]TBMapping!H$3,'[1]TrialBalance (YTD)'!$G$7:$Z$7,0)),0)</f>
        <v>0</v>
      </c>
      <c r="H380" s="5" t="e">
        <f>SUMIF('[1]TrialBalance (YTD)'!G:G,B380,'[1]TrialBalance (YTD)'!H:H)</f>
        <v>#VALUE!</v>
      </c>
      <c r="I380" s="5">
        <f>IFERROR(INDEX('[1]TrialBalance (YTD)'!$G:$S,MATCH([1]TBMapping!$C382,'[1]TrialBalance (YTD)'!G:G,0),MATCH([1]TBMapping!J$3,'[1]TrialBalance (YTD)'!$G$7:$Z$7,0)),0)</f>
        <v>0</v>
      </c>
      <c r="K380" s="5" t="e">
        <f>SUMIF('[1]TrialBalance (Quarter)'!$A:$A,B380,'[1]TrialBalance (Quarter)'!$B:$B)</f>
        <v>#VALUE!</v>
      </c>
      <c r="L380" s="5">
        <f>IFERROR(INDEX('[1]TrialBalance (Quarter)'!$A:$L,MATCH([1]TBMapping!$C382,'[1]TrialBalance (Quarter)'!A:A,0),MATCH([1]TBMapping!M$3,'[1]TrialBalance (Quarter)'!$7:$7,0)),0)</f>
        <v>0</v>
      </c>
      <c r="M380" s="5">
        <f>IFERROR(INDEX('[1]TrialBalance (Quarter)'!$A:$L,MATCH([1]TBMapping!$C382,'[1]TrialBalance (Quarter)'!A:A,0),MATCH([1]TBMapping!N$3,'[1]TrialBalance (Quarter)'!$7:$7,0)),0)</f>
        <v>0</v>
      </c>
      <c r="N380" s="5">
        <f>IFERROR(INDEX('[1]TrialBalance (Quarter)'!$A:$L,MATCH([1]TBMapping!$C382,'[1]TrialBalance (Quarter)'!A:A,0),MATCH([1]TBMapping!O$3,'[1]TrialBalance (Quarter)'!$7:$7,0)),0)</f>
        <v>0</v>
      </c>
    </row>
    <row r="381" spans="1:14">
      <c r="B381" s="3">
        <v>136999</v>
      </c>
      <c r="C381" s="10" t="s">
        <v>348</v>
      </c>
      <c r="D381" s="10" t="s">
        <v>16</v>
      </c>
      <c r="E381" s="10"/>
      <c r="F381" s="5" t="e">
        <f>IF(DataExtraction="Manual",SUMIF('[1]TrialBalance (YTD)'!$C:$C,B381,'[1]TrialBalance (YTD)'!$E:$E),SUMIF('[1]TrialBalance (YTD)'!$G:$G,B381,'[1]TrialBalance (YTD)'!$I:$I))</f>
        <v>#VALUE!</v>
      </c>
      <c r="G381" s="5">
        <f>IFERROR(INDEX('[1]TrialBalance (YTD)'!$G:$S,MATCH([1]TBMapping!$C383,'[1]TrialBalance (YTD)'!G:G,0),MATCH([1]TBMapping!H$3,'[1]TrialBalance (YTD)'!$G$7:$Z$7,0)),0)</f>
        <v>0</v>
      </c>
      <c r="H381" s="5" t="e">
        <f>SUMIF('[1]TrialBalance (YTD)'!G:G,B381,'[1]TrialBalance (YTD)'!H:H)</f>
        <v>#VALUE!</v>
      </c>
      <c r="I381" s="5">
        <f>IFERROR(INDEX('[1]TrialBalance (YTD)'!$G:$S,MATCH([1]TBMapping!$C383,'[1]TrialBalance (YTD)'!G:G,0),MATCH([1]TBMapping!J$3,'[1]TrialBalance (YTD)'!$G$7:$Z$7,0)),0)</f>
        <v>0</v>
      </c>
      <c r="K381" s="5" t="e">
        <f>SUMIF('[1]TrialBalance (Quarter)'!$A:$A,B381,'[1]TrialBalance (Quarter)'!$B:$B)</f>
        <v>#VALUE!</v>
      </c>
      <c r="L381" s="5">
        <f>IFERROR(INDEX('[1]TrialBalance (Quarter)'!$A:$L,MATCH([1]TBMapping!$C383,'[1]TrialBalance (Quarter)'!A:A,0),MATCH([1]TBMapping!M$3,'[1]TrialBalance (Quarter)'!$7:$7,0)),0)</f>
        <v>0</v>
      </c>
      <c r="M381" s="5">
        <f>IFERROR(INDEX('[1]TrialBalance (Quarter)'!$A:$L,MATCH([1]TBMapping!$C383,'[1]TrialBalance (Quarter)'!A:A,0),MATCH([1]TBMapping!N$3,'[1]TrialBalance (Quarter)'!$7:$7,0)),0)</f>
        <v>0</v>
      </c>
      <c r="N381" s="5">
        <f>IFERROR(INDEX('[1]TrialBalance (Quarter)'!$A:$L,MATCH([1]TBMapping!$C383,'[1]TrialBalance (Quarter)'!A:A,0),MATCH([1]TBMapping!O$3,'[1]TrialBalance (Quarter)'!$7:$7,0)),0)</f>
        <v>0</v>
      </c>
    </row>
    <row r="382" spans="1:14">
      <c r="B382" s="3">
        <v>137000</v>
      </c>
      <c r="C382" s="11" t="s">
        <v>349</v>
      </c>
      <c r="D382" s="11" t="s">
        <v>5</v>
      </c>
      <c r="E382" s="11"/>
      <c r="F382" s="5" t="e">
        <f>IF(DataExtraction="Manual",SUMIF('[1]TrialBalance (YTD)'!$C:$C,B382,'[1]TrialBalance (YTD)'!$E:$E),SUMIF('[1]TrialBalance (YTD)'!$G:$G,B382,'[1]TrialBalance (YTD)'!$I:$I))</f>
        <v>#VALUE!</v>
      </c>
      <c r="G382" s="5">
        <f>IFERROR(INDEX('[1]TrialBalance (YTD)'!$G:$S,MATCH([1]TBMapping!$C384,'[1]TrialBalance (YTD)'!G:G,0),MATCH([1]TBMapping!H$3,'[1]TrialBalance (YTD)'!$G$7:$Z$7,0)),0)</f>
        <v>0</v>
      </c>
      <c r="H382" s="5" t="e">
        <f>SUMIF('[1]TrialBalance (YTD)'!G:G,B382,'[1]TrialBalance (YTD)'!H:H)</f>
        <v>#VALUE!</v>
      </c>
      <c r="I382" s="5">
        <f>IFERROR(INDEX('[1]TrialBalance (YTD)'!$G:$S,MATCH([1]TBMapping!$C384,'[1]TrialBalance (YTD)'!G:G,0),MATCH([1]TBMapping!J$3,'[1]TrialBalance (YTD)'!$G$7:$Z$7,0)),0)</f>
        <v>0</v>
      </c>
      <c r="K382" s="5" t="e">
        <f>SUMIF('[1]TrialBalance (Quarter)'!$A:$A,B382,'[1]TrialBalance (Quarter)'!$B:$B)</f>
        <v>#VALUE!</v>
      </c>
      <c r="L382" s="5">
        <f>IFERROR(INDEX('[1]TrialBalance (Quarter)'!$A:$L,MATCH([1]TBMapping!$C384,'[1]TrialBalance (Quarter)'!A:A,0),MATCH([1]TBMapping!M$3,'[1]TrialBalance (Quarter)'!$7:$7,0)),0)</f>
        <v>0</v>
      </c>
      <c r="M382" s="5">
        <f>IFERROR(INDEX('[1]TrialBalance (Quarter)'!$A:$L,MATCH([1]TBMapping!$C384,'[1]TrialBalance (Quarter)'!A:A,0),MATCH([1]TBMapping!N$3,'[1]TrialBalance (Quarter)'!$7:$7,0)),0)</f>
        <v>0</v>
      </c>
      <c r="N382" s="5">
        <f>IFERROR(INDEX('[1]TrialBalance (Quarter)'!$A:$L,MATCH([1]TBMapping!$C384,'[1]TrialBalance (Quarter)'!A:A,0),MATCH([1]TBMapping!O$3,'[1]TrialBalance (Quarter)'!$7:$7,0)),0)</f>
        <v>0</v>
      </c>
    </row>
    <row r="383" spans="1:14">
      <c r="A383" s="2">
        <v>107</v>
      </c>
      <c r="B383" s="3">
        <v>137110</v>
      </c>
      <c r="C383" s="10" t="s">
        <v>350</v>
      </c>
      <c r="D383" s="10" t="s">
        <v>11</v>
      </c>
      <c r="E383" s="10"/>
      <c r="F383" s="5" t="e">
        <f>IF(DataExtraction="Manual",SUMIF('[1]TrialBalance (YTD)'!$C:$C,B383,'[1]TrialBalance (YTD)'!$E:$E),SUMIF('[1]TrialBalance (YTD)'!$G:$G,B383,'[1]TrialBalance (YTD)'!$I:$I))</f>
        <v>#VALUE!</v>
      </c>
      <c r="G383" s="5">
        <f>IFERROR(INDEX('[1]TrialBalance (YTD)'!$G:$S,MATCH([1]TBMapping!$C385,'[1]TrialBalance (YTD)'!G:G,0),MATCH([1]TBMapping!H$3,'[1]TrialBalance (YTD)'!$G$7:$Z$7,0)),0)</f>
        <v>0</v>
      </c>
      <c r="H383" s="5" t="e">
        <f>SUMIF('[1]TrialBalance (YTD)'!G:G,B383,'[1]TrialBalance (YTD)'!H:H)</f>
        <v>#VALUE!</v>
      </c>
      <c r="I383" s="5">
        <f>IFERROR(INDEX('[1]TrialBalance (YTD)'!$G:$S,MATCH([1]TBMapping!$C385,'[1]TrialBalance (YTD)'!G:G,0),MATCH([1]TBMapping!J$3,'[1]TrialBalance (YTD)'!$G$7:$Z$7,0)),0)</f>
        <v>0</v>
      </c>
      <c r="K383" s="5" t="e">
        <f>SUMIF('[1]TrialBalance (Quarter)'!$A:$A,B383,'[1]TrialBalance (Quarter)'!$B:$B)</f>
        <v>#VALUE!</v>
      </c>
      <c r="L383" s="5">
        <f>IFERROR(INDEX('[1]TrialBalance (Quarter)'!$A:$L,MATCH([1]TBMapping!$C385,'[1]TrialBalance (Quarter)'!A:A,0),MATCH([1]TBMapping!M$3,'[1]TrialBalance (Quarter)'!$7:$7,0)),0)</f>
        <v>0</v>
      </c>
      <c r="M383" s="5">
        <f>IFERROR(INDEX('[1]TrialBalance (Quarter)'!$A:$L,MATCH([1]TBMapping!$C385,'[1]TrialBalance (Quarter)'!A:A,0),MATCH([1]TBMapping!N$3,'[1]TrialBalance (Quarter)'!$7:$7,0)),0)</f>
        <v>0</v>
      </c>
      <c r="N383" s="5">
        <f>IFERROR(INDEX('[1]TrialBalance (Quarter)'!$A:$L,MATCH([1]TBMapping!$C385,'[1]TrialBalance (Quarter)'!A:A,0),MATCH([1]TBMapping!O$3,'[1]TrialBalance (Quarter)'!$7:$7,0)),0)</f>
        <v>0</v>
      </c>
    </row>
    <row r="384" spans="1:14">
      <c r="A384" s="2">
        <v>107</v>
      </c>
      <c r="B384" s="3">
        <v>137120</v>
      </c>
      <c r="C384" s="11" t="s">
        <v>351</v>
      </c>
      <c r="D384" s="11" t="s">
        <v>11</v>
      </c>
      <c r="E384" s="11"/>
      <c r="F384" s="5" t="e">
        <f>IF(DataExtraction="Manual",SUMIF('[1]TrialBalance (YTD)'!$C:$C,B384,'[1]TrialBalance (YTD)'!$E:$E),SUMIF('[1]TrialBalance (YTD)'!$G:$G,B384,'[1]TrialBalance (YTD)'!$I:$I))</f>
        <v>#VALUE!</v>
      </c>
      <c r="G384" s="5">
        <f>IFERROR(INDEX('[1]TrialBalance (YTD)'!$G:$S,MATCH([1]TBMapping!$C386,'[1]TrialBalance (YTD)'!G:G,0),MATCH([1]TBMapping!H$3,'[1]TrialBalance (YTD)'!$G$7:$Z$7,0)),0)</f>
        <v>0</v>
      </c>
      <c r="H384" s="5" t="e">
        <f>SUMIF('[1]TrialBalance (YTD)'!G:G,B384,'[1]TrialBalance (YTD)'!H:H)</f>
        <v>#VALUE!</v>
      </c>
      <c r="I384" s="5">
        <f>IFERROR(INDEX('[1]TrialBalance (YTD)'!$G:$S,MATCH([1]TBMapping!$C386,'[1]TrialBalance (YTD)'!G:G,0),MATCH([1]TBMapping!J$3,'[1]TrialBalance (YTD)'!$G$7:$Z$7,0)),0)</f>
        <v>0</v>
      </c>
      <c r="K384" s="5" t="e">
        <f>SUMIF('[1]TrialBalance (Quarter)'!$A:$A,B384,'[1]TrialBalance (Quarter)'!$B:$B)</f>
        <v>#VALUE!</v>
      </c>
      <c r="L384" s="5">
        <f>IFERROR(INDEX('[1]TrialBalance (Quarter)'!$A:$L,MATCH([1]TBMapping!$C386,'[1]TrialBalance (Quarter)'!A:A,0),MATCH([1]TBMapping!M$3,'[1]TrialBalance (Quarter)'!$7:$7,0)),0)</f>
        <v>0</v>
      </c>
      <c r="M384" s="5">
        <f>IFERROR(INDEX('[1]TrialBalance (Quarter)'!$A:$L,MATCH([1]TBMapping!$C386,'[1]TrialBalance (Quarter)'!A:A,0),MATCH([1]TBMapping!N$3,'[1]TrialBalance (Quarter)'!$7:$7,0)),0)</f>
        <v>0</v>
      </c>
      <c r="N384" s="5">
        <f>IFERROR(INDEX('[1]TrialBalance (Quarter)'!$A:$L,MATCH([1]TBMapping!$C386,'[1]TrialBalance (Quarter)'!A:A,0),MATCH([1]TBMapping!O$3,'[1]TrialBalance (Quarter)'!$7:$7,0)),0)</f>
        <v>0</v>
      </c>
    </row>
    <row r="385" spans="1:14">
      <c r="A385" s="2">
        <v>107</v>
      </c>
      <c r="B385" s="3">
        <v>137130</v>
      </c>
      <c r="C385" s="10" t="s">
        <v>352</v>
      </c>
      <c r="D385" s="10" t="s">
        <v>11</v>
      </c>
      <c r="E385" s="10"/>
      <c r="F385" s="5" t="e">
        <f>IF(DataExtraction="Manual",SUMIF('[1]TrialBalance (YTD)'!$C:$C,B385,'[1]TrialBalance (YTD)'!$E:$E),SUMIF('[1]TrialBalance (YTD)'!$G:$G,B385,'[1]TrialBalance (YTD)'!$I:$I))</f>
        <v>#VALUE!</v>
      </c>
      <c r="G385" s="5">
        <f>IFERROR(INDEX('[1]TrialBalance (YTD)'!$G:$S,MATCH([1]TBMapping!$C387,'[1]TrialBalance (YTD)'!G:G,0),MATCH([1]TBMapping!H$3,'[1]TrialBalance (YTD)'!$G$7:$Z$7,0)),0)</f>
        <v>0</v>
      </c>
      <c r="H385" s="5" t="e">
        <f>SUMIF('[1]TrialBalance (YTD)'!G:G,B385,'[1]TrialBalance (YTD)'!H:H)</f>
        <v>#VALUE!</v>
      </c>
      <c r="I385" s="5">
        <f>IFERROR(INDEX('[1]TrialBalance (YTD)'!$G:$S,MATCH([1]TBMapping!$C387,'[1]TrialBalance (YTD)'!G:G,0),MATCH([1]TBMapping!J$3,'[1]TrialBalance (YTD)'!$G$7:$Z$7,0)),0)</f>
        <v>0</v>
      </c>
      <c r="K385" s="5" t="e">
        <f>SUMIF('[1]TrialBalance (Quarter)'!$A:$A,B385,'[1]TrialBalance (Quarter)'!$B:$B)</f>
        <v>#VALUE!</v>
      </c>
      <c r="L385" s="5">
        <f>IFERROR(INDEX('[1]TrialBalance (Quarter)'!$A:$L,MATCH([1]TBMapping!$C387,'[1]TrialBalance (Quarter)'!A:A,0),MATCH([1]TBMapping!M$3,'[1]TrialBalance (Quarter)'!$7:$7,0)),0)</f>
        <v>0</v>
      </c>
      <c r="M385" s="5">
        <f>IFERROR(INDEX('[1]TrialBalance (Quarter)'!$A:$L,MATCH([1]TBMapping!$C387,'[1]TrialBalance (Quarter)'!A:A,0),MATCH([1]TBMapping!N$3,'[1]TrialBalance (Quarter)'!$7:$7,0)),0)</f>
        <v>0</v>
      </c>
      <c r="N385" s="5">
        <f>IFERROR(INDEX('[1]TrialBalance (Quarter)'!$A:$L,MATCH([1]TBMapping!$C387,'[1]TrialBalance (Quarter)'!A:A,0),MATCH([1]TBMapping!O$3,'[1]TrialBalance (Quarter)'!$7:$7,0)),0)</f>
        <v>0</v>
      </c>
    </row>
    <row r="386" spans="1:14">
      <c r="A386" s="2">
        <v>107</v>
      </c>
      <c r="B386" s="3">
        <v>137140</v>
      </c>
      <c r="C386" s="11" t="s">
        <v>353</v>
      </c>
      <c r="D386" s="11" t="s">
        <v>11</v>
      </c>
      <c r="E386" s="11"/>
      <c r="F386" s="5" t="e">
        <f>IF(DataExtraction="Manual",SUMIF('[1]TrialBalance (YTD)'!$C:$C,B386,'[1]TrialBalance (YTD)'!$E:$E),SUMIF('[1]TrialBalance (YTD)'!$G:$G,B386,'[1]TrialBalance (YTD)'!$I:$I))</f>
        <v>#VALUE!</v>
      </c>
      <c r="G386" s="5">
        <f>IFERROR(INDEX('[1]TrialBalance (YTD)'!$G:$S,MATCH([1]TBMapping!$C388,'[1]TrialBalance (YTD)'!G:G,0),MATCH([1]TBMapping!H$3,'[1]TrialBalance (YTD)'!$G$7:$Z$7,0)),0)</f>
        <v>0</v>
      </c>
      <c r="H386" s="5" t="e">
        <f>SUMIF('[1]TrialBalance (YTD)'!G:G,B386,'[1]TrialBalance (YTD)'!H:H)</f>
        <v>#VALUE!</v>
      </c>
      <c r="I386" s="5">
        <f>IFERROR(INDEX('[1]TrialBalance (YTD)'!$G:$S,MATCH([1]TBMapping!$C388,'[1]TrialBalance (YTD)'!G:G,0),MATCH([1]TBMapping!J$3,'[1]TrialBalance (YTD)'!$G$7:$Z$7,0)),0)</f>
        <v>0</v>
      </c>
      <c r="K386" s="5" t="e">
        <f>SUMIF('[1]TrialBalance (Quarter)'!$A:$A,B386,'[1]TrialBalance (Quarter)'!$B:$B)</f>
        <v>#VALUE!</v>
      </c>
      <c r="L386" s="5">
        <f>IFERROR(INDEX('[1]TrialBalance (Quarter)'!$A:$L,MATCH([1]TBMapping!$C388,'[1]TrialBalance (Quarter)'!A:A,0),MATCH([1]TBMapping!M$3,'[1]TrialBalance (Quarter)'!$7:$7,0)),0)</f>
        <v>0</v>
      </c>
      <c r="M386" s="5">
        <f>IFERROR(INDEX('[1]TrialBalance (Quarter)'!$A:$L,MATCH([1]TBMapping!$C388,'[1]TrialBalance (Quarter)'!A:A,0),MATCH([1]TBMapping!N$3,'[1]TrialBalance (Quarter)'!$7:$7,0)),0)</f>
        <v>0</v>
      </c>
      <c r="N386" s="5">
        <f>IFERROR(INDEX('[1]TrialBalance (Quarter)'!$A:$L,MATCH([1]TBMapping!$C388,'[1]TrialBalance (Quarter)'!A:A,0),MATCH([1]TBMapping!O$3,'[1]TrialBalance (Quarter)'!$7:$7,0)),0)</f>
        <v>0</v>
      </c>
    </row>
    <row r="387" spans="1:14">
      <c r="B387" s="3">
        <v>137999</v>
      </c>
      <c r="C387" s="10" t="s">
        <v>349</v>
      </c>
      <c r="D387" s="10" t="s">
        <v>16</v>
      </c>
      <c r="E387" s="10"/>
      <c r="F387" s="5" t="e">
        <f>IF(DataExtraction="Manual",SUMIF('[1]TrialBalance (YTD)'!$C:$C,B387,'[1]TrialBalance (YTD)'!$E:$E),SUMIF('[1]TrialBalance (YTD)'!$G:$G,B387,'[1]TrialBalance (YTD)'!$I:$I))</f>
        <v>#VALUE!</v>
      </c>
      <c r="G387" s="5">
        <f>IFERROR(INDEX('[1]TrialBalance (YTD)'!$G:$S,MATCH([1]TBMapping!$C389,'[1]TrialBalance (YTD)'!G:G,0),MATCH([1]TBMapping!H$3,'[1]TrialBalance (YTD)'!$G$7:$Z$7,0)),0)</f>
        <v>0</v>
      </c>
      <c r="H387" s="5" t="e">
        <f>SUMIF('[1]TrialBalance (YTD)'!G:G,B387,'[1]TrialBalance (YTD)'!H:H)</f>
        <v>#VALUE!</v>
      </c>
      <c r="I387" s="5">
        <f>IFERROR(INDEX('[1]TrialBalance (YTD)'!$G:$S,MATCH([1]TBMapping!$C389,'[1]TrialBalance (YTD)'!G:G,0),MATCH([1]TBMapping!J$3,'[1]TrialBalance (YTD)'!$G$7:$Z$7,0)),0)</f>
        <v>0</v>
      </c>
      <c r="K387" s="5" t="e">
        <f>SUMIF('[1]TrialBalance (Quarter)'!$A:$A,B387,'[1]TrialBalance (Quarter)'!$B:$B)</f>
        <v>#VALUE!</v>
      </c>
      <c r="L387" s="5">
        <f>IFERROR(INDEX('[1]TrialBalance (Quarter)'!$A:$L,MATCH([1]TBMapping!$C389,'[1]TrialBalance (Quarter)'!A:A,0),MATCH([1]TBMapping!M$3,'[1]TrialBalance (Quarter)'!$7:$7,0)),0)</f>
        <v>0</v>
      </c>
      <c r="M387" s="5">
        <f>IFERROR(INDEX('[1]TrialBalance (Quarter)'!$A:$L,MATCH([1]TBMapping!$C389,'[1]TrialBalance (Quarter)'!A:A,0),MATCH([1]TBMapping!N$3,'[1]TrialBalance (Quarter)'!$7:$7,0)),0)</f>
        <v>0</v>
      </c>
      <c r="N387" s="5">
        <f>IFERROR(INDEX('[1]TrialBalance (Quarter)'!$A:$L,MATCH([1]TBMapping!$C389,'[1]TrialBalance (Quarter)'!A:A,0),MATCH([1]TBMapping!O$3,'[1]TrialBalance (Quarter)'!$7:$7,0)),0)</f>
        <v>0</v>
      </c>
    </row>
    <row r="388" spans="1:14">
      <c r="B388" s="3">
        <v>138000</v>
      </c>
      <c r="C388" s="11" t="s">
        <v>354</v>
      </c>
      <c r="D388" s="11" t="s">
        <v>5</v>
      </c>
      <c r="E388" s="11"/>
      <c r="F388" s="5" t="e">
        <f>IF(DataExtraction="Manual",SUMIF('[1]TrialBalance (YTD)'!$C:$C,B388,'[1]TrialBalance (YTD)'!$E:$E),SUMIF('[1]TrialBalance (YTD)'!$G:$G,B388,'[1]TrialBalance (YTD)'!$I:$I))</f>
        <v>#VALUE!</v>
      </c>
      <c r="G388" s="5">
        <f>IFERROR(INDEX('[1]TrialBalance (YTD)'!$G:$S,MATCH([1]TBMapping!$C390,'[1]TrialBalance (YTD)'!G:G,0),MATCH([1]TBMapping!H$3,'[1]TrialBalance (YTD)'!$G$7:$Z$7,0)),0)</f>
        <v>0</v>
      </c>
      <c r="H388" s="5" t="e">
        <f>SUMIF('[1]TrialBalance (YTD)'!G:G,B388,'[1]TrialBalance (YTD)'!H:H)</f>
        <v>#VALUE!</v>
      </c>
      <c r="I388" s="5">
        <f>IFERROR(INDEX('[1]TrialBalance (YTD)'!$G:$S,MATCH([1]TBMapping!$C390,'[1]TrialBalance (YTD)'!G:G,0),MATCH([1]TBMapping!J$3,'[1]TrialBalance (YTD)'!$G$7:$Z$7,0)),0)</f>
        <v>0</v>
      </c>
      <c r="K388" s="5" t="e">
        <f>SUMIF('[1]TrialBalance (Quarter)'!$A:$A,B388,'[1]TrialBalance (Quarter)'!$B:$B)</f>
        <v>#VALUE!</v>
      </c>
      <c r="L388" s="5">
        <f>IFERROR(INDEX('[1]TrialBalance (Quarter)'!$A:$L,MATCH([1]TBMapping!$C390,'[1]TrialBalance (Quarter)'!A:A,0),MATCH([1]TBMapping!M$3,'[1]TrialBalance (Quarter)'!$7:$7,0)),0)</f>
        <v>0</v>
      </c>
      <c r="M388" s="5">
        <f>IFERROR(INDEX('[1]TrialBalance (Quarter)'!$A:$L,MATCH([1]TBMapping!$C390,'[1]TrialBalance (Quarter)'!A:A,0),MATCH([1]TBMapping!N$3,'[1]TrialBalance (Quarter)'!$7:$7,0)),0)</f>
        <v>0</v>
      </c>
      <c r="N388" s="5">
        <f>IFERROR(INDEX('[1]TrialBalance (Quarter)'!$A:$L,MATCH([1]TBMapping!$C390,'[1]TrialBalance (Quarter)'!A:A,0),MATCH([1]TBMapping!O$3,'[1]TrialBalance (Quarter)'!$7:$7,0)),0)</f>
        <v>0</v>
      </c>
    </row>
    <row r="389" spans="1:14">
      <c r="A389" s="2">
        <v>107</v>
      </c>
      <c r="B389" s="3">
        <v>138110</v>
      </c>
      <c r="C389" s="10" t="s">
        <v>355</v>
      </c>
      <c r="D389" s="10" t="s">
        <v>11</v>
      </c>
      <c r="E389" s="10"/>
      <c r="F389" s="5" t="e">
        <f>IF(DataExtraction="Manual",SUMIF('[1]TrialBalance (YTD)'!$C:$C,B389,'[1]TrialBalance (YTD)'!$E:$E),SUMIF('[1]TrialBalance (YTD)'!$G:$G,B389,'[1]TrialBalance (YTD)'!$I:$I))</f>
        <v>#VALUE!</v>
      </c>
      <c r="G389" s="5">
        <f>IFERROR(INDEX('[1]TrialBalance (YTD)'!$G:$S,MATCH([1]TBMapping!$C391,'[1]TrialBalance (YTD)'!G:G,0),MATCH([1]TBMapping!H$3,'[1]TrialBalance (YTD)'!$G$7:$Z$7,0)),0)</f>
        <v>0</v>
      </c>
      <c r="H389" s="5" t="e">
        <f>SUMIF('[1]TrialBalance (YTD)'!G:G,B389,'[1]TrialBalance (YTD)'!H:H)</f>
        <v>#VALUE!</v>
      </c>
      <c r="I389" s="5">
        <f>IFERROR(INDEX('[1]TrialBalance (YTD)'!$G:$S,MATCH([1]TBMapping!$C391,'[1]TrialBalance (YTD)'!G:G,0),MATCH([1]TBMapping!J$3,'[1]TrialBalance (YTD)'!$G$7:$Z$7,0)),0)</f>
        <v>0</v>
      </c>
      <c r="K389" s="5" t="e">
        <f>SUMIF('[1]TrialBalance (Quarter)'!$A:$A,B389,'[1]TrialBalance (Quarter)'!$B:$B)</f>
        <v>#VALUE!</v>
      </c>
      <c r="L389" s="5">
        <f>IFERROR(INDEX('[1]TrialBalance (Quarter)'!$A:$L,MATCH([1]TBMapping!$C391,'[1]TrialBalance (Quarter)'!A:A,0),MATCH([1]TBMapping!M$3,'[1]TrialBalance (Quarter)'!$7:$7,0)),0)</f>
        <v>0</v>
      </c>
      <c r="M389" s="5">
        <f>IFERROR(INDEX('[1]TrialBalance (Quarter)'!$A:$L,MATCH([1]TBMapping!$C391,'[1]TrialBalance (Quarter)'!A:A,0),MATCH([1]TBMapping!N$3,'[1]TrialBalance (Quarter)'!$7:$7,0)),0)</f>
        <v>0</v>
      </c>
      <c r="N389" s="5">
        <f>IFERROR(INDEX('[1]TrialBalance (Quarter)'!$A:$L,MATCH([1]TBMapping!$C391,'[1]TrialBalance (Quarter)'!A:A,0),MATCH([1]TBMapping!O$3,'[1]TrialBalance (Quarter)'!$7:$7,0)),0)</f>
        <v>0</v>
      </c>
    </row>
    <row r="390" spans="1:14">
      <c r="A390" s="2">
        <v>107</v>
      </c>
      <c r="B390" s="3">
        <v>138120</v>
      </c>
      <c r="C390" s="11" t="s">
        <v>356</v>
      </c>
      <c r="D390" s="11" t="s">
        <v>11</v>
      </c>
      <c r="E390" s="11"/>
      <c r="F390" s="5" t="e">
        <f>IF(DataExtraction="Manual",SUMIF('[1]TrialBalance (YTD)'!$C:$C,B390,'[1]TrialBalance (YTD)'!$E:$E),SUMIF('[1]TrialBalance (YTD)'!$G:$G,B390,'[1]TrialBalance (YTD)'!$I:$I))</f>
        <v>#VALUE!</v>
      </c>
      <c r="G390" s="5">
        <f>IFERROR(INDEX('[1]TrialBalance (YTD)'!$G:$S,MATCH([1]TBMapping!$C392,'[1]TrialBalance (YTD)'!G:G,0),MATCH([1]TBMapping!H$3,'[1]TrialBalance (YTD)'!$G$7:$Z$7,0)),0)</f>
        <v>0</v>
      </c>
      <c r="H390" s="5" t="e">
        <f>SUMIF('[1]TrialBalance (YTD)'!G:G,B390,'[1]TrialBalance (YTD)'!H:H)</f>
        <v>#VALUE!</v>
      </c>
      <c r="I390" s="5">
        <f>IFERROR(INDEX('[1]TrialBalance (YTD)'!$G:$S,MATCH([1]TBMapping!$C392,'[1]TrialBalance (YTD)'!G:G,0),MATCH([1]TBMapping!J$3,'[1]TrialBalance (YTD)'!$G$7:$Z$7,0)),0)</f>
        <v>0</v>
      </c>
      <c r="K390" s="5" t="e">
        <f>SUMIF('[1]TrialBalance (Quarter)'!$A:$A,B390,'[1]TrialBalance (Quarter)'!$B:$B)</f>
        <v>#VALUE!</v>
      </c>
      <c r="L390" s="5">
        <f>IFERROR(INDEX('[1]TrialBalance (Quarter)'!$A:$L,MATCH([1]TBMapping!$C392,'[1]TrialBalance (Quarter)'!A:A,0),MATCH([1]TBMapping!M$3,'[1]TrialBalance (Quarter)'!$7:$7,0)),0)</f>
        <v>0</v>
      </c>
      <c r="M390" s="5">
        <f>IFERROR(INDEX('[1]TrialBalance (Quarter)'!$A:$L,MATCH([1]TBMapping!$C392,'[1]TrialBalance (Quarter)'!A:A,0),MATCH([1]TBMapping!N$3,'[1]TrialBalance (Quarter)'!$7:$7,0)),0)</f>
        <v>0</v>
      </c>
      <c r="N390" s="5">
        <f>IFERROR(INDEX('[1]TrialBalance (Quarter)'!$A:$L,MATCH([1]TBMapping!$C392,'[1]TrialBalance (Quarter)'!A:A,0),MATCH([1]TBMapping!O$3,'[1]TrialBalance (Quarter)'!$7:$7,0)),0)</f>
        <v>0</v>
      </c>
    </row>
    <row r="391" spans="1:14">
      <c r="B391" s="3">
        <v>138999</v>
      </c>
      <c r="C391" s="10" t="s">
        <v>357</v>
      </c>
      <c r="D391" s="10" t="s">
        <v>16</v>
      </c>
      <c r="E391" s="10"/>
      <c r="F391" s="5" t="e">
        <f>IF(DataExtraction="Manual",SUMIF('[1]TrialBalance (YTD)'!$C:$C,B391,'[1]TrialBalance (YTD)'!$E:$E),SUMIF('[1]TrialBalance (YTD)'!$G:$G,B391,'[1]TrialBalance (YTD)'!$I:$I))</f>
        <v>#VALUE!</v>
      </c>
      <c r="G391" s="5">
        <f>IFERROR(INDEX('[1]TrialBalance (YTD)'!$G:$S,MATCH([1]TBMapping!$C393,'[1]TrialBalance (YTD)'!G:G,0),MATCH([1]TBMapping!H$3,'[1]TrialBalance (YTD)'!$G$7:$Z$7,0)),0)</f>
        <v>0</v>
      </c>
      <c r="H391" s="5" t="e">
        <f>SUMIF('[1]TrialBalance (YTD)'!G:G,B391,'[1]TrialBalance (YTD)'!H:H)</f>
        <v>#VALUE!</v>
      </c>
      <c r="I391" s="5">
        <f>IFERROR(INDEX('[1]TrialBalance (YTD)'!$G:$S,MATCH([1]TBMapping!$C393,'[1]TrialBalance (YTD)'!G:G,0),MATCH([1]TBMapping!J$3,'[1]TrialBalance (YTD)'!$G$7:$Z$7,0)),0)</f>
        <v>0</v>
      </c>
      <c r="K391" s="5" t="e">
        <f>SUMIF('[1]TrialBalance (Quarter)'!$A:$A,B391,'[1]TrialBalance (Quarter)'!$B:$B)</f>
        <v>#VALUE!</v>
      </c>
      <c r="L391" s="5">
        <f>IFERROR(INDEX('[1]TrialBalance (Quarter)'!$A:$L,MATCH([1]TBMapping!$C393,'[1]TrialBalance (Quarter)'!A:A,0),MATCH([1]TBMapping!M$3,'[1]TrialBalance (Quarter)'!$7:$7,0)),0)</f>
        <v>0</v>
      </c>
      <c r="M391" s="5">
        <f>IFERROR(INDEX('[1]TrialBalance (Quarter)'!$A:$L,MATCH([1]TBMapping!$C393,'[1]TrialBalance (Quarter)'!A:A,0),MATCH([1]TBMapping!N$3,'[1]TrialBalance (Quarter)'!$7:$7,0)),0)</f>
        <v>0</v>
      </c>
      <c r="N391" s="5">
        <f>IFERROR(INDEX('[1]TrialBalance (Quarter)'!$A:$L,MATCH([1]TBMapping!$C393,'[1]TrialBalance (Quarter)'!A:A,0),MATCH([1]TBMapping!O$3,'[1]TrialBalance (Quarter)'!$7:$7,0)),0)</f>
        <v>0</v>
      </c>
    </row>
    <row r="392" spans="1:14">
      <c r="B392" s="3">
        <v>139000</v>
      </c>
      <c r="C392" s="11" t="s">
        <v>358</v>
      </c>
      <c r="D392" s="11" t="s">
        <v>5</v>
      </c>
      <c r="E392" s="11"/>
      <c r="F392" s="5" t="e">
        <f>IF(DataExtraction="Manual",SUMIF('[1]TrialBalance (YTD)'!$C:$C,B392,'[1]TrialBalance (YTD)'!$E:$E),SUMIF('[1]TrialBalance (YTD)'!$G:$G,B392,'[1]TrialBalance (YTD)'!$I:$I))</f>
        <v>#VALUE!</v>
      </c>
      <c r="G392" s="5">
        <f>IFERROR(INDEX('[1]TrialBalance (YTD)'!$G:$S,MATCH([1]TBMapping!$C394,'[1]TrialBalance (YTD)'!G:G,0),MATCH([1]TBMapping!H$3,'[1]TrialBalance (YTD)'!$G$7:$Z$7,0)),0)</f>
        <v>0</v>
      </c>
      <c r="H392" s="5" t="e">
        <f>SUMIF('[1]TrialBalance (YTD)'!G:G,B392,'[1]TrialBalance (YTD)'!H:H)</f>
        <v>#VALUE!</v>
      </c>
      <c r="I392" s="5">
        <f>IFERROR(INDEX('[1]TrialBalance (YTD)'!$G:$S,MATCH([1]TBMapping!$C394,'[1]TrialBalance (YTD)'!G:G,0),MATCH([1]TBMapping!J$3,'[1]TrialBalance (YTD)'!$G$7:$Z$7,0)),0)</f>
        <v>0</v>
      </c>
      <c r="K392" s="5" t="e">
        <f>SUMIF('[1]TrialBalance (Quarter)'!$A:$A,B392,'[1]TrialBalance (Quarter)'!$B:$B)</f>
        <v>#VALUE!</v>
      </c>
      <c r="L392" s="5">
        <f>IFERROR(INDEX('[1]TrialBalance (Quarter)'!$A:$L,MATCH([1]TBMapping!$C394,'[1]TrialBalance (Quarter)'!A:A,0),MATCH([1]TBMapping!M$3,'[1]TrialBalance (Quarter)'!$7:$7,0)),0)</f>
        <v>0</v>
      </c>
      <c r="M392" s="5">
        <f>IFERROR(INDEX('[1]TrialBalance (Quarter)'!$A:$L,MATCH([1]TBMapping!$C394,'[1]TrialBalance (Quarter)'!A:A,0),MATCH([1]TBMapping!N$3,'[1]TrialBalance (Quarter)'!$7:$7,0)),0)</f>
        <v>0</v>
      </c>
      <c r="N392" s="5">
        <f>IFERROR(INDEX('[1]TrialBalance (Quarter)'!$A:$L,MATCH([1]TBMapping!$C394,'[1]TrialBalance (Quarter)'!A:A,0),MATCH([1]TBMapping!O$3,'[1]TrialBalance (Quarter)'!$7:$7,0)),0)</f>
        <v>0</v>
      </c>
    </row>
    <row r="393" spans="1:14">
      <c r="A393" s="2">
        <v>107</v>
      </c>
      <c r="B393" s="3">
        <v>139110</v>
      </c>
      <c r="C393" s="10" t="s">
        <v>359</v>
      </c>
      <c r="D393" s="10" t="s">
        <v>11</v>
      </c>
      <c r="E393" s="10"/>
      <c r="F393" s="5" t="e">
        <f>IF(DataExtraction="Manual",SUMIF('[1]TrialBalance (YTD)'!$C:$C,B393,'[1]TrialBalance (YTD)'!$E:$E),SUMIF('[1]TrialBalance (YTD)'!$G:$G,B393,'[1]TrialBalance (YTD)'!$I:$I))</f>
        <v>#VALUE!</v>
      </c>
      <c r="G393" s="5">
        <f>IFERROR(INDEX('[1]TrialBalance (YTD)'!$G:$S,MATCH([1]TBMapping!$C395,'[1]TrialBalance (YTD)'!G:G,0),MATCH([1]TBMapping!H$3,'[1]TrialBalance (YTD)'!$G$7:$Z$7,0)),0)</f>
        <v>0</v>
      </c>
      <c r="H393" s="5" t="e">
        <f>SUMIF('[1]TrialBalance (YTD)'!G:G,B393,'[1]TrialBalance (YTD)'!H:H)</f>
        <v>#VALUE!</v>
      </c>
      <c r="I393" s="5">
        <f>IFERROR(INDEX('[1]TrialBalance (YTD)'!$G:$S,MATCH([1]TBMapping!$C395,'[1]TrialBalance (YTD)'!G:G,0),MATCH([1]TBMapping!J$3,'[1]TrialBalance (YTD)'!$G$7:$Z$7,0)),0)</f>
        <v>0</v>
      </c>
      <c r="K393" s="5" t="e">
        <f>SUMIF('[1]TrialBalance (Quarter)'!$A:$A,B393,'[1]TrialBalance (Quarter)'!$B:$B)</f>
        <v>#VALUE!</v>
      </c>
      <c r="L393" s="5">
        <f>IFERROR(INDEX('[1]TrialBalance (Quarter)'!$A:$L,MATCH([1]TBMapping!$C395,'[1]TrialBalance (Quarter)'!A:A,0),MATCH([1]TBMapping!M$3,'[1]TrialBalance (Quarter)'!$7:$7,0)),0)</f>
        <v>0</v>
      </c>
      <c r="M393" s="5">
        <f>IFERROR(INDEX('[1]TrialBalance (Quarter)'!$A:$L,MATCH([1]TBMapping!$C395,'[1]TrialBalance (Quarter)'!A:A,0),MATCH([1]TBMapping!N$3,'[1]TrialBalance (Quarter)'!$7:$7,0)),0)</f>
        <v>0</v>
      </c>
      <c r="N393" s="5">
        <f>IFERROR(INDEX('[1]TrialBalance (Quarter)'!$A:$L,MATCH([1]TBMapping!$C395,'[1]TrialBalance (Quarter)'!A:A,0),MATCH([1]TBMapping!O$3,'[1]TrialBalance (Quarter)'!$7:$7,0)),0)</f>
        <v>0</v>
      </c>
    </row>
    <row r="394" spans="1:14">
      <c r="A394" s="2">
        <v>107</v>
      </c>
      <c r="B394" s="3">
        <v>139120</v>
      </c>
      <c r="C394" s="11" t="s">
        <v>360</v>
      </c>
      <c r="D394" s="11" t="s">
        <v>11</v>
      </c>
      <c r="E394" s="11"/>
      <c r="F394" s="5" t="e">
        <f>IF(DataExtraction="Manual",SUMIF('[1]TrialBalance (YTD)'!$C:$C,B394,'[1]TrialBalance (YTD)'!$E:$E),SUMIF('[1]TrialBalance (YTD)'!$G:$G,B394,'[1]TrialBalance (YTD)'!$I:$I))</f>
        <v>#VALUE!</v>
      </c>
      <c r="G394" s="5">
        <f>IFERROR(INDEX('[1]TrialBalance (YTD)'!$G:$S,MATCH([1]TBMapping!$C396,'[1]TrialBalance (YTD)'!G:G,0),MATCH([1]TBMapping!H$3,'[1]TrialBalance (YTD)'!$G$7:$Z$7,0)),0)</f>
        <v>0</v>
      </c>
      <c r="H394" s="5" t="e">
        <f>SUMIF('[1]TrialBalance (YTD)'!G:G,B394,'[1]TrialBalance (YTD)'!H:H)</f>
        <v>#VALUE!</v>
      </c>
      <c r="I394" s="5">
        <f>IFERROR(INDEX('[1]TrialBalance (YTD)'!$G:$S,MATCH([1]TBMapping!$C396,'[1]TrialBalance (YTD)'!G:G,0),MATCH([1]TBMapping!J$3,'[1]TrialBalance (YTD)'!$G$7:$Z$7,0)),0)</f>
        <v>0</v>
      </c>
      <c r="K394" s="5" t="e">
        <f>SUMIF('[1]TrialBalance (Quarter)'!$A:$A,B394,'[1]TrialBalance (Quarter)'!$B:$B)</f>
        <v>#VALUE!</v>
      </c>
      <c r="L394" s="5">
        <f>IFERROR(INDEX('[1]TrialBalance (Quarter)'!$A:$L,MATCH([1]TBMapping!$C396,'[1]TrialBalance (Quarter)'!A:A,0),MATCH([1]TBMapping!M$3,'[1]TrialBalance (Quarter)'!$7:$7,0)),0)</f>
        <v>0</v>
      </c>
      <c r="M394" s="5">
        <f>IFERROR(INDEX('[1]TrialBalance (Quarter)'!$A:$L,MATCH([1]TBMapping!$C396,'[1]TrialBalance (Quarter)'!A:A,0),MATCH([1]TBMapping!N$3,'[1]TrialBalance (Quarter)'!$7:$7,0)),0)</f>
        <v>0</v>
      </c>
      <c r="N394" s="5">
        <f>IFERROR(INDEX('[1]TrialBalance (Quarter)'!$A:$L,MATCH([1]TBMapping!$C396,'[1]TrialBalance (Quarter)'!A:A,0),MATCH([1]TBMapping!O$3,'[1]TrialBalance (Quarter)'!$7:$7,0)),0)</f>
        <v>0</v>
      </c>
    </row>
    <row r="395" spans="1:14">
      <c r="A395" s="2">
        <v>107</v>
      </c>
      <c r="B395" s="3">
        <v>139130</v>
      </c>
      <c r="C395" s="10" t="s">
        <v>361</v>
      </c>
      <c r="D395" s="10" t="s">
        <v>11</v>
      </c>
      <c r="E395" s="10"/>
      <c r="F395" s="5" t="e">
        <f>IF(DataExtraction="Manual",SUMIF('[1]TrialBalance (YTD)'!$C:$C,B395,'[1]TrialBalance (YTD)'!$E:$E),SUMIF('[1]TrialBalance (YTD)'!$G:$G,B395,'[1]TrialBalance (YTD)'!$I:$I))</f>
        <v>#VALUE!</v>
      </c>
      <c r="G395" s="5">
        <f>IFERROR(INDEX('[1]TrialBalance (YTD)'!$G:$S,MATCH([1]TBMapping!$C397,'[1]TrialBalance (YTD)'!G:G,0),MATCH([1]TBMapping!H$3,'[1]TrialBalance (YTD)'!$G$7:$Z$7,0)),0)</f>
        <v>0</v>
      </c>
      <c r="H395" s="5" t="e">
        <f>SUMIF('[1]TrialBalance (YTD)'!G:G,B395,'[1]TrialBalance (YTD)'!H:H)</f>
        <v>#VALUE!</v>
      </c>
      <c r="I395" s="5">
        <f>IFERROR(INDEX('[1]TrialBalance (YTD)'!$G:$S,MATCH([1]TBMapping!$C397,'[1]TrialBalance (YTD)'!G:G,0),MATCH([1]TBMapping!J$3,'[1]TrialBalance (YTD)'!$G$7:$Z$7,0)),0)</f>
        <v>0</v>
      </c>
      <c r="K395" s="5" t="e">
        <f>SUMIF('[1]TrialBalance (Quarter)'!$A:$A,B395,'[1]TrialBalance (Quarter)'!$B:$B)</f>
        <v>#VALUE!</v>
      </c>
      <c r="L395" s="5">
        <f>IFERROR(INDEX('[1]TrialBalance (Quarter)'!$A:$L,MATCH([1]TBMapping!$C397,'[1]TrialBalance (Quarter)'!A:A,0),MATCH([1]TBMapping!M$3,'[1]TrialBalance (Quarter)'!$7:$7,0)),0)</f>
        <v>0</v>
      </c>
      <c r="M395" s="5">
        <f>IFERROR(INDEX('[1]TrialBalance (Quarter)'!$A:$L,MATCH([1]TBMapping!$C397,'[1]TrialBalance (Quarter)'!A:A,0),MATCH([1]TBMapping!N$3,'[1]TrialBalance (Quarter)'!$7:$7,0)),0)</f>
        <v>0</v>
      </c>
      <c r="N395" s="5">
        <f>IFERROR(INDEX('[1]TrialBalance (Quarter)'!$A:$L,MATCH([1]TBMapping!$C397,'[1]TrialBalance (Quarter)'!A:A,0),MATCH([1]TBMapping!O$3,'[1]TrialBalance (Quarter)'!$7:$7,0)),0)</f>
        <v>0</v>
      </c>
    </row>
    <row r="396" spans="1:14">
      <c r="A396" s="2">
        <v>107</v>
      </c>
      <c r="B396" s="3">
        <v>139140</v>
      </c>
      <c r="C396" s="11" t="s">
        <v>362</v>
      </c>
      <c r="D396" s="11" t="s">
        <v>11</v>
      </c>
      <c r="E396" s="11"/>
      <c r="F396" s="5" t="e">
        <f>IF(DataExtraction="Manual",SUMIF('[1]TrialBalance (YTD)'!$C:$C,B396,'[1]TrialBalance (YTD)'!$E:$E),SUMIF('[1]TrialBalance (YTD)'!$G:$G,B396,'[1]TrialBalance (YTD)'!$I:$I))</f>
        <v>#VALUE!</v>
      </c>
      <c r="G396" s="5">
        <f>IFERROR(INDEX('[1]TrialBalance (YTD)'!$G:$S,MATCH([1]TBMapping!$C398,'[1]TrialBalance (YTD)'!G:G,0),MATCH([1]TBMapping!H$3,'[1]TrialBalance (YTD)'!$G$7:$Z$7,0)),0)</f>
        <v>0</v>
      </c>
      <c r="H396" s="5" t="e">
        <f>SUMIF('[1]TrialBalance (YTD)'!G:G,B396,'[1]TrialBalance (YTD)'!H:H)</f>
        <v>#VALUE!</v>
      </c>
      <c r="I396" s="5">
        <f>IFERROR(INDEX('[1]TrialBalance (YTD)'!$G:$S,MATCH([1]TBMapping!$C398,'[1]TrialBalance (YTD)'!G:G,0),MATCH([1]TBMapping!J$3,'[1]TrialBalance (YTD)'!$G$7:$Z$7,0)),0)</f>
        <v>-1.4</v>
      </c>
      <c r="K396" s="5" t="e">
        <f>SUMIF('[1]TrialBalance (Quarter)'!$A:$A,B396,'[1]TrialBalance (Quarter)'!$B:$B)</f>
        <v>#VALUE!</v>
      </c>
      <c r="L396" s="5">
        <f>IFERROR(INDEX('[1]TrialBalance (Quarter)'!$A:$L,MATCH([1]TBMapping!$C398,'[1]TrialBalance (Quarter)'!A:A,0),MATCH([1]TBMapping!M$3,'[1]TrialBalance (Quarter)'!$7:$7,0)),0)</f>
        <v>0</v>
      </c>
      <c r="M396" s="5">
        <f>IFERROR(INDEX('[1]TrialBalance (Quarter)'!$A:$L,MATCH([1]TBMapping!$C398,'[1]TrialBalance (Quarter)'!A:A,0),MATCH([1]TBMapping!N$3,'[1]TrialBalance (Quarter)'!$7:$7,0)),0)</f>
        <v>-0.26</v>
      </c>
      <c r="N396" s="5">
        <f>IFERROR(INDEX('[1]TrialBalance (Quarter)'!$A:$L,MATCH([1]TBMapping!$C398,'[1]TrialBalance (Quarter)'!A:A,0),MATCH([1]TBMapping!O$3,'[1]TrialBalance (Quarter)'!$7:$7,0)),0)</f>
        <v>-0.73</v>
      </c>
    </row>
    <row r="397" spans="1:14">
      <c r="A397" s="2">
        <v>107</v>
      </c>
      <c r="B397" s="3">
        <v>139150</v>
      </c>
      <c r="C397" s="10" t="s">
        <v>358</v>
      </c>
      <c r="D397" s="10" t="s">
        <v>11</v>
      </c>
      <c r="E397" s="10"/>
      <c r="F397" s="5" t="e">
        <f>IF(DataExtraction="Manual",SUMIF('[1]TrialBalance (YTD)'!$C:$C,B397,'[1]TrialBalance (YTD)'!$E:$E),SUMIF('[1]TrialBalance (YTD)'!$G:$G,B397,'[1]TrialBalance (YTD)'!$I:$I))</f>
        <v>#VALUE!</v>
      </c>
      <c r="G397" s="5">
        <f>IFERROR(INDEX('[1]TrialBalance (YTD)'!$G:$S,MATCH([1]TBMapping!$C399,'[1]TrialBalance (YTD)'!G:G,0),MATCH([1]TBMapping!H$3,'[1]TrialBalance (YTD)'!$G$7:$Z$7,0)),0)</f>
        <v>0</v>
      </c>
      <c r="H397" s="5" t="e">
        <f>SUMIF('[1]TrialBalance (YTD)'!G:G,B397,'[1]TrialBalance (YTD)'!H:H)</f>
        <v>#VALUE!</v>
      </c>
      <c r="I397" s="5">
        <f>IFERROR(INDEX('[1]TrialBalance (YTD)'!$G:$S,MATCH([1]TBMapping!$C399,'[1]TrialBalance (YTD)'!G:G,0),MATCH([1]TBMapping!J$3,'[1]TrialBalance (YTD)'!$G$7:$Z$7,0)),0)</f>
        <v>0</v>
      </c>
      <c r="K397" s="5" t="e">
        <f>SUMIF('[1]TrialBalance (Quarter)'!$A:$A,B397,'[1]TrialBalance (Quarter)'!$B:$B)</f>
        <v>#VALUE!</v>
      </c>
      <c r="L397" s="5">
        <f>IFERROR(INDEX('[1]TrialBalance (Quarter)'!$A:$L,MATCH([1]TBMapping!$C399,'[1]TrialBalance (Quarter)'!A:A,0),MATCH([1]TBMapping!M$3,'[1]TrialBalance (Quarter)'!$7:$7,0)),0)</f>
        <v>0</v>
      </c>
      <c r="M397" s="5">
        <f>IFERROR(INDEX('[1]TrialBalance (Quarter)'!$A:$L,MATCH([1]TBMapping!$C399,'[1]TrialBalance (Quarter)'!A:A,0),MATCH([1]TBMapping!N$3,'[1]TrialBalance (Quarter)'!$7:$7,0)),0)</f>
        <v>0</v>
      </c>
      <c r="N397" s="5">
        <f>IFERROR(INDEX('[1]TrialBalance (Quarter)'!$A:$L,MATCH([1]TBMapping!$C399,'[1]TrialBalance (Quarter)'!A:A,0),MATCH([1]TBMapping!O$3,'[1]TrialBalance (Quarter)'!$7:$7,0)),0)</f>
        <v>0</v>
      </c>
    </row>
    <row r="398" spans="1:14">
      <c r="A398" s="2">
        <v>107</v>
      </c>
      <c r="B398" s="3">
        <v>139152</v>
      </c>
      <c r="C398" s="11" t="s">
        <v>363</v>
      </c>
      <c r="D398" s="11" t="s">
        <v>11</v>
      </c>
      <c r="E398" s="11"/>
      <c r="F398" s="5" t="e">
        <f>IF(DataExtraction="Manual",SUMIF('[1]TrialBalance (YTD)'!$C:$C,B398,'[1]TrialBalance (YTD)'!$E:$E),SUMIF('[1]TrialBalance (YTD)'!$G:$G,B398,'[1]TrialBalance (YTD)'!$I:$I))</f>
        <v>#VALUE!</v>
      </c>
      <c r="G398" s="5">
        <f>IFERROR(INDEX('[1]TrialBalance (YTD)'!$G:$S,MATCH([1]TBMapping!$C400,'[1]TrialBalance (YTD)'!G:G,0),MATCH([1]TBMapping!H$3,'[1]TrialBalance (YTD)'!$G$7:$Z$7,0)),0)</f>
        <v>0</v>
      </c>
      <c r="H398" s="5" t="e">
        <f>SUMIF('[1]TrialBalance (YTD)'!G:G,B398,'[1]TrialBalance (YTD)'!H:H)</f>
        <v>#VALUE!</v>
      </c>
      <c r="I398" s="5">
        <f>IFERROR(INDEX('[1]TrialBalance (YTD)'!$G:$S,MATCH([1]TBMapping!$C400,'[1]TrialBalance (YTD)'!G:G,0),MATCH([1]TBMapping!J$3,'[1]TrialBalance (YTD)'!$G$7:$Z$7,0)),0)</f>
        <v>0</v>
      </c>
      <c r="K398" s="5" t="e">
        <f>SUMIF('[1]TrialBalance (Quarter)'!$A:$A,B398,'[1]TrialBalance (Quarter)'!$B:$B)</f>
        <v>#VALUE!</v>
      </c>
      <c r="L398" s="5">
        <f>IFERROR(INDEX('[1]TrialBalance (Quarter)'!$A:$L,MATCH([1]TBMapping!$C400,'[1]TrialBalance (Quarter)'!A:A,0),MATCH([1]TBMapping!M$3,'[1]TrialBalance (Quarter)'!$7:$7,0)),0)</f>
        <v>0</v>
      </c>
      <c r="M398" s="5">
        <f>IFERROR(INDEX('[1]TrialBalance (Quarter)'!$A:$L,MATCH([1]TBMapping!$C400,'[1]TrialBalance (Quarter)'!A:A,0),MATCH([1]TBMapping!N$3,'[1]TrialBalance (Quarter)'!$7:$7,0)),0)</f>
        <v>0</v>
      </c>
      <c r="N398" s="5">
        <f>IFERROR(INDEX('[1]TrialBalance (Quarter)'!$A:$L,MATCH([1]TBMapping!$C400,'[1]TrialBalance (Quarter)'!A:A,0),MATCH([1]TBMapping!O$3,'[1]TrialBalance (Quarter)'!$7:$7,0)),0)</f>
        <v>0</v>
      </c>
    </row>
    <row r="399" spans="1:14">
      <c r="A399" s="2">
        <v>107</v>
      </c>
      <c r="B399" s="3">
        <v>139155</v>
      </c>
      <c r="C399" s="10" t="s">
        <v>364</v>
      </c>
      <c r="D399" s="10" t="s">
        <v>11</v>
      </c>
      <c r="E399" s="10"/>
      <c r="F399" s="5" t="e">
        <f>IF(DataExtraction="Manual",SUMIF('[1]TrialBalance (YTD)'!$C:$C,B399,'[1]TrialBalance (YTD)'!$E:$E),SUMIF('[1]TrialBalance (YTD)'!$G:$G,B399,'[1]TrialBalance (YTD)'!$I:$I))</f>
        <v>#VALUE!</v>
      </c>
      <c r="G399" s="5">
        <f>IFERROR(INDEX('[1]TrialBalance (YTD)'!$G:$S,MATCH([1]TBMapping!$C401,'[1]TrialBalance (YTD)'!G:G,0),MATCH([1]TBMapping!H$3,'[1]TrialBalance (YTD)'!$G$7:$Z$7,0)),0)</f>
        <v>0</v>
      </c>
      <c r="H399" s="5" t="e">
        <f>SUMIF('[1]TrialBalance (YTD)'!G:G,B399,'[1]TrialBalance (YTD)'!H:H)</f>
        <v>#VALUE!</v>
      </c>
      <c r="I399" s="5">
        <f>IFERROR(INDEX('[1]TrialBalance (YTD)'!$G:$S,MATCH([1]TBMapping!$C401,'[1]TrialBalance (YTD)'!G:G,0),MATCH([1]TBMapping!J$3,'[1]TrialBalance (YTD)'!$G$7:$Z$7,0)),0)</f>
        <v>0</v>
      </c>
      <c r="K399" s="5" t="e">
        <f>SUMIF('[1]TrialBalance (Quarter)'!$A:$A,B399,'[1]TrialBalance (Quarter)'!$B:$B)</f>
        <v>#VALUE!</v>
      </c>
      <c r="L399" s="5">
        <f>IFERROR(INDEX('[1]TrialBalance (Quarter)'!$A:$L,MATCH([1]TBMapping!$C401,'[1]TrialBalance (Quarter)'!A:A,0),MATCH([1]TBMapping!M$3,'[1]TrialBalance (Quarter)'!$7:$7,0)),0)</f>
        <v>0</v>
      </c>
      <c r="M399" s="5">
        <f>IFERROR(INDEX('[1]TrialBalance (Quarter)'!$A:$L,MATCH([1]TBMapping!$C401,'[1]TrialBalance (Quarter)'!A:A,0),MATCH([1]TBMapping!N$3,'[1]TrialBalance (Quarter)'!$7:$7,0)),0)</f>
        <v>0</v>
      </c>
      <c r="N399" s="5">
        <f>IFERROR(INDEX('[1]TrialBalance (Quarter)'!$A:$L,MATCH([1]TBMapping!$C401,'[1]TrialBalance (Quarter)'!A:A,0),MATCH([1]TBMapping!O$3,'[1]TrialBalance (Quarter)'!$7:$7,0)),0)</f>
        <v>0</v>
      </c>
    </row>
    <row r="400" spans="1:14">
      <c r="A400" s="2">
        <v>107</v>
      </c>
      <c r="B400" s="3">
        <v>139160</v>
      </c>
      <c r="C400" s="11" t="s">
        <v>365</v>
      </c>
      <c r="D400" s="11" t="s">
        <v>11</v>
      </c>
      <c r="E400" s="11"/>
      <c r="F400" s="5" t="e">
        <f>IF(DataExtraction="Manual",SUMIF('[1]TrialBalance (YTD)'!$C:$C,B400,'[1]TrialBalance (YTD)'!$E:$E),SUMIF('[1]TrialBalance (YTD)'!$G:$G,B400,'[1]TrialBalance (YTD)'!$I:$I))</f>
        <v>#VALUE!</v>
      </c>
      <c r="G400" s="5">
        <f>IFERROR(INDEX('[1]TrialBalance (YTD)'!$G:$S,MATCH([1]TBMapping!$C402,'[1]TrialBalance (YTD)'!G:G,0),MATCH([1]TBMapping!H$3,'[1]TrialBalance (YTD)'!$G$7:$Z$7,0)),0)</f>
        <v>0</v>
      </c>
      <c r="H400" s="5" t="e">
        <f>SUMIF('[1]TrialBalance (YTD)'!G:G,B400,'[1]TrialBalance (YTD)'!H:H)</f>
        <v>#VALUE!</v>
      </c>
      <c r="I400" s="5">
        <f>IFERROR(INDEX('[1]TrialBalance (YTD)'!$G:$S,MATCH([1]TBMapping!$C402,'[1]TrialBalance (YTD)'!G:G,0),MATCH([1]TBMapping!J$3,'[1]TrialBalance (YTD)'!$G$7:$Z$7,0)),0)</f>
        <v>0</v>
      </c>
      <c r="K400" s="5" t="e">
        <f>SUMIF('[1]TrialBalance (Quarter)'!$A:$A,B400,'[1]TrialBalance (Quarter)'!$B:$B)</f>
        <v>#VALUE!</v>
      </c>
      <c r="L400" s="5">
        <f>IFERROR(INDEX('[1]TrialBalance (Quarter)'!$A:$L,MATCH([1]TBMapping!$C402,'[1]TrialBalance (Quarter)'!A:A,0),MATCH([1]TBMapping!M$3,'[1]TrialBalance (Quarter)'!$7:$7,0)),0)</f>
        <v>0</v>
      </c>
      <c r="M400" s="5">
        <f>IFERROR(INDEX('[1]TrialBalance (Quarter)'!$A:$L,MATCH([1]TBMapping!$C402,'[1]TrialBalance (Quarter)'!A:A,0),MATCH([1]TBMapping!N$3,'[1]TrialBalance (Quarter)'!$7:$7,0)),0)</f>
        <v>0</v>
      </c>
      <c r="N400" s="5">
        <f>IFERROR(INDEX('[1]TrialBalance (Quarter)'!$A:$L,MATCH([1]TBMapping!$C402,'[1]TrialBalance (Quarter)'!A:A,0),MATCH([1]TBMapping!O$3,'[1]TrialBalance (Quarter)'!$7:$7,0)),0)</f>
        <v>0</v>
      </c>
    </row>
    <row r="401" spans="1:14">
      <c r="A401" s="2">
        <v>107</v>
      </c>
      <c r="B401" s="3">
        <v>139170</v>
      </c>
      <c r="C401" s="10" t="s">
        <v>366</v>
      </c>
      <c r="D401" s="10" t="s">
        <v>11</v>
      </c>
      <c r="E401" s="10"/>
      <c r="F401" s="5" t="e">
        <f>IF(DataExtraction="Manual",SUMIF('[1]TrialBalance (YTD)'!$C:$C,B401,'[1]TrialBalance (YTD)'!$E:$E),SUMIF('[1]TrialBalance (YTD)'!$G:$G,B401,'[1]TrialBalance (YTD)'!$I:$I))</f>
        <v>#VALUE!</v>
      </c>
      <c r="G401" s="5">
        <f>IFERROR(INDEX('[1]TrialBalance (YTD)'!$G:$S,MATCH([1]TBMapping!$C403,'[1]TrialBalance (YTD)'!G:G,0),MATCH([1]TBMapping!H$3,'[1]TrialBalance (YTD)'!$G$7:$Z$7,0)),0)</f>
        <v>0</v>
      </c>
      <c r="H401" s="5" t="e">
        <f>SUMIF('[1]TrialBalance (YTD)'!G:G,B401,'[1]TrialBalance (YTD)'!H:H)</f>
        <v>#VALUE!</v>
      </c>
      <c r="I401" s="5">
        <f>IFERROR(INDEX('[1]TrialBalance (YTD)'!$G:$S,MATCH([1]TBMapping!$C403,'[1]TrialBalance (YTD)'!G:G,0),MATCH([1]TBMapping!J$3,'[1]TrialBalance (YTD)'!$G$7:$Z$7,0)),0)</f>
        <v>0</v>
      </c>
      <c r="K401" s="5" t="e">
        <f>SUMIF('[1]TrialBalance (Quarter)'!$A:$A,B401,'[1]TrialBalance (Quarter)'!$B:$B)</f>
        <v>#VALUE!</v>
      </c>
      <c r="L401" s="5">
        <f>IFERROR(INDEX('[1]TrialBalance (Quarter)'!$A:$L,MATCH([1]TBMapping!$C403,'[1]TrialBalance (Quarter)'!A:A,0),MATCH([1]TBMapping!M$3,'[1]TrialBalance (Quarter)'!$7:$7,0)),0)</f>
        <v>0</v>
      </c>
      <c r="M401" s="5">
        <f>IFERROR(INDEX('[1]TrialBalance (Quarter)'!$A:$L,MATCH([1]TBMapping!$C403,'[1]TrialBalance (Quarter)'!A:A,0),MATCH([1]TBMapping!N$3,'[1]TrialBalance (Quarter)'!$7:$7,0)),0)</f>
        <v>0</v>
      </c>
      <c r="N401" s="5">
        <f>IFERROR(INDEX('[1]TrialBalance (Quarter)'!$A:$L,MATCH([1]TBMapping!$C403,'[1]TrialBalance (Quarter)'!A:A,0),MATCH([1]TBMapping!O$3,'[1]TrialBalance (Quarter)'!$7:$7,0)),0)</f>
        <v>0</v>
      </c>
    </row>
    <row r="402" spans="1:14">
      <c r="A402" s="2">
        <v>107</v>
      </c>
      <c r="B402" s="3">
        <v>139180</v>
      </c>
      <c r="C402" s="11" t="s">
        <v>367</v>
      </c>
      <c r="D402" s="11" t="s">
        <v>11</v>
      </c>
      <c r="E402" s="11"/>
      <c r="F402" s="5" t="e">
        <f>IF(DataExtraction="Manual",SUMIF('[1]TrialBalance (YTD)'!$C:$C,B402,'[1]TrialBalance (YTD)'!$E:$E),SUMIF('[1]TrialBalance (YTD)'!$G:$G,B402,'[1]TrialBalance (YTD)'!$I:$I))</f>
        <v>#VALUE!</v>
      </c>
      <c r="G402" s="5">
        <f>IFERROR(INDEX('[1]TrialBalance (YTD)'!$G:$S,MATCH([1]TBMapping!$C404,'[1]TrialBalance (YTD)'!G:G,0),MATCH([1]TBMapping!H$3,'[1]TrialBalance (YTD)'!$G$7:$Z$7,0)),0)</f>
        <v>0</v>
      </c>
      <c r="H402" s="5" t="e">
        <f>SUMIF('[1]TrialBalance (YTD)'!G:G,B402,'[1]TrialBalance (YTD)'!H:H)</f>
        <v>#VALUE!</v>
      </c>
      <c r="I402" s="5">
        <f>IFERROR(INDEX('[1]TrialBalance (YTD)'!$G:$S,MATCH([1]TBMapping!$C404,'[1]TrialBalance (YTD)'!G:G,0),MATCH([1]TBMapping!J$3,'[1]TrialBalance (YTD)'!$G$7:$Z$7,0)),0)</f>
        <v>0</v>
      </c>
      <c r="K402" s="5" t="e">
        <f>SUMIF('[1]TrialBalance (Quarter)'!$A:$A,B402,'[1]TrialBalance (Quarter)'!$B:$B)</f>
        <v>#VALUE!</v>
      </c>
      <c r="L402" s="5">
        <f>IFERROR(INDEX('[1]TrialBalance (Quarter)'!$A:$L,MATCH([1]TBMapping!$C404,'[1]TrialBalance (Quarter)'!A:A,0),MATCH([1]TBMapping!M$3,'[1]TrialBalance (Quarter)'!$7:$7,0)),0)</f>
        <v>0</v>
      </c>
      <c r="M402" s="5">
        <f>IFERROR(INDEX('[1]TrialBalance (Quarter)'!$A:$L,MATCH([1]TBMapping!$C404,'[1]TrialBalance (Quarter)'!A:A,0),MATCH([1]TBMapping!N$3,'[1]TrialBalance (Quarter)'!$7:$7,0)),0)</f>
        <v>0</v>
      </c>
      <c r="N402" s="5">
        <f>IFERROR(INDEX('[1]TrialBalance (Quarter)'!$A:$L,MATCH([1]TBMapping!$C404,'[1]TrialBalance (Quarter)'!A:A,0),MATCH([1]TBMapping!O$3,'[1]TrialBalance (Quarter)'!$7:$7,0)),0)</f>
        <v>0</v>
      </c>
    </row>
    <row r="403" spans="1:14">
      <c r="A403" s="2">
        <v>107</v>
      </c>
      <c r="B403" s="3">
        <v>139190</v>
      </c>
      <c r="C403" s="10" t="s">
        <v>368</v>
      </c>
      <c r="D403" s="10" t="s">
        <v>11</v>
      </c>
      <c r="E403" s="10"/>
      <c r="F403" s="5" t="e">
        <f>IF(DataExtraction="Manual",SUMIF('[1]TrialBalance (YTD)'!$C:$C,B403,'[1]TrialBalance (YTD)'!$E:$E),SUMIF('[1]TrialBalance (YTD)'!$G:$G,B403,'[1]TrialBalance (YTD)'!$I:$I))</f>
        <v>#VALUE!</v>
      </c>
      <c r="G403" s="5">
        <f>IFERROR(INDEX('[1]TrialBalance (YTD)'!$G:$S,MATCH([1]TBMapping!$C405,'[1]TrialBalance (YTD)'!G:G,0),MATCH([1]TBMapping!H$3,'[1]TrialBalance (YTD)'!$G$7:$Z$7,0)),0)</f>
        <v>0</v>
      </c>
      <c r="H403" s="5" t="e">
        <f>SUMIF('[1]TrialBalance (YTD)'!G:G,B403,'[1]TrialBalance (YTD)'!H:H)</f>
        <v>#VALUE!</v>
      </c>
      <c r="I403" s="5">
        <f>IFERROR(INDEX('[1]TrialBalance (YTD)'!$G:$S,MATCH([1]TBMapping!$C405,'[1]TrialBalance (YTD)'!G:G,0),MATCH([1]TBMapping!J$3,'[1]TrialBalance (YTD)'!$G$7:$Z$7,0)),0)</f>
        <v>0</v>
      </c>
      <c r="K403" s="5" t="e">
        <f>SUMIF('[1]TrialBalance (Quarter)'!$A:$A,B403,'[1]TrialBalance (Quarter)'!$B:$B)</f>
        <v>#VALUE!</v>
      </c>
      <c r="L403" s="5">
        <f>IFERROR(INDEX('[1]TrialBalance (Quarter)'!$A:$L,MATCH([1]TBMapping!$C405,'[1]TrialBalance (Quarter)'!A:A,0),MATCH([1]TBMapping!M$3,'[1]TrialBalance (Quarter)'!$7:$7,0)),0)</f>
        <v>0</v>
      </c>
      <c r="M403" s="5">
        <f>IFERROR(INDEX('[1]TrialBalance (Quarter)'!$A:$L,MATCH([1]TBMapping!$C405,'[1]TrialBalance (Quarter)'!A:A,0),MATCH([1]TBMapping!N$3,'[1]TrialBalance (Quarter)'!$7:$7,0)),0)</f>
        <v>0</v>
      </c>
      <c r="N403" s="5">
        <f>IFERROR(INDEX('[1]TrialBalance (Quarter)'!$A:$L,MATCH([1]TBMapping!$C405,'[1]TrialBalance (Quarter)'!A:A,0),MATCH([1]TBMapping!O$3,'[1]TrialBalance (Quarter)'!$7:$7,0)),0)</f>
        <v>0</v>
      </c>
    </row>
    <row r="404" spans="1:14">
      <c r="A404" s="2">
        <v>107</v>
      </c>
      <c r="B404" s="3">
        <v>139210</v>
      </c>
      <c r="C404" s="11" t="s">
        <v>369</v>
      </c>
      <c r="D404" s="11" t="s">
        <v>11</v>
      </c>
      <c r="E404" s="11"/>
      <c r="F404" s="5" t="e">
        <f>IF(DataExtraction="Manual",SUMIF('[1]TrialBalance (YTD)'!$C:$C,B404,'[1]TrialBalance (YTD)'!$E:$E),SUMIF('[1]TrialBalance (YTD)'!$G:$G,B404,'[1]TrialBalance (YTD)'!$I:$I))</f>
        <v>#VALUE!</v>
      </c>
      <c r="G404" s="5">
        <f>IFERROR(INDEX('[1]TrialBalance (YTD)'!$G:$S,MATCH([1]TBMapping!$C406,'[1]TrialBalance (YTD)'!G:G,0),MATCH([1]TBMapping!H$3,'[1]TrialBalance (YTD)'!$G$7:$Z$7,0)),0)</f>
        <v>0</v>
      </c>
      <c r="H404" s="5" t="e">
        <f>SUMIF('[1]TrialBalance (YTD)'!G:G,B404,'[1]TrialBalance (YTD)'!H:H)</f>
        <v>#VALUE!</v>
      </c>
      <c r="I404" s="5">
        <f>IFERROR(INDEX('[1]TrialBalance (YTD)'!$G:$S,MATCH([1]TBMapping!$C406,'[1]TrialBalance (YTD)'!G:G,0),MATCH([1]TBMapping!J$3,'[1]TrialBalance (YTD)'!$G$7:$Z$7,0)),0)</f>
        <v>0</v>
      </c>
      <c r="K404" s="5" t="e">
        <f>SUMIF('[1]TrialBalance (Quarter)'!$A:$A,B404,'[1]TrialBalance (Quarter)'!$B:$B)</f>
        <v>#VALUE!</v>
      </c>
      <c r="L404" s="5">
        <f>IFERROR(INDEX('[1]TrialBalance (Quarter)'!$A:$L,MATCH([1]TBMapping!$C406,'[1]TrialBalance (Quarter)'!A:A,0),MATCH([1]TBMapping!M$3,'[1]TrialBalance (Quarter)'!$7:$7,0)),0)</f>
        <v>0</v>
      </c>
      <c r="M404" s="5">
        <f>IFERROR(INDEX('[1]TrialBalance (Quarter)'!$A:$L,MATCH([1]TBMapping!$C406,'[1]TrialBalance (Quarter)'!A:A,0),MATCH([1]TBMapping!N$3,'[1]TrialBalance (Quarter)'!$7:$7,0)),0)</f>
        <v>0</v>
      </c>
      <c r="N404" s="5">
        <f>IFERROR(INDEX('[1]TrialBalance (Quarter)'!$A:$L,MATCH([1]TBMapping!$C406,'[1]TrialBalance (Quarter)'!A:A,0),MATCH([1]TBMapping!O$3,'[1]TrialBalance (Quarter)'!$7:$7,0)),0)</f>
        <v>0</v>
      </c>
    </row>
    <row r="405" spans="1:14">
      <c r="B405" s="3">
        <v>139998</v>
      </c>
      <c r="C405" s="10" t="s">
        <v>370</v>
      </c>
      <c r="D405" s="10" t="s">
        <v>16</v>
      </c>
      <c r="E405" s="10"/>
      <c r="F405" s="5" t="e">
        <f>IF(DataExtraction="Manual",SUMIF('[1]TrialBalance (YTD)'!$C:$C,B405,'[1]TrialBalance (YTD)'!$E:$E),SUMIF('[1]TrialBalance (YTD)'!$G:$G,B405,'[1]TrialBalance (YTD)'!$I:$I))</f>
        <v>#VALUE!</v>
      </c>
      <c r="G405" s="5">
        <f>IFERROR(INDEX('[1]TrialBalance (YTD)'!$G:$S,MATCH([1]TBMapping!$C407,'[1]TrialBalance (YTD)'!G:G,0),MATCH([1]TBMapping!H$3,'[1]TrialBalance (YTD)'!$G$7:$Z$7,0)),0)</f>
        <v>0</v>
      </c>
      <c r="H405" s="5" t="e">
        <f>SUMIF('[1]TrialBalance (YTD)'!G:G,B405,'[1]TrialBalance (YTD)'!H:H)</f>
        <v>#VALUE!</v>
      </c>
      <c r="I405" s="5">
        <f>IFERROR(INDEX('[1]TrialBalance (YTD)'!$G:$S,MATCH([1]TBMapping!$C407,'[1]TrialBalance (YTD)'!G:G,0),MATCH([1]TBMapping!J$3,'[1]TrialBalance (YTD)'!$G$7:$Z$7,0)),0)</f>
        <v>0</v>
      </c>
      <c r="K405" s="5" t="e">
        <f>SUMIF('[1]TrialBalance (Quarter)'!$A:$A,B405,'[1]TrialBalance (Quarter)'!$B:$B)</f>
        <v>#VALUE!</v>
      </c>
      <c r="L405" s="5">
        <f>IFERROR(INDEX('[1]TrialBalance (Quarter)'!$A:$L,MATCH([1]TBMapping!$C407,'[1]TrialBalance (Quarter)'!A:A,0),MATCH([1]TBMapping!M$3,'[1]TrialBalance (Quarter)'!$7:$7,0)),0)</f>
        <v>0</v>
      </c>
      <c r="M405" s="5">
        <f>IFERROR(INDEX('[1]TrialBalance (Quarter)'!$A:$L,MATCH([1]TBMapping!$C407,'[1]TrialBalance (Quarter)'!A:A,0),MATCH([1]TBMapping!N$3,'[1]TrialBalance (Quarter)'!$7:$7,0)),0)</f>
        <v>0</v>
      </c>
      <c r="N405" s="5">
        <f>IFERROR(INDEX('[1]TrialBalance (Quarter)'!$A:$L,MATCH([1]TBMapping!$C407,'[1]TrialBalance (Quarter)'!A:A,0),MATCH([1]TBMapping!O$3,'[1]TrialBalance (Quarter)'!$7:$7,0)),0)</f>
        <v>0</v>
      </c>
    </row>
    <row r="406" spans="1:14">
      <c r="B406" s="3">
        <v>139999</v>
      </c>
      <c r="C406" s="11" t="s">
        <v>371</v>
      </c>
      <c r="D406" s="11" t="s">
        <v>16</v>
      </c>
      <c r="E406" s="11"/>
      <c r="F406" s="5" t="e">
        <f>IF(DataExtraction="Manual",SUMIF('[1]TrialBalance (YTD)'!$C:$C,B406,'[1]TrialBalance (YTD)'!$E:$E),SUMIF('[1]TrialBalance (YTD)'!$G:$G,B406,'[1]TrialBalance (YTD)'!$I:$I))</f>
        <v>#VALUE!</v>
      </c>
      <c r="G406" s="5">
        <f>IFERROR(INDEX('[1]TrialBalance (YTD)'!$G:$S,MATCH([1]TBMapping!$C408,'[1]TrialBalance (YTD)'!G:G,0),MATCH([1]TBMapping!H$3,'[1]TrialBalance (YTD)'!$G$7:$Z$7,0)),0)</f>
        <v>0</v>
      </c>
      <c r="H406" s="5" t="e">
        <f>SUMIF('[1]TrialBalance (YTD)'!G:G,B406,'[1]TrialBalance (YTD)'!H:H)</f>
        <v>#VALUE!</v>
      </c>
      <c r="I406" s="5">
        <f>IFERROR(INDEX('[1]TrialBalance (YTD)'!$G:$S,MATCH([1]TBMapping!$C408,'[1]TrialBalance (YTD)'!G:G,0),MATCH([1]TBMapping!J$3,'[1]TrialBalance (YTD)'!$G$7:$Z$7,0)),0)</f>
        <v>0</v>
      </c>
      <c r="K406" s="5" t="e">
        <f>SUMIF('[1]TrialBalance (Quarter)'!$A:$A,B406,'[1]TrialBalance (Quarter)'!$B:$B)</f>
        <v>#VALUE!</v>
      </c>
      <c r="L406" s="5">
        <f>IFERROR(INDEX('[1]TrialBalance (Quarter)'!$A:$L,MATCH([1]TBMapping!$C408,'[1]TrialBalance (Quarter)'!A:A,0),MATCH([1]TBMapping!M$3,'[1]TrialBalance (Quarter)'!$7:$7,0)),0)</f>
        <v>0</v>
      </c>
      <c r="M406" s="5">
        <f>IFERROR(INDEX('[1]TrialBalance (Quarter)'!$A:$L,MATCH([1]TBMapping!$C408,'[1]TrialBalance (Quarter)'!A:A,0),MATCH([1]TBMapping!N$3,'[1]TrialBalance (Quarter)'!$7:$7,0)),0)</f>
        <v>0</v>
      </c>
      <c r="N406" s="5">
        <f>IFERROR(INDEX('[1]TrialBalance (Quarter)'!$A:$L,MATCH([1]TBMapping!$C408,'[1]TrialBalance (Quarter)'!A:A,0),MATCH([1]TBMapping!O$3,'[1]TrialBalance (Quarter)'!$7:$7,0)),0)</f>
        <v>0</v>
      </c>
    </row>
    <row r="407" spans="1:14">
      <c r="B407" s="3">
        <v>140000</v>
      </c>
      <c r="C407" s="10" t="s">
        <v>372</v>
      </c>
      <c r="D407" s="10" t="s">
        <v>5</v>
      </c>
      <c r="E407" s="10"/>
      <c r="F407" s="5" t="e">
        <f>IF(DataExtraction="Manual",SUMIF('[1]TrialBalance (YTD)'!$C:$C,B407,'[1]TrialBalance (YTD)'!$E:$E),SUMIF('[1]TrialBalance (YTD)'!$G:$G,B407,'[1]TrialBalance (YTD)'!$I:$I))</f>
        <v>#VALUE!</v>
      </c>
      <c r="G407" s="5">
        <f>IFERROR(INDEX('[1]TrialBalance (YTD)'!$G:$S,MATCH([1]TBMapping!$C409,'[1]TrialBalance (YTD)'!G:G,0),MATCH([1]TBMapping!H$3,'[1]TrialBalance (YTD)'!$G$7:$Z$7,0)),0)</f>
        <v>0</v>
      </c>
      <c r="H407" s="5" t="e">
        <f>SUMIF('[1]TrialBalance (YTD)'!G:G,B407,'[1]TrialBalance (YTD)'!H:H)</f>
        <v>#VALUE!</v>
      </c>
      <c r="I407" s="5">
        <f>IFERROR(INDEX('[1]TrialBalance (YTD)'!$G:$S,MATCH([1]TBMapping!$C409,'[1]TrialBalance (YTD)'!G:G,0),MATCH([1]TBMapping!J$3,'[1]TrialBalance (YTD)'!$G$7:$Z$7,0)),0)</f>
        <v>0</v>
      </c>
      <c r="K407" s="5" t="e">
        <f>SUMIF('[1]TrialBalance (Quarter)'!$A:$A,B407,'[1]TrialBalance (Quarter)'!$B:$B)</f>
        <v>#VALUE!</v>
      </c>
      <c r="L407" s="5">
        <f>IFERROR(INDEX('[1]TrialBalance (Quarter)'!$A:$L,MATCH([1]TBMapping!$C409,'[1]TrialBalance (Quarter)'!A:A,0),MATCH([1]TBMapping!M$3,'[1]TrialBalance (Quarter)'!$7:$7,0)),0)</f>
        <v>0</v>
      </c>
      <c r="M407" s="5">
        <f>IFERROR(INDEX('[1]TrialBalance (Quarter)'!$A:$L,MATCH([1]TBMapping!$C409,'[1]TrialBalance (Quarter)'!A:A,0),MATCH([1]TBMapping!N$3,'[1]TrialBalance (Quarter)'!$7:$7,0)),0)</f>
        <v>0</v>
      </c>
      <c r="N407" s="5">
        <f>IFERROR(INDEX('[1]TrialBalance (Quarter)'!$A:$L,MATCH([1]TBMapping!$C409,'[1]TrialBalance (Quarter)'!A:A,0),MATCH([1]TBMapping!O$3,'[1]TrialBalance (Quarter)'!$7:$7,0)),0)</f>
        <v>0</v>
      </c>
    </row>
    <row r="408" spans="1:14">
      <c r="B408" s="3">
        <v>141050</v>
      </c>
      <c r="C408" s="11" t="s">
        <v>373</v>
      </c>
      <c r="D408" s="11" t="s">
        <v>5</v>
      </c>
      <c r="E408" s="11"/>
      <c r="F408" s="5" t="e">
        <f>IF(DataExtraction="Manual",SUMIF('[1]TrialBalance (YTD)'!$C:$C,B408,'[1]TrialBalance (YTD)'!$E:$E),SUMIF('[1]TrialBalance (YTD)'!$G:$G,B408,'[1]TrialBalance (YTD)'!$I:$I))</f>
        <v>#VALUE!</v>
      </c>
      <c r="G408" s="5">
        <f>IFERROR(INDEX('[1]TrialBalance (YTD)'!$G:$S,MATCH([1]TBMapping!$C410,'[1]TrialBalance (YTD)'!G:G,0),MATCH([1]TBMapping!H$3,'[1]TrialBalance (YTD)'!$G$7:$Z$7,0)),0)</f>
        <v>0</v>
      </c>
      <c r="H408" s="5" t="e">
        <f>SUMIF('[1]TrialBalance (YTD)'!G:G,B408,'[1]TrialBalance (YTD)'!H:H)</f>
        <v>#VALUE!</v>
      </c>
      <c r="I408" s="5">
        <f>IFERROR(INDEX('[1]TrialBalance (YTD)'!$G:$S,MATCH([1]TBMapping!$C410,'[1]TrialBalance (YTD)'!G:G,0),MATCH([1]TBMapping!J$3,'[1]TrialBalance (YTD)'!$G$7:$Z$7,0)),0)</f>
        <v>0</v>
      </c>
      <c r="K408" s="5" t="e">
        <f>SUMIF('[1]TrialBalance (Quarter)'!$A:$A,B408,'[1]TrialBalance (Quarter)'!$B:$B)</f>
        <v>#VALUE!</v>
      </c>
      <c r="L408" s="5">
        <f>IFERROR(INDEX('[1]TrialBalance (Quarter)'!$A:$L,MATCH([1]TBMapping!$C410,'[1]TrialBalance (Quarter)'!A:A,0),MATCH([1]TBMapping!M$3,'[1]TrialBalance (Quarter)'!$7:$7,0)),0)</f>
        <v>0</v>
      </c>
      <c r="M408" s="5">
        <f>IFERROR(INDEX('[1]TrialBalance (Quarter)'!$A:$L,MATCH([1]TBMapping!$C410,'[1]TrialBalance (Quarter)'!A:A,0),MATCH([1]TBMapping!N$3,'[1]TrialBalance (Quarter)'!$7:$7,0)),0)</f>
        <v>0</v>
      </c>
      <c r="N408" s="5">
        <f>IFERROR(INDEX('[1]TrialBalance (Quarter)'!$A:$L,MATCH([1]TBMapping!$C410,'[1]TrialBalance (Quarter)'!A:A,0),MATCH([1]TBMapping!O$3,'[1]TrialBalance (Quarter)'!$7:$7,0)),0)</f>
        <v>0</v>
      </c>
    </row>
    <row r="409" spans="1:14">
      <c r="B409" s="3">
        <v>141100</v>
      </c>
      <c r="C409" s="10" t="s">
        <v>374</v>
      </c>
      <c r="D409" s="10" t="s">
        <v>5</v>
      </c>
      <c r="E409" s="10"/>
      <c r="F409" s="5" t="e">
        <f>IF(DataExtraction="Manual",SUMIF('[1]TrialBalance (YTD)'!$C:$C,B409,'[1]TrialBalance (YTD)'!$E:$E),SUMIF('[1]TrialBalance (YTD)'!$G:$G,B409,'[1]TrialBalance (YTD)'!$I:$I))</f>
        <v>#VALUE!</v>
      </c>
      <c r="G409" s="5">
        <f>IFERROR(INDEX('[1]TrialBalance (YTD)'!$G:$S,MATCH([1]TBMapping!$C411,'[1]TrialBalance (YTD)'!G:G,0),MATCH([1]TBMapping!H$3,'[1]TrialBalance (YTD)'!$G$7:$Z$7,0)),0)</f>
        <v>0</v>
      </c>
      <c r="H409" s="5" t="e">
        <f>SUMIF('[1]TrialBalance (YTD)'!G:G,B409,'[1]TrialBalance (YTD)'!H:H)</f>
        <v>#VALUE!</v>
      </c>
      <c r="I409" s="5">
        <f>IFERROR(INDEX('[1]TrialBalance (YTD)'!$G:$S,MATCH([1]TBMapping!$C411,'[1]TrialBalance (YTD)'!G:G,0),MATCH([1]TBMapping!J$3,'[1]TrialBalance (YTD)'!$G$7:$Z$7,0)),0)</f>
        <v>0</v>
      </c>
      <c r="K409" s="5" t="e">
        <f>SUMIF('[1]TrialBalance (Quarter)'!$A:$A,B409,'[1]TrialBalance (Quarter)'!$B:$B)</f>
        <v>#VALUE!</v>
      </c>
      <c r="L409" s="5">
        <f>IFERROR(INDEX('[1]TrialBalance (Quarter)'!$A:$L,MATCH([1]TBMapping!$C411,'[1]TrialBalance (Quarter)'!A:A,0),MATCH([1]TBMapping!M$3,'[1]TrialBalance (Quarter)'!$7:$7,0)),0)</f>
        <v>0</v>
      </c>
      <c r="M409" s="5">
        <f>IFERROR(INDEX('[1]TrialBalance (Quarter)'!$A:$L,MATCH([1]TBMapping!$C411,'[1]TrialBalance (Quarter)'!A:A,0),MATCH([1]TBMapping!N$3,'[1]TrialBalance (Quarter)'!$7:$7,0)),0)</f>
        <v>0</v>
      </c>
      <c r="N409" s="5">
        <f>IFERROR(INDEX('[1]TrialBalance (Quarter)'!$A:$L,MATCH([1]TBMapping!$C411,'[1]TrialBalance (Quarter)'!A:A,0),MATCH([1]TBMapping!O$3,'[1]TrialBalance (Quarter)'!$7:$7,0)),0)</f>
        <v>0</v>
      </c>
    </row>
    <row r="410" spans="1:14">
      <c r="A410" s="2">
        <v>108</v>
      </c>
      <c r="B410" s="3">
        <v>141110</v>
      </c>
      <c r="C410" s="11" t="s">
        <v>375</v>
      </c>
      <c r="D410" s="11" t="s">
        <v>11</v>
      </c>
      <c r="E410" s="11"/>
      <c r="F410" s="5" t="e">
        <f>IF(DataExtraction="Manual",SUMIF('[1]TrialBalance (YTD)'!$C:$C,B410,'[1]TrialBalance (YTD)'!$E:$E),SUMIF('[1]TrialBalance (YTD)'!$G:$G,B410,'[1]TrialBalance (YTD)'!$I:$I))</f>
        <v>#VALUE!</v>
      </c>
      <c r="G410" s="5">
        <f>IFERROR(INDEX('[1]TrialBalance (YTD)'!$G:$S,MATCH([1]TBMapping!$C412,'[1]TrialBalance (YTD)'!G:G,0),MATCH([1]TBMapping!H$3,'[1]TrialBalance (YTD)'!$G$7:$Z$7,0)),0)</f>
        <v>0</v>
      </c>
      <c r="H410" s="5" t="e">
        <f>SUMIF('[1]TrialBalance (YTD)'!G:G,B410,'[1]TrialBalance (YTD)'!H:H)</f>
        <v>#VALUE!</v>
      </c>
      <c r="I410" s="5">
        <f>IFERROR(INDEX('[1]TrialBalance (YTD)'!$G:$S,MATCH([1]TBMapping!$C412,'[1]TrialBalance (YTD)'!G:G,0),MATCH([1]TBMapping!J$3,'[1]TrialBalance (YTD)'!$G$7:$Z$7,0)),0)</f>
        <v>0</v>
      </c>
      <c r="K410" s="5" t="e">
        <f>SUMIF('[1]TrialBalance (Quarter)'!$A:$A,B410,'[1]TrialBalance (Quarter)'!$B:$B)</f>
        <v>#VALUE!</v>
      </c>
      <c r="L410" s="5">
        <f>IFERROR(INDEX('[1]TrialBalance (Quarter)'!$A:$L,MATCH([1]TBMapping!$C412,'[1]TrialBalance (Quarter)'!A:A,0),MATCH([1]TBMapping!M$3,'[1]TrialBalance (Quarter)'!$7:$7,0)),0)</f>
        <v>0</v>
      </c>
      <c r="M410" s="5">
        <f>IFERROR(INDEX('[1]TrialBalance (Quarter)'!$A:$L,MATCH([1]TBMapping!$C412,'[1]TrialBalance (Quarter)'!A:A,0),MATCH([1]TBMapping!N$3,'[1]TrialBalance (Quarter)'!$7:$7,0)),0)</f>
        <v>0</v>
      </c>
      <c r="N410" s="5">
        <f>IFERROR(INDEX('[1]TrialBalance (Quarter)'!$A:$L,MATCH([1]TBMapping!$C412,'[1]TrialBalance (Quarter)'!A:A,0),MATCH([1]TBMapping!O$3,'[1]TrialBalance (Quarter)'!$7:$7,0)),0)</f>
        <v>0</v>
      </c>
    </row>
    <row r="411" spans="1:14">
      <c r="A411" s="2">
        <v>108</v>
      </c>
      <c r="B411" s="3">
        <v>141120</v>
      </c>
      <c r="C411" s="10" t="s">
        <v>376</v>
      </c>
      <c r="D411" s="10" t="s">
        <v>11</v>
      </c>
      <c r="E411" s="10"/>
      <c r="F411" s="5" t="e">
        <f>IF(DataExtraction="Manual",SUMIF('[1]TrialBalance (YTD)'!$C:$C,B411,'[1]TrialBalance (YTD)'!$E:$E),SUMIF('[1]TrialBalance (YTD)'!$G:$G,B411,'[1]TrialBalance (YTD)'!$I:$I))</f>
        <v>#VALUE!</v>
      </c>
      <c r="G411" s="5">
        <f>IFERROR(INDEX('[1]TrialBalance (YTD)'!$G:$S,MATCH([1]TBMapping!$C413,'[1]TrialBalance (YTD)'!G:G,0),MATCH([1]TBMapping!H$3,'[1]TrialBalance (YTD)'!$G$7:$Z$7,0)),0)</f>
        <v>0</v>
      </c>
      <c r="H411" s="5" t="e">
        <f>SUMIF('[1]TrialBalance (YTD)'!G:G,B411,'[1]TrialBalance (YTD)'!H:H)</f>
        <v>#VALUE!</v>
      </c>
      <c r="I411" s="5">
        <f>IFERROR(INDEX('[1]TrialBalance (YTD)'!$G:$S,MATCH([1]TBMapping!$C413,'[1]TrialBalance (YTD)'!G:G,0),MATCH([1]TBMapping!J$3,'[1]TrialBalance (YTD)'!$G$7:$Z$7,0)),0)</f>
        <v>0</v>
      </c>
      <c r="K411" s="5" t="e">
        <f>SUMIF('[1]TrialBalance (Quarter)'!$A:$A,B411,'[1]TrialBalance (Quarter)'!$B:$B)</f>
        <v>#VALUE!</v>
      </c>
      <c r="L411" s="5">
        <f>IFERROR(INDEX('[1]TrialBalance (Quarter)'!$A:$L,MATCH([1]TBMapping!$C413,'[1]TrialBalance (Quarter)'!A:A,0),MATCH([1]TBMapping!M$3,'[1]TrialBalance (Quarter)'!$7:$7,0)),0)</f>
        <v>0</v>
      </c>
      <c r="M411" s="5">
        <f>IFERROR(INDEX('[1]TrialBalance (Quarter)'!$A:$L,MATCH([1]TBMapping!$C413,'[1]TrialBalance (Quarter)'!A:A,0),MATCH([1]TBMapping!N$3,'[1]TrialBalance (Quarter)'!$7:$7,0)),0)</f>
        <v>0</v>
      </c>
      <c r="N411" s="5">
        <f>IFERROR(INDEX('[1]TrialBalance (Quarter)'!$A:$L,MATCH([1]TBMapping!$C413,'[1]TrialBalance (Quarter)'!A:A,0),MATCH([1]TBMapping!O$3,'[1]TrialBalance (Quarter)'!$7:$7,0)),0)</f>
        <v>0</v>
      </c>
    </row>
    <row r="412" spans="1:14">
      <c r="B412" s="3">
        <v>141129</v>
      </c>
      <c r="C412" s="11" t="s">
        <v>377</v>
      </c>
      <c r="D412" s="11" t="s">
        <v>16</v>
      </c>
      <c r="E412" s="11"/>
      <c r="F412" s="5" t="e">
        <f>IF(DataExtraction="Manual",SUMIF('[1]TrialBalance (YTD)'!$C:$C,B412,'[1]TrialBalance (YTD)'!$E:$E),SUMIF('[1]TrialBalance (YTD)'!$G:$G,B412,'[1]TrialBalance (YTD)'!$I:$I))</f>
        <v>#VALUE!</v>
      </c>
      <c r="G412" s="5">
        <f>IFERROR(INDEX('[1]TrialBalance (YTD)'!$G:$S,MATCH([1]TBMapping!$C414,'[1]TrialBalance (YTD)'!G:G,0),MATCH([1]TBMapping!H$3,'[1]TrialBalance (YTD)'!$G$7:$Z$7,0)),0)</f>
        <v>0</v>
      </c>
      <c r="H412" s="5" t="e">
        <f>SUMIF('[1]TrialBalance (YTD)'!G:G,B412,'[1]TrialBalance (YTD)'!H:H)</f>
        <v>#VALUE!</v>
      </c>
      <c r="I412" s="5">
        <f>IFERROR(INDEX('[1]TrialBalance (YTD)'!$G:$S,MATCH([1]TBMapping!$C414,'[1]TrialBalance (YTD)'!G:G,0),MATCH([1]TBMapping!J$3,'[1]TrialBalance (YTD)'!$G$7:$Z$7,0)),0)</f>
        <v>0</v>
      </c>
      <c r="K412" s="5" t="e">
        <f>SUMIF('[1]TrialBalance (Quarter)'!$A:$A,B412,'[1]TrialBalance (Quarter)'!$B:$B)</f>
        <v>#VALUE!</v>
      </c>
      <c r="L412" s="5">
        <f>IFERROR(INDEX('[1]TrialBalance (Quarter)'!$A:$L,MATCH([1]TBMapping!$C414,'[1]TrialBalance (Quarter)'!A:A,0),MATCH([1]TBMapping!M$3,'[1]TrialBalance (Quarter)'!$7:$7,0)),0)</f>
        <v>0</v>
      </c>
      <c r="M412" s="5">
        <f>IFERROR(INDEX('[1]TrialBalance (Quarter)'!$A:$L,MATCH([1]TBMapping!$C414,'[1]TrialBalance (Quarter)'!A:A,0),MATCH([1]TBMapping!N$3,'[1]TrialBalance (Quarter)'!$7:$7,0)),0)</f>
        <v>0</v>
      </c>
      <c r="N412" s="5">
        <f>IFERROR(INDEX('[1]TrialBalance (Quarter)'!$A:$L,MATCH([1]TBMapping!$C414,'[1]TrialBalance (Quarter)'!A:A,0),MATCH([1]TBMapping!O$3,'[1]TrialBalance (Quarter)'!$7:$7,0)),0)</f>
        <v>0</v>
      </c>
    </row>
    <row r="413" spans="1:14">
      <c r="B413" s="3">
        <v>141130</v>
      </c>
      <c r="C413" s="10" t="s">
        <v>378</v>
      </c>
      <c r="D413" s="10" t="s">
        <v>5</v>
      </c>
      <c r="E413" s="10"/>
      <c r="F413" s="5" t="e">
        <f>IF(DataExtraction="Manual",SUMIF('[1]TrialBalance (YTD)'!$C:$C,B413,'[1]TrialBalance (YTD)'!$E:$E),SUMIF('[1]TrialBalance (YTD)'!$G:$G,B413,'[1]TrialBalance (YTD)'!$I:$I))</f>
        <v>#VALUE!</v>
      </c>
      <c r="G413" s="5">
        <f>IFERROR(INDEX('[1]TrialBalance (YTD)'!$G:$S,MATCH([1]TBMapping!$C415,'[1]TrialBalance (YTD)'!G:G,0),MATCH([1]TBMapping!H$3,'[1]TrialBalance (YTD)'!$G$7:$Z$7,0)),0)</f>
        <v>0</v>
      </c>
      <c r="H413" s="5" t="e">
        <f>SUMIF('[1]TrialBalance (YTD)'!G:G,B413,'[1]TrialBalance (YTD)'!H:H)</f>
        <v>#VALUE!</v>
      </c>
      <c r="I413" s="5">
        <f>IFERROR(INDEX('[1]TrialBalance (YTD)'!$G:$S,MATCH([1]TBMapping!$C415,'[1]TrialBalance (YTD)'!G:G,0),MATCH([1]TBMapping!J$3,'[1]TrialBalance (YTD)'!$G$7:$Z$7,0)),0)</f>
        <v>0</v>
      </c>
      <c r="K413" s="5" t="e">
        <f>SUMIF('[1]TrialBalance (Quarter)'!$A:$A,B413,'[1]TrialBalance (Quarter)'!$B:$B)</f>
        <v>#VALUE!</v>
      </c>
      <c r="L413" s="5">
        <f>IFERROR(INDEX('[1]TrialBalance (Quarter)'!$A:$L,MATCH([1]TBMapping!$C415,'[1]TrialBalance (Quarter)'!A:A,0),MATCH([1]TBMapping!M$3,'[1]TrialBalance (Quarter)'!$7:$7,0)),0)</f>
        <v>0</v>
      </c>
      <c r="M413" s="5">
        <f>IFERROR(INDEX('[1]TrialBalance (Quarter)'!$A:$L,MATCH([1]TBMapping!$C415,'[1]TrialBalance (Quarter)'!A:A,0),MATCH([1]TBMapping!N$3,'[1]TrialBalance (Quarter)'!$7:$7,0)),0)</f>
        <v>0</v>
      </c>
      <c r="N413" s="5">
        <f>IFERROR(INDEX('[1]TrialBalance (Quarter)'!$A:$L,MATCH([1]TBMapping!$C415,'[1]TrialBalance (Quarter)'!A:A,0),MATCH([1]TBMapping!O$3,'[1]TrialBalance (Quarter)'!$7:$7,0)),0)</f>
        <v>0</v>
      </c>
    </row>
    <row r="414" spans="1:14">
      <c r="A414" s="2">
        <v>108</v>
      </c>
      <c r="B414" s="3">
        <v>141135</v>
      </c>
      <c r="C414" s="11" t="s">
        <v>379</v>
      </c>
      <c r="D414" s="11" t="s">
        <v>11</v>
      </c>
      <c r="E414" s="11"/>
      <c r="F414" s="5" t="e">
        <f>IF(DataExtraction="Manual",SUMIF('[1]TrialBalance (YTD)'!$C:$C,B414,'[1]TrialBalance (YTD)'!$E:$E),SUMIF('[1]TrialBalance (YTD)'!$G:$G,B414,'[1]TrialBalance (YTD)'!$I:$I))</f>
        <v>#VALUE!</v>
      </c>
      <c r="G414" s="5">
        <f>IFERROR(INDEX('[1]TrialBalance (YTD)'!$G:$S,MATCH([1]TBMapping!$C416,'[1]TrialBalance (YTD)'!G:G,0),MATCH([1]TBMapping!H$3,'[1]TrialBalance (YTD)'!$G$7:$Z$7,0)),0)</f>
        <v>0</v>
      </c>
      <c r="H414" s="5" t="e">
        <f>SUMIF('[1]TrialBalance (YTD)'!G:G,B414,'[1]TrialBalance (YTD)'!H:H)</f>
        <v>#VALUE!</v>
      </c>
      <c r="I414" s="5">
        <f>IFERROR(INDEX('[1]TrialBalance (YTD)'!$G:$S,MATCH([1]TBMapping!$C416,'[1]TrialBalance (YTD)'!G:G,0),MATCH([1]TBMapping!J$3,'[1]TrialBalance (YTD)'!$G$7:$Z$7,0)),0)</f>
        <v>0</v>
      </c>
      <c r="K414" s="5" t="e">
        <f>SUMIF('[1]TrialBalance (Quarter)'!$A:$A,B414,'[1]TrialBalance (Quarter)'!$B:$B)</f>
        <v>#VALUE!</v>
      </c>
      <c r="L414" s="5">
        <f>IFERROR(INDEX('[1]TrialBalance (Quarter)'!$A:$L,MATCH([1]TBMapping!$C416,'[1]TrialBalance (Quarter)'!A:A,0),MATCH([1]TBMapping!M$3,'[1]TrialBalance (Quarter)'!$7:$7,0)),0)</f>
        <v>0</v>
      </c>
      <c r="M414" s="5">
        <f>IFERROR(INDEX('[1]TrialBalance (Quarter)'!$A:$L,MATCH([1]TBMapping!$C416,'[1]TrialBalance (Quarter)'!A:A,0),MATCH([1]TBMapping!N$3,'[1]TrialBalance (Quarter)'!$7:$7,0)),0)</f>
        <v>0</v>
      </c>
      <c r="N414" s="5">
        <f>IFERROR(INDEX('[1]TrialBalance (Quarter)'!$A:$L,MATCH([1]TBMapping!$C416,'[1]TrialBalance (Quarter)'!A:A,0),MATCH([1]TBMapping!O$3,'[1]TrialBalance (Quarter)'!$7:$7,0)),0)</f>
        <v>0</v>
      </c>
    </row>
    <row r="415" spans="1:14">
      <c r="A415" s="2">
        <v>108</v>
      </c>
      <c r="B415" s="3">
        <v>141140</v>
      </c>
      <c r="C415" s="10" t="s">
        <v>380</v>
      </c>
      <c r="D415" s="10" t="s">
        <v>11</v>
      </c>
      <c r="E415" s="10"/>
      <c r="F415" s="5" t="e">
        <f>IF(DataExtraction="Manual",SUMIF('[1]TrialBalance (YTD)'!$C:$C,B415,'[1]TrialBalance (YTD)'!$E:$E),SUMIF('[1]TrialBalance (YTD)'!$G:$G,B415,'[1]TrialBalance (YTD)'!$I:$I))</f>
        <v>#VALUE!</v>
      </c>
      <c r="G415" s="5">
        <f>IFERROR(INDEX('[1]TrialBalance (YTD)'!$G:$S,MATCH([1]TBMapping!$C417,'[1]TrialBalance (YTD)'!G:G,0),MATCH([1]TBMapping!H$3,'[1]TrialBalance (YTD)'!$G$7:$Z$7,0)),0)</f>
        <v>0</v>
      </c>
      <c r="H415" s="5" t="e">
        <f>SUMIF('[1]TrialBalance (YTD)'!G:G,B415,'[1]TrialBalance (YTD)'!H:H)</f>
        <v>#VALUE!</v>
      </c>
      <c r="I415" s="5">
        <f>IFERROR(INDEX('[1]TrialBalance (YTD)'!$G:$S,MATCH([1]TBMapping!$C417,'[1]TrialBalance (YTD)'!G:G,0),MATCH([1]TBMapping!J$3,'[1]TrialBalance (YTD)'!$G$7:$Z$7,0)),0)</f>
        <v>0</v>
      </c>
      <c r="K415" s="5" t="e">
        <f>SUMIF('[1]TrialBalance (Quarter)'!$A:$A,B415,'[1]TrialBalance (Quarter)'!$B:$B)</f>
        <v>#VALUE!</v>
      </c>
      <c r="L415" s="5">
        <f>IFERROR(INDEX('[1]TrialBalance (Quarter)'!$A:$L,MATCH([1]TBMapping!$C417,'[1]TrialBalance (Quarter)'!A:A,0),MATCH([1]TBMapping!M$3,'[1]TrialBalance (Quarter)'!$7:$7,0)),0)</f>
        <v>0</v>
      </c>
      <c r="M415" s="5">
        <f>IFERROR(INDEX('[1]TrialBalance (Quarter)'!$A:$L,MATCH([1]TBMapping!$C417,'[1]TrialBalance (Quarter)'!A:A,0),MATCH([1]TBMapping!N$3,'[1]TrialBalance (Quarter)'!$7:$7,0)),0)</f>
        <v>0</v>
      </c>
      <c r="N415" s="5">
        <f>IFERROR(INDEX('[1]TrialBalance (Quarter)'!$A:$L,MATCH([1]TBMapping!$C417,'[1]TrialBalance (Quarter)'!A:A,0),MATCH([1]TBMapping!O$3,'[1]TrialBalance (Quarter)'!$7:$7,0)),0)</f>
        <v>0</v>
      </c>
    </row>
    <row r="416" spans="1:14">
      <c r="B416" s="3">
        <v>141149</v>
      </c>
      <c r="C416" s="11" t="s">
        <v>381</v>
      </c>
      <c r="D416" s="11" t="s">
        <v>16</v>
      </c>
      <c r="E416" s="11"/>
      <c r="F416" s="5" t="e">
        <f>IF(DataExtraction="Manual",SUMIF('[1]TrialBalance (YTD)'!$C:$C,B416,'[1]TrialBalance (YTD)'!$E:$E),SUMIF('[1]TrialBalance (YTD)'!$G:$G,B416,'[1]TrialBalance (YTD)'!$I:$I))</f>
        <v>#VALUE!</v>
      </c>
      <c r="G416" s="5">
        <f>IFERROR(INDEX('[1]TrialBalance (YTD)'!$G:$S,MATCH([1]TBMapping!$C418,'[1]TrialBalance (YTD)'!G:G,0),MATCH([1]TBMapping!H$3,'[1]TrialBalance (YTD)'!$G$7:$Z$7,0)),0)</f>
        <v>0</v>
      </c>
      <c r="H416" s="5" t="e">
        <f>SUMIF('[1]TrialBalance (YTD)'!G:G,B416,'[1]TrialBalance (YTD)'!H:H)</f>
        <v>#VALUE!</v>
      </c>
      <c r="I416" s="5">
        <f>IFERROR(INDEX('[1]TrialBalance (YTD)'!$G:$S,MATCH([1]TBMapping!$C418,'[1]TrialBalance (YTD)'!G:G,0),MATCH([1]TBMapping!J$3,'[1]TrialBalance (YTD)'!$G$7:$Z$7,0)),0)</f>
        <v>0</v>
      </c>
      <c r="K416" s="5" t="e">
        <f>SUMIF('[1]TrialBalance (Quarter)'!$A:$A,B416,'[1]TrialBalance (Quarter)'!$B:$B)</f>
        <v>#VALUE!</v>
      </c>
      <c r="L416" s="5">
        <f>IFERROR(INDEX('[1]TrialBalance (Quarter)'!$A:$L,MATCH([1]TBMapping!$C418,'[1]TrialBalance (Quarter)'!A:A,0),MATCH([1]TBMapping!M$3,'[1]TrialBalance (Quarter)'!$7:$7,0)),0)</f>
        <v>0</v>
      </c>
      <c r="M416" s="5">
        <f>IFERROR(INDEX('[1]TrialBalance (Quarter)'!$A:$L,MATCH([1]TBMapping!$C418,'[1]TrialBalance (Quarter)'!A:A,0),MATCH([1]TBMapping!N$3,'[1]TrialBalance (Quarter)'!$7:$7,0)),0)</f>
        <v>0</v>
      </c>
      <c r="N416" s="5">
        <f>IFERROR(INDEX('[1]TrialBalance (Quarter)'!$A:$L,MATCH([1]TBMapping!$C418,'[1]TrialBalance (Quarter)'!A:A,0),MATCH([1]TBMapping!O$3,'[1]TrialBalance (Quarter)'!$7:$7,0)),0)</f>
        <v>0</v>
      </c>
    </row>
    <row r="417" spans="1:14">
      <c r="B417" s="3">
        <v>141199</v>
      </c>
      <c r="C417" s="10" t="s">
        <v>382</v>
      </c>
      <c r="D417" s="10" t="s">
        <v>16</v>
      </c>
      <c r="E417" s="10"/>
      <c r="F417" s="5" t="e">
        <f>IF(DataExtraction="Manual",SUMIF('[1]TrialBalance (YTD)'!$C:$C,B417,'[1]TrialBalance (YTD)'!$E:$E),SUMIF('[1]TrialBalance (YTD)'!$G:$G,B417,'[1]TrialBalance (YTD)'!$I:$I))</f>
        <v>#VALUE!</v>
      </c>
      <c r="G417" s="5">
        <f>IFERROR(INDEX('[1]TrialBalance (YTD)'!$G:$S,MATCH([1]TBMapping!$C419,'[1]TrialBalance (YTD)'!G:G,0),MATCH([1]TBMapping!H$3,'[1]TrialBalance (YTD)'!$G$7:$Z$7,0)),0)</f>
        <v>0</v>
      </c>
      <c r="H417" s="5" t="e">
        <f>SUMIF('[1]TrialBalance (YTD)'!G:G,B417,'[1]TrialBalance (YTD)'!H:H)</f>
        <v>#VALUE!</v>
      </c>
      <c r="I417" s="5">
        <f>IFERROR(INDEX('[1]TrialBalance (YTD)'!$G:$S,MATCH([1]TBMapping!$C419,'[1]TrialBalance (YTD)'!G:G,0),MATCH([1]TBMapping!J$3,'[1]TrialBalance (YTD)'!$G$7:$Z$7,0)),0)</f>
        <v>0</v>
      </c>
      <c r="K417" s="5" t="e">
        <f>SUMIF('[1]TrialBalance (Quarter)'!$A:$A,B417,'[1]TrialBalance (Quarter)'!$B:$B)</f>
        <v>#VALUE!</v>
      </c>
      <c r="L417" s="5">
        <f>IFERROR(INDEX('[1]TrialBalance (Quarter)'!$A:$L,MATCH([1]TBMapping!$C419,'[1]TrialBalance (Quarter)'!A:A,0),MATCH([1]TBMapping!M$3,'[1]TrialBalance (Quarter)'!$7:$7,0)),0)</f>
        <v>0</v>
      </c>
      <c r="M417" s="5">
        <f>IFERROR(INDEX('[1]TrialBalance (Quarter)'!$A:$L,MATCH([1]TBMapping!$C419,'[1]TrialBalance (Quarter)'!A:A,0),MATCH([1]TBMapping!N$3,'[1]TrialBalance (Quarter)'!$7:$7,0)),0)</f>
        <v>0</v>
      </c>
      <c r="N417" s="5">
        <f>IFERROR(INDEX('[1]TrialBalance (Quarter)'!$A:$L,MATCH([1]TBMapping!$C419,'[1]TrialBalance (Quarter)'!A:A,0),MATCH([1]TBMapping!O$3,'[1]TrialBalance (Quarter)'!$7:$7,0)),0)</f>
        <v>0</v>
      </c>
    </row>
    <row r="418" spans="1:14">
      <c r="B418" s="3">
        <v>141200</v>
      </c>
      <c r="C418" s="11" t="s">
        <v>383</v>
      </c>
      <c r="D418" s="11" t="s">
        <v>5</v>
      </c>
      <c r="E418" s="11"/>
      <c r="F418" s="5" t="e">
        <f>IF(DataExtraction="Manual",SUMIF('[1]TrialBalance (YTD)'!$C:$C,B418,'[1]TrialBalance (YTD)'!$E:$E),SUMIF('[1]TrialBalance (YTD)'!$G:$G,B418,'[1]TrialBalance (YTD)'!$I:$I))</f>
        <v>#VALUE!</v>
      </c>
      <c r="G418" s="5">
        <f>IFERROR(INDEX('[1]TrialBalance (YTD)'!$G:$S,MATCH([1]TBMapping!$C420,'[1]TrialBalance (YTD)'!G:G,0),MATCH([1]TBMapping!H$3,'[1]TrialBalance (YTD)'!$G$7:$Z$7,0)),0)</f>
        <v>0</v>
      </c>
      <c r="H418" s="5" t="e">
        <f>SUMIF('[1]TrialBalance (YTD)'!G:G,B418,'[1]TrialBalance (YTD)'!H:H)</f>
        <v>#VALUE!</v>
      </c>
      <c r="I418" s="5">
        <f>IFERROR(INDEX('[1]TrialBalance (YTD)'!$G:$S,MATCH([1]TBMapping!$C420,'[1]TrialBalance (YTD)'!G:G,0),MATCH([1]TBMapping!J$3,'[1]TrialBalance (YTD)'!$G$7:$Z$7,0)),0)</f>
        <v>0</v>
      </c>
      <c r="K418" s="5" t="e">
        <f>SUMIF('[1]TrialBalance (Quarter)'!$A:$A,B418,'[1]TrialBalance (Quarter)'!$B:$B)</f>
        <v>#VALUE!</v>
      </c>
      <c r="L418" s="5">
        <f>IFERROR(INDEX('[1]TrialBalance (Quarter)'!$A:$L,MATCH([1]TBMapping!$C420,'[1]TrialBalance (Quarter)'!A:A,0),MATCH([1]TBMapping!M$3,'[1]TrialBalance (Quarter)'!$7:$7,0)),0)</f>
        <v>0</v>
      </c>
      <c r="M418" s="5">
        <f>IFERROR(INDEX('[1]TrialBalance (Quarter)'!$A:$L,MATCH([1]TBMapping!$C420,'[1]TrialBalance (Quarter)'!A:A,0),MATCH([1]TBMapping!N$3,'[1]TrialBalance (Quarter)'!$7:$7,0)),0)</f>
        <v>0</v>
      </c>
      <c r="N418" s="5">
        <f>IFERROR(INDEX('[1]TrialBalance (Quarter)'!$A:$L,MATCH([1]TBMapping!$C420,'[1]TrialBalance (Quarter)'!A:A,0),MATCH([1]TBMapping!O$3,'[1]TrialBalance (Quarter)'!$7:$7,0)),0)</f>
        <v>0</v>
      </c>
    </row>
    <row r="419" spans="1:14">
      <c r="A419" s="2">
        <v>108</v>
      </c>
      <c r="B419" s="3">
        <v>141210</v>
      </c>
      <c r="C419" s="10" t="s">
        <v>384</v>
      </c>
      <c r="D419" s="10" t="s">
        <v>11</v>
      </c>
      <c r="E419" s="10"/>
      <c r="F419" s="5" t="e">
        <f>IF(DataExtraction="Manual",SUMIF('[1]TrialBalance (YTD)'!$C:$C,B419,'[1]TrialBalance (YTD)'!$E:$E),SUMIF('[1]TrialBalance (YTD)'!$G:$G,B419,'[1]TrialBalance (YTD)'!$I:$I))</f>
        <v>#VALUE!</v>
      </c>
      <c r="G419" s="5">
        <f>IFERROR(INDEX('[1]TrialBalance (YTD)'!$G:$S,MATCH([1]TBMapping!$C421,'[1]TrialBalance (YTD)'!G:G,0),MATCH([1]TBMapping!H$3,'[1]TrialBalance (YTD)'!$G$7:$Z$7,0)),0)</f>
        <v>0</v>
      </c>
      <c r="H419" s="5" t="e">
        <f>SUMIF('[1]TrialBalance (YTD)'!G:G,B419,'[1]TrialBalance (YTD)'!H:H)</f>
        <v>#VALUE!</v>
      </c>
      <c r="I419" s="5">
        <f>IFERROR(INDEX('[1]TrialBalance (YTD)'!$G:$S,MATCH([1]TBMapping!$C421,'[1]TrialBalance (YTD)'!G:G,0),MATCH([1]TBMapping!J$3,'[1]TrialBalance (YTD)'!$G$7:$Z$7,0)),0)</f>
        <v>0</v>
      </c>
      <c r="K419" s="5" t="e">
        <f>SUMIF('[1]TrialBalance (Quarter)'!$A:$A,B419,'[1]TrialBalance (Quarter)'!$B:$B)</f>
        <v>#VALUE!</v>
      </c>
      <c r="L419" s="5">
        <f>IFERROR(INDEX('[1]TrialBalance (Quarter)'!$A:$L,MATCH([1]TBMapping!$C421,'[1]TrialBalance (Quarter)'!A:A,0),MATCH([1]TBMapping!M$3,'[1]TrialBalance (Quarter)'!$7:$7,0)),0)</f>
        <v>0</v>
      </c>
      <c r="M419" s="5">
        <f>IFERROR(INDEX('[1]TrialBalance (Quarter)'!$A:$L,MATCH([1]TBMapping!$C421,'[1]TrialBalance (Quarter)'!A:A,0),MATCH([1]TBMapping!N$3,'[1]TrialBalance (Quarter)'!$7:$7,0)),0)</f>
        <v>0</v>
      </c>
      <c r="N419" s="5">
        <f>IFERROR(INDEX('[1]TrialBalance (Quarter)'!$A:$L,MATCH([1]TBMapping!$C421,'[1]TrialBalance (Quarter)'!A:A,0),MATCH([1]TBMapping!O$3,'[1]TrialBalance (Quarter)'!$7:$7,0)),0)</f>
        <v>0</v>
      </c>
    </row>
    <row r="420" spans="1:14">
      <c r="A420" s="2">
        <v>108</v>
      </c>
      <c r="B420" s="3">
        <v>141220</v>
      </c>
      <c r="C420" s="11" t="s">
        <v>385</v>
      </c>
      <c r="D420" s="11" t="s">
        <v>11</v>
      </c>
      <c r="E420" s="11"/>
      <c r="F420" s="5" t="e">
        <f>IF(DataExtraction="Manual",SUMIF('[1]TrialBalance (YTD)'!$C:$C,B420,'[1]TrialBalance (YTD)'!$E:$E),SUMIF('[1]TrialBalance (YTD)'!$G:$G,B420,'[1]TrialBalance (YTD)'!$I:$I))</f>
        <v>#VALUE!</v>
      </c>
      <c r="G420" s="5">
        <f>IFERROR(INDEX('[1]TrialBalance (YTD)'!$G:$S,MATCH([1]TBMapping!$C422,'[1]TrialBalance (YTD)'!G:G,0),MATCH([1]TBMapping!H$3,'[1]TrialBalance (YTD)'!$G$7:$Z$7,0)),0)</f>
        <v>0</v>
      </c>
      <c r="H420" s="5" t="e">
        <f>SUMIF('[1]TrialBalance (YTD)'!G:G,B420,'[1]TrialBalance (YTD)'!H:H)</f>
        <v>#VALUE!</v>
      </c>
      <c r="I420" s="5">
        <f>IFERROR(INDEX('[1]TrialBalance (YTD)'!$G:$S,MATCH([1]TBMapping!$C422,'[1]TrialBalance (YTD)'!G:G,0),MATCH([1]TBMapping!J$3,'[1]TrialBalance (YTD)'!$G$7:$Z$7,0)),0)</f>
        <v>0</v>
      </c>
      <c r="K420" s="5" t="e">
        <f>SUMIF('[1]TrialBalance (Quarter)'!$A:$A,B420,'[1]TrialBalance (Quarter)'!$B:$B)</f>
        <v>#VALUE!</v>
      </c>
      <c r="L420" s="5">
        <f>IFERROR(INDEX('[1]TrialBalance (Quarter)'!$A:$L,MATCH([1]TBMapping!$C422,'[1]TrialBalance (Quarter)'!A:A,0),MATCH([1]TBMapping!M$3,'[1]TrialBalance (Quarter)'!$7:$7,0)),0)</f>
        <v>0</v>
      </c>
      <c r="M420" s="5">
        <f>IFERROR(INDEX('[1]TrialBalance (Quarter)'!$A:$L,MATCH([1]TBMapping!$C422,'[1]TrialBalance (Quarter)'!A:A,0),MATCH([1]TBMapping!N$3,'[1]TrialBalance (Quarter)'!$7:$7,0)),0)</f>
        <v>0</v>
      </c>
      <c r="N420" s="5">
        <f>IFERROR(INDEX('[1]TrialBalance (Quarter)'!$A:$L,MATCH([1]TBMapping!$C422,'[1]TrialBalance (Quarter)'!A:A,0),MATCH([1]TBMapping!O$3,'[1]TrialBalance (Quarter)'!$7:$7,0)),0)</f>
        <v>0</v>
      </c>
    </row>
    <row r="421" spans="1:14">
      <c r="B421" s="3">
        <v>141299</v>
      </c>
      <c r="C421" s="10" t="s">
        <v>386</v>
      </c>
      <c r="D421" s="10" t="s">
        <v>16</v>
      </c>
      <c r="E421" s="10"/>
      <c r="F421" s="5" t="e">
        <f>IF(DataExtraction="Manual",SUMIF('[1]TrialBalance (YTD)'!$C:$C,B421,'[1]TrialBalance (YTD)'!$E:$E),SUMIF('[1]TrialBalance (YTD)'!$G:$G,B421,'[1]TrialBalance (YTD)'!$I:$I))</f>
        <v>#VALUE!</v>
      </c>
      <c r="G421" s="5">
        <f>IFERROR(INDEX('[1]TrialBalance (YTD)'!$G:$S,MATCH([1]TBMapping!$C423,'[1]TrialBalance (YTD)'!G:G,0),MATCH([1]TBMapping!H$3,'[1]TrialBalance (YTD)'!$G$7:$Z$7,0)),0)</f>
        <v>0</v>
      </c>
      <c r="H421" s="5" t="e">
        <f>SUMIF('[1]TrialBalance (YTD)'!G:G,B421,'[1]TrialBalance (YTD)'!H:H)</f>
        <v>#VALUE!</v>
      </c>
      <c r="I421" s="5">
        <f>IFERROR(INDEX('[1]TrialBalance (YTD)'!$G:$S,MATCH([1]TBMapping!$C423,'[1]TrialBalance (YTD)'!G:G,0),MATCH([1]TBMapping!J$3,'[1]TrialBalance (YTD)'!$G$7:$Z$7,0)),0)</f>
        <v>0</v>
      </c>
      <c r="K421" s="5" t="e">
        <f>SUMIF('[1]TrialBalance (Quarter)'!$A:$A,B421,'[1]TrialBalance (Quarter)'!$B:$B)</f>
        <v>#VALUE!</v>
      </c>
      <c r="L421" s="5">
        <f>IFERROR(INDEX('[1]TrialBalance (Quarter)'!$A:$L,MATCH([1]TBMapping!$C423,'[1]TrialBalance (Quarter)'!A:A,0),MATCH([1]TBMapping!M$3,'[1]TrialBalance (Quarter)'!$7:$7,0)),0)</f>
        <v>0</v>
      </c>
      <c r="M421" s="5">
        <f>IFERROR(INDEX('[1]TrialBalance (Quarter)'!$A:$L,MATCH([1]TBMapping!$C423,'[1]TrialBalance (Quarter)'!A:A,0),MATCH([1]TBMapping!N$3,'[1]TrialBalance (Quarter)'!$7:$7,0)),0)</f>
        <v>0</v>
      </c>
      <c r="N421" s="5">
        <f>IFERROR(INDEX('[1]TrialBalance (Quarter)'!$A:$L,MATCH([1]TBMapping!$C423,'[1]TrialBalance (Quarter)'!A:A,0),MATCH([1]TBMapping!O$3,'[1]TrialBalance (Quarter)'!$7:$7,0)),0)</f>
        <v>0</v>
      </c>
    </row>
    <row r="422" spans="1:14">
      <c r="B422" s="3">
        <v>141300</v>
      </c>
      <c r="C422" s="11" t="s">
        <v>387</v>
      </c>
      <c r="D422" s="11" t="s">
        <v>5</v>
      </c>
      <c r="E422" s="11"/>
      <c r="F422" s="5" t="e">
        <f>IF(DataExtraction="Manual",SUMIF('[1]TrialBalance (YTD)'!$C:$C,B422,'[1]TrialBalance (YTD)'!$E:$E),SUMIF('[1]TrialBalance (YTD)'!$G:$G,B422,'[1]TrialBalance (YTD)'!$I:$I))</f>
        <v>#VALUE!</v>
      </c>
      <c r="G422" s="5">
        <f>IFERROR(INDEX('[1]TrialBalance (YTD)'!$G:$S,MATCH([1]TBMapping!$C424,'[1]TrialBalance (YTD)'!G:G,0),MATCH([1]TBMapping!H$3,'[1]TrialBalance (YTD)'!$G$7:$Z$7,0)),0)</f>
        <v>0</v>
      </c>
      <c r="H422" s="5" t="e">
        <f>SUMIF('[1]TrialBalance (YTD)'!G:G,B422,'[1]TrialBalance (YTD)'!H:H)</f>
        <v>#VALUE!</v>
      </c>
      <c r="I422" s="5">
        <f>IFERROR(INDEX('[1]TrialBalance (YTD)'!$G:$S,MATCH([1]TBMapping!$C424,'[1]TrialBalance (YTD)'!G:G,0),MATCH([1]TBMapping!J$3,'[1]TrialBalance (YTD)'!$G$7:$Z$7,0)),0)</f>
        <v>0</v>
      </c>
      <c r="K422" s="5" t="e">
        <f>SUMIF('[1]TrialBalance (Quarter)'!$A:$A,B422,'[1]TrialBalance (Quarter)'!$B:$B)</f>
        <v>#VALUE!</v>
      </c>
      <c r="L422" s="5">
        <f>IFERROR(INDEX('[1]TrialBalance (Quarter)'!$A:$L,MATCH([1]TBMapping!$C424,'[1]TrialBalance (Quarter)'!A:A,0),MATCH([1]TBMapping!M$3,'[1]TrialBalance (Quarter)'!$7:$7,0)),0)</f>
        <v>0</v>
      </c>
      <c r="M422" s="5">
        <f>IFERROR(INDEX('[1]TrialBalance (Quarter)'!$A:$L,MATCH([1]TBMapping!$C424,'[1]TrialBalance (Quarter)'!A:A,0),MATCH([1]TBMapping!N$3,'[1]TrialBalance (Quarter)'!$7:$7,0)),0)</f>
        <v>0</v>
      </c>
      <c r="N422" s="5">
        <f>IFERROR(INDEX('[1]TrialBalance (Quarter)'!$A:$L,MATCH([1]TBMapping!$C424,'[1]TrialBalance (Quarter)'!A:A,0),MATCH([1]TBMapping!O$3,'[1]TrialBalance (Quarter)'!$7:$7,0)),0)</f>
        <v>0</v>
      </c>
    </row>
    <row r="423" spans="1:14">
      <c r="A423" s="2">
        <v>108</v>
      </c>
      <c r="B423" s="3">
        <v>141310</v>
      </c>
      <c r="C423" s="10" t="s">
        <v>388</v>
      </c>
      <c r="D423" s="10" t="s">
        <v>11</v>
      </c>
      <c r="E423" s="10"/>
      <c r="F423" s="5" t="e">
        <f>IF(DataExtraction="Manual",SUMIF('[1]TrialBalance (YTD)'!$C:$C,B423,'[1]TrialBalance (YTD)'!$E:$E),SUMIF('[1]TrialBalance (YTD)'!$G:$G,B423,'[1]TrialBalance (YTD)'!$I:$I))</f>
        <v>#VALUE!</v>
      </c>
      <c r="G423" s="5">
        <f>IFERROR(INDEX('[1]TrialBalance (YTD)'!$G:$S,MATCH([1]TBMapping!$C425,'[1]TrialBalance (YTD)'!G:G,0),MATCH([1]TBMapping!H$3,'[1]TrialBalance (YTD)'!$G$7:$Z$7,0)),0)</f>
        <v>0</v>
      </c>
      <c r="H423" s="5" t="e">
        <f>SUMIF('[1]TrialBalance (YTD)'!G:G,B423,'[1]TrialBalance (YTD)'!H:H)</f>
        <v>#VALUE!</v>
      </c>
      <c r="I423" s="5">
        <f>IFERROR(INDEX('[1]TrialBalance (YTD)'!$G:$S,MATCH([1]TBMapping!$C425,'[1]TrialBalance (YTD)'!G:G,0),MATCH([1]TBMapping!J$3,'[1]TrialBalance (YTD)'!$G$7:$Z$7,0)),0)</f>
        <v>0</v>
      </c>
      <c r="K423" s="5" t="e">
        <f>SUMIF('[1]TrialBalance (Quarter)'!$A:$A,B423,'[1]TrialBalance (Quarter)'!$B:$B)</f>
        <v>#VALUE!</v>
      </c>
      <c r="L423" s="5">
        <f>IFERROR(INDEX('[1]TrialBalance (Quarter)'!$A:$L,MATCH([1]TBMapping!$C425,'[1]TrialBalance (Quarter)'!A:A,0),MATCH([1]TBMapping!M$3,'[1]TrialBalance (Quarter)'!$7:$7,0)),0)</f>
        <v>0</v>
      </c>
      <c r="M423" s="5">
        <f>IFERROR(INDEX('[1]TrialBalance (Quarter)'!$A:$L,MATCH([1]TBMapping!$C425,'[1]TrialBalance (Quarter)'!A:A,0),MATCH([1]TBMapping!N$3,'[1]TrialBalance (Quarter)'!$7:$7,0)),0)</f>
        <v>0</v>
      </c>
      <c r="N423" s="5">
        <f>IFERROR(INDEX('[1]TrialBalance (Quarter)'!$A:$L,MATCH([1]TBMapping!$C425,'[1]TrialBalance (Quarter)'!A:A,0),MATCH([1]TBMapping!O$3,'[1]TrialBalance (Quarter)'!$7:$7,0)),0)</f>
        <v>0</v>
      </c>
    </row>
    <row r="424" spans="1:14">
      <c r="A424" s="2">
        <v>108</v>
      </c>
      <c r="B424" s="3">
        <v>141315</v>
      </c>
      <c r="C424" s="11" t="s">
        <v>389</v>
      </c>
      <c r="D424" s="11" t="s">
        <v>11</v>
      </c>
      <c r="E424" s="11"/>
      <c r="F424" s="5" t="e">
        <f>IF(DataExtraction="Manual",SUMIF('[1]TrialBalance (YTD)'!$C:$C,B424,'[1]TrialBalance (YTD)'!$E:$E),SUMIF('[1]TrialBalance (YTD)'!$G:$G,B424,'[1]TrialBalance (YTD)'!$I:$I))</f>
        <v>#VALUE!</v>
      </c>
      <c r="G424" s="5">
        <f>IFERROR(INDEX('[1]TrialBalance (YTD)'!$G:$S,MATCH([1]TBMapping!$C426,'[1]TrialBalance (YTD)'!G:G,0),MATCH([1]TBMapping!H$3,'[1]TrialBalance (YTD)'!$G$7:$Z$7,0)),0)</f>
        <v>0</v>
      </c>
      <c r="H424" s="5" t="e">
        <f>SUMIF('[1]TrialBalance (YTD)'!G:G,B424,'[1]TrialBalance (YTD)'!H:H)</f>
        <v>#VALUE!</v>
      </c>
      <c r="I424" s="5">
        <f>IFERROR(INDEX('[1]TrialBalance (YTD)'!$G:$S,MATCH([1]TBMapping!$C426,'[1]TrialBalance (YTD)'!G:G,0),MATCH([1]TBMapping!J$3,'[1]TrialBalance (YTD)'!$G$7:$Z$7,0)),0)</f>
        <v>0</v>
      </c>
      <c r="K424" s="5" t="e">
        <f>SUMIF('[1]TrialBalance (Quarter)'!$A:$A,B424,'[1]TrialBalance (Quarter)'!$B:$B)</f>
        <v>#VALUE!</v>
      </c>
      <c r="L424" s="5">
        <f>IFERROR(INDEX('[1]TrialBalance (Quarter)'!$A:$L,MATCH([1]TBMapping!$C426,'[1]TrialBalance (Quarter)'!A:A,0),MATCH([1]TBMapping!M$3,'[1]TrialBalance (Quarter)'!$7:$7,0)),0)</f>
        <v>0</v>
      </c>
      <c r="M424" s="5">
        <f>IFERROR(INDEX('[1]TrialBalance (Quarter)'!$A:$L,MATCH([1]TBMapping!$C426,'[1]TrialBalance (Quarter)'!A:A,0),MATCH([1]TBMapping!N$3,'[1]TrialBalance (Quarter)'!$7:$7,0)),0)</f>
        <v>0</v>
      </c>
      <c r="N424" s="5">
        <f>IFERROR(INDEX('[1]TrialBalance (Quarter)'!$A:$L,MATCH([1]TBMapping!$C426,'[1]TrialBalance (Quarter)'!A:A,0),MATCH([1]TBMapping!O$3,'[1]TrialBalance (Quarter)'!$7:$7,0)),0)</f>
        <v>0</v>
      </c>
    </row>
    <row r="425" spans="1:14">
      <c r="A425" s="2">
        <v>108</v>
      </c>
      <c r="B425" s="3">
        <v>141320</v>
      </c>
      <c r="C425" s="10" t="s">
        <v>390</v>
      </c>
      <c r="D425" s="10" t="s">
        <v>11</v>
      </c>
      <c r="E425" s="10"/>
      <c r="F425" s="5" t="e">
        <f>IF(DataExtraction="Manual",SUMIF('[1]TrialBalance (YTD)'!$C:$C,B425,'[1]TrialBalance (YTD)'!$E:$E),SUMIF('[1]TrialBalance (YTD)'!$G:$G,B425,'[1]TrialBalance (YTD)'!$I:$I))</f>
        <v>#VALUE!</v>
      </c>
      <c r="G425" s="5">
        <f>IFERROR(INDEX('[1]TrialBalance (YTD)'!$G:$S,MATCH([1]TBMapping!$C427,'[1]TrialBalance (YTD)'!G:G,0),MATCH([1]TBMapping!H$3,'[1]TrialBalance (YTD)'!$G$7:$Z$7,0)),0)</f>
        <v>0</v>
      </c>
      <c r="H425" s="5" t="e">
        <f>SUMIF('[1]TrialBalance (YTD)'!G:G,B425,'[1]TrialBalance (YTD)'!H:H)</f>
        <v>#VALUE!</v>
      </c>
      <c r="I425" s="5">
        <f>IFERROR(INDEX('[1]TrialBalance (YTD)'!$G:$S,MATCH([1]TBMapping!$C427,'[1]TrialBalance (YTD)'!G:G,0),MATCH([1]TBMapping!J$3,'[1]TrialBalance (YTD)'!$G$7:$Z$7,0)),0)</f>
        <v>0</v>
      </c>
      <c r="K425" s="5" t="e">
        <f>SUMIF('[1]TrialBalance (Quarter)'!$A:$A,B425,'[1]TrialBalance (Quarter)'!$B:$B)</f>
        <v>#VALUE!</v>
      </c>
      <c r="L425" s="5">
        <f>IFERROR(INDEX('[1]TrialBalance (Quarter)'!$A:$L,MATCH([1]TBMapping!$C427,'[1]TrialBalance (Quarter)'!A:A,0),MATCH([1]TBMapping!M$3,'[1]TrialBalance (Quarter)'!$7:$7,0)),0)</f>
        <v>0</v>
      </c>
      <c r="M425" s="5">
        <f>IFERROR(INDEX('[1]TrialBalance (Quarter)'!$A:$L,MATCH([1]TBMapping!$C427,'[1]TrialBalance (Quarter)'!A:A,0),MATCH([1]TBMapping!N$3,'[1]TrialBalance (Quarter)'!$7:$7,0)),0)</f>
        <v>0</v>
      </c>
      <c r="N425" s="5">
        <f>IFERROR(INDEX('[1]TrialBalance (Quarter)'!$A:$L,MATCH([1]TBMapping!$C427,'[1]TrialBalance (Quarter)'!A:A,0),MATCH([1]TBMapping!O$3,'[1]TrialBalance (Quarter)'!$7:$7,0)),0)</f>
        <v>0</v>
      </c>
    </row>
    <row r="426" spans="1:14">
      <c r="B426" s="3">
        <v>141399</v>
      </c>
      <c r="C426" s="11" t="s">
        <v>391</v>
      </c>
      <c r="D426" s="11" t="s">
        <v>16</v>
      </c>
      <c r="E426" s="11"/>
      <c r="F426" s="5" t="e">
        <f>IF(DataExtraction="Manual",SUMIF('[1]TrialBalance (YTD)'!$C:$C,B426,'[1]TrialBalance (YTD)'!$E:$E),SUMIF('[1]TrialBalance (YTD)'!$G:$G,B426,'[1]TrialBalance (YTD)'!$I:$I))</f>
        <v>#VALUE!</v>
      </c>
      <c r="G426" s="5">
        <f>IFERROR(INDEX('[1]TrialBalance (YTD)'!$G:$S,MATCH([1]TBMapping!$C428,'[1]TrialBalance (YTD)'!G:G,0),MATCH([1]TBMapping!H$3,'[1]TrialBalance (YTD)'!$G$7:$Z$7,0)),0)</f>
        <v>0</v>
      </c>
      <c r="H426" s="5" t="e">
        <f>SUMIF('[1]TrialBalance (YTD)'!G:G,B426,'[1]TrialBalance (YTD)'!H:H)</f>
        <v>#VALUE!</v>
      </c>
      <c r="I426" s="5">
        <f>IFERROR(INDEX('[1]TrialBalance (YTD)'!$G:$S,MATCH([1]TBMapping!$C428,'[1]TrialBalance (YTD)'!G:G,0),MATCH([1]TBMapping!J$3,'[1]TrialBalance (YTD)'!$G$7:$Z$7,0)),0)</f>
        <v>0</v>
      </c>
      <c r="K426" s="5" t="e">
        <f>SUMIF('[1]TrialBalance (Quarter)'!$A:$A,B426,'[1]TrialBalance (Quarter)'!$B:$B)</f>
        <v>#VALUE!</v>
      </c>
      <c r="L426" s="5">
        <f>IFERROR(INDEX('[1]TrialBalance (Quarter)'!$A:$L,MATCH([1]TBMapping!$C428,'[1]TrialBalance (Quarter)'!A:A,0),MATCH([1]TBMapping!M$3,'[1]TrialBalance (Quarter)'!$7:$7,0)),0)</f>
        <v>0</v>
      </c>
      <c r="M426" s="5">
        <f>IFERROR(INDEX('[1]TrialBalance (Quarter)'!$A:$L,MATCH([1]TBMapping!$C428,'[1]TrialBalance (Quarter)'!A:A,0),MATCH([1]TBMapping!N$3,'[1]TrialBalance (Quarter)'!$7:$7,0)),0)</f>
        <v>0</v>
      </c>
      <c r="N426" s="5">
        <f>IFERROR(INDEX('[1]TrialBalance (Quarter)'!$A:$L,MATCH([1]TBMapping!$C428,'[1]TrialBalance (Quarter)'!A:A,0),MATCH([1]TBMapping!O$3,'[1]TrialBalance (Quarter)'!$7:$7,0)),0)</f>
        <v>0</v>
      </c>
    </row>
    <row r="427" spans="1:14">
      <c r="B427" s="3">
        <v>142100</v>
      </c>
      <c r="C427" s="10" t="s">
        <v>392</v>
      </c>
      <c r="D427" s="10" t="s">
        <v>5</v>
      </c>
      <c r="E427" s="10"/>
      <c r="F427" s="5" t="e">
        <f>IF(DataExtraction="Manual",SUMIF('[1]TrialBalance (YTD)'!$C:$C,B427,'[1]TrialBalance (YTD)'!$E:$E),SUMIF('[1]TrialBalance (YTD)'!$G:$G,B427,'[1]TrialBalance (YTD)'!$I:$I))</f>
        <v>#VALUE!</v>
      </c>
      <c r="G427" s="5">
        <f>IFERROR(INDEX('[1]TrialBalance (YTD)'!$G:$S,MATCH([1]TBMapping!$C429,'[1]TrialBalance (YTD)'!G:G,0),MATCH([1]TBMapping!H$3,'[1]TrialBalance (YTD)'!$G$7:$Z$7,0)),0)</f>
        <v>0</v>
      </c>
      <c r="H427" s="5" t="e">
        <f>SUMIF('[1]TrialBalance (YTD)'!G:G,B427,'[1]TrialBalance (YTD)'!H:H)</f>
        <v>#VALUE!</v>
      </c>
      <c r="I427" s="5">
        <f>IFERROR(INDEX('[1]TrialBalance (YTD)'!$G:$S,MATCH([1]TBMapping!$C429,'[1]TrialBalance (YTD)'!G:G,0),MATCH([1]TBMapping!J$3,'[1]TrialBalance (YTD)'!$G$7:$Z$7,0)),0)</f>
        <v>0</v>
      </c>
      <c r="K427" s="5" t="e">
        <f>SUMIF('[1]TrialBalance (Quarter)'!$A:$A,B427,'[1]TrialBalance (Quarter)'!$B:$B)</f>
        <v>#VALUE!</v>
      </c>
      <c r="L427" s="5">
        <f>IFERROR(INDEX('[1]TrialBalance (Quarter)'!$A:$L,MATCH([1]TBMapping!$C429,'[1]TrialBalance (Quarter)'!A:A,0),MATCH([1]TBMapping!M$3,'[1]TrialBalance (Quarter)'!$7:$7,0)),0)</f>
        <v>0</v>
      </c>
      <c r="M427" s="5">
        <f>IFERROR(INDEX('[1]TrialBalance (Quarter)'!$A:$L,MATCH([1]TBMapping!$C429,'[1]TrialBalance (Quarter)'!A:A,0),MATCH([1]TBMapping!N$3,'[1]TrialBalance (Quarter)'!$7:$7,0)),0)</f>
        <v>0</v>
      </c>
      <c r="N427" s="5">
        <f>IFERROR(INDEX('[1]TrialBalance (Quarter)'!$A:$L,MATCH([1]TBMapping!$C429,'[1]TrialBalance (Quarter)'!A:A,0),MATCH([1]TBMapping!O$3,'[1]TrialBalance (Quarter)'!$7:$7,0)),0)</f>
        <v>0</v>
      </c>
    </row>
    <row r="428" spans="1:14">
      <c r="A428" s="2">
        <v>108</v>
      </c>
      <c r="B428" s="3">
        <v>142110</v>
      </c>
      <c r="C428" s="11" t="s">
        <v>393</v>
      </c>
      <c r="D428" s="11" t="s">
        <v>11</v>
      </c>
      <c r="E428" s="11"/>
      <c r="F428" s="5" t="e">
        <f>IF(DataExtraction="Manual",SUMIF('[1]TrialBalance (YTD)'!$C:$C,B428,'[1]TrialBalance (YTD)'!$E:$E),SUMIF('[1]TrialBalance (YTD)'!$G:$G,B428,'[1]TrialBalance (YTD)'!$I:$I))</f>
        <v>#VALUE!</v>
      </c>
      <c r="G428" s="5">
        <f>IFERROR(INDEX('[1]TrialBalance (YTD)'!$G:$S,MATCH([1]TBMapping!$C430,'[1]TrialBalance (YTD)'!G:G,0),MATCH([1]TBMapping!H$3,'[1]TrialBalance (YTD)'!$G$7:$Z$7,0)),0)</f>
        <v>0</v>
      </c>
      <c r="H428" s="5" t="e">
        <f>SUMIF('[1]TrialBalance (YTD)'!G:G,B428,'[1]TrialBalance (YTD)'!H:H)</f>
        <v>#VALUE!</v>
      </c>
      <c r="I428" s="5">
        <f>IFERROR(INDEX('[1]TrialBalance (YTD)'!$G:$S,MATCH([1]TBMapping!$C430,'[1]TrialBalance (YTD)'!G:G,0),MATCH([1]TBMapping!J$3,'[1]TrialBalance (YTD)'!$G$7:$Z$7,0)),0)</f>
        <v>0</v>
      </c>
      <c r="K428" s="5" t="e">
        <f>SUMIF('[1]TrialBalance (Quarter)'!$A:$A,B428,'[1]TrialBalance (Quarter)'!$B:$B)</f>
        <v>#VALUE!</v>
      </c>
      <c r="L428" s="5">
        <f>IFERROR(INDEX('[1]TrialBalance (Quarter)'!$A:$L,MATCH([1]TBMapping!$C430,'[1]TrialBalance (Quarter)'!A:A,0),MATCH([1]TBMapping!M$3,'[1]TrialBalance (Quarter)'!$7:$7,0)),0)</f>
        <v>0</v>
      </c>
      <c r="M428" s="5">
        <f>IFERROR(INDEX('[1]TrialBalance (Quarter)'!$A:$L,MATCH([1]TBMapping!$C430,'[1]TrialBalance (Quarter)'!A:A,0),MATCH([1]TBMapping!N$3,'[1]TrialBalance (Quarter)'!$7:$7,0)),0)</f>
        <v>0</v>
      </c>
      <c r="N428" s="5">
        <f>IFERROR(INDEX('[1]TrialBalance (Quarter)'!$A:$L,MATCH([1]TBMapping!$C430,'[1]TrialBalance (Quarter)'!A:A,0),MATCH([1]TBMapping!O$3,'[1]TrialBalance (Quarter)'!$7:$7,0)),0)</f>
        <v>0</v>
      </c>
    </row>
    <row r="429" spans="1:14">
      <c r="A429" s="2">
        <v>108</v>
      </c>
      <c r="B429" s="3">
        <v>142120</v>
      </c>
      <c r="C429" s="10" t="s">
        <v>394</v>
      </c>
      <c r="D429" s="10" t="s">
        <v>11</v>
      </c>
      <c r="E429" s="10"/>
      <c r="F429" s="5" t="e">
        <f>IF(DataExtraction="Manual",SUMIF('[1]TrialBalance (YTD)'!$C:$C,B429,'[1]TrialBalance (YTD)'!$E:$E),SUMIF('[1]TrialBalance (YTD)'!$G:$G,B429,'[1]TrialBalance (YTD)'!$I:$I))</f>
        <v>#VALUE!</v>
      </c>
      <c r="G429" s="5">
        <f>IFERROR(INDEX('[1]TrialBalance (YTD)'!$G:$S,MATCH([1]TBMapping!$C431,'[1]TrialBalance (YTD)'!G:G,0),MATCH([1]TBMapping!H$3,'[1]TrialBalance (YTD)'!$G$7:$Z$7,0)),0)</f>
        <v>0</v>
      </c>
      <c r="H429" s="5" t="e">
        <f>SUMIF('[1]TrialBalance (YTD)'!G:G,B429,'[1]TrialBalance (YTD)'!H:H)</f>
        <v>#VALUE!</v>
      </c>
      <c r="I429" s="5">
        <f>IFERROR(INDEX('[1]TrialBalance (YTD)'!$G:$S,MATCH([1]TBMapping!$C431,'[1]TrialBalance (YTD)'!G:G,0),MATCH([1]TBMapping!J$3,'[1]TrialBalance (YTD)'!$G$7:$Z$7,0)),0)</f>
        <v>0</v>
      </c>
      <c r="K429" s="5" t="e">
        <f>SUMIF('[1]TrialBalance (Quarter)'!$A:$A,B429,'[1]TrialBalance (Quarter)'!$B:$B)</f>
        <v>#VALUE!</v>
      </c>
      <c r="L429" s="5">
        <f>IFERROR(INDEX('[1]TrialBalance (Quarter)'!$A:$L,MATCH([1]TBMapping!$C431,'[1]TrialBalance (Quarter)'!A:A,0),MATCH([1]TBMapping!M$3,'[1]TrialBalance (Quarter)'!$7:$7,0)),0)</f>
        <v>0</v>
      </c>
      <c r="M429" s="5">
        <f>IFERROR(INDEX('[1]TrialBalance (Quarter)'!$A:$L,MATCH([1]TBMapping!$C431,'[1]TrialBalance (Quarter)'!A:A,0),MATCH([1]TBMapping!N$3,'[1]TrialBalance (Quarter)'!$7:$7,0)),0)</f>
        <v>0</v>
      </c>
      <c r="N429" s="5">
        <f>IFERROR(INDEX('[1]TrialBalance (Quarter)'!$A:$L,MATCH([1]TBMapping!$C431,'[1]TrialBalance (Quarter)'!A:A,0),MATCH([1]TBMapping!O$3,'[1]TrialBalance (Quarter)'!$7:$7,0)),0)</f>
        <v>0</v>
      </c>
    </row>
    <row r="430" spans="1:14">
      <c r="B430" s="3">
        <v>142199</v>
      </c>
      <c r="C430" s="11" t="s">
        <v>395</v>
      </c>
      <c r="D430" s="11" t="s">
        <v>16</v>
      </c>
      <c r="E430" s="11"/>
      <c r="F430" s="5" t="e">
        <f>IF(DataExtraction="Manual",SUMIF('[1]TrialBalance (YTD)'!$C:$C,B430,'[1]TrialBalance (YTD)'!$E:$E),SUMIF('[1]TrialBalance (YTD)'!$G:$G,B430,'[1]TrialBalance (YTD)'!$I:$I))</f>
        <v>#VALUE!</v>
      </c>
      <c r="G430" s="5">
        <f>IFERROR(INDEX('[1]TrialBalance (YTD)'!$G:$S,MATCH([1]TBMapping!$C432,'[1]TrialBalance (YTD)'!G:G,0),MATCH([1]TBMapping!H$3,'[1]TrialBalance (YTD)'!$G$7:$Z$7,0)),0)</f>
        <v>0</v>
      </c>
      <c r="H430" s="5" t="e">
        <f>SUMIF('[1]TrialBalance (YTD)'!G:G,B430,'[1]TrialBalance (YTD)'!H:H)</f>
        <v>#VALUE!</v>
      </c>
      <c r="I430" s="5">
        <f>IFERROR(INDEX('[1]TrialBalance (YTD)'!$G:$S,MATCH([1]TBMapping!$C432,'[1]TrialBalance (YTD)'!G:G,0),MATCH([1]TBMapping!J$3,'[1]TrialBalance (YTD)'!$G$7:$Z$7,0)),0)</f>
        <v>0</v>
      </c>
      <c r="K430" s="5" t="e">
        <f>SUMIF('[1]TrialBalance (Quarter)'!$A:$A,B430,'[1]TrialBalance (Quarter)'!$B:$B)</f>
        <v>#VALUE!</v>
      </c>
      <c r="L430" s="5">
        <f>IFERROR(INDEX('[1]TrialBalance (Quarter)'!$A:$L,MATCH([1]TBMapping!$C432,'[1]TrialBalance (Quarter)'!A:A,0),MATCH([1]TBMapping!M$3,'[1]TrialBalance (Quarter)'!$7:$7,0)),0)</f>
        <v>0</v>
      </c>
      <c r="M430" s="5">
        <f>IFERROR(INDEX('[1]TrialBalance (Quarter)'!$A:$L,MATCH([1]TBMapping!$C432,'[1]TrialBalance (Quarter)'!A:A,0),MATCH([1]TBMapping!N$3,'[1]TrialBalance (Quarter)'!$7:$7,0)),0)</f>
        <v>0</v>
      </c>
      <c r="N430" s="5">
        <f>IFERROR(INDEX('[1]TrialBalance (Quarter)'!$A:$L,MATCH([1]TBMapping!$C432,'[1]TrialBalance (Quarter)'!A:A,0),MATCH([1]TBMapping!O$3,'[1]TrialBalance (Quarter)'!$7:$7,0)),0)</f>
        <v>0</v>
      </c>
    </row>
    <row r="431" spans="1:14">
      <c r="B431" s="3">
        <v>142200</v>
      </c>
      <c r="C431" s="10" t="s">
        <v>396</v>
      </c>
      <c r="D431" s="10" t="s">
        <v>5</v>
      </c>
      <c r="E431" s="10"/>
      <c r="F431" s="5" t="e">
        <f>IF(DataExtraction="Manual",SUMIF('[1]TrialBalance (YTD)'!$C:$C,B431,'[1]TrialBalance (YTD)'!$E:$E),SUMIF('[1]TrialBalance (YTD)'!$G:$G,B431,'[1]TrialBalance (YTD)'!$I:$I))</f>
        <v>#VALUE!</v>
      </c>
      <c r="G431" s="5">
        <f>IFERROR(INDEX('[1]TrialBalance (YTD)'!$G:$S,MATCH([1]TBMapping!$C433,'[1]TrialBalance (YTD)'!G:G,0),MATCH([1]TBMapping!H$3,'[1]TrialBalance (YTD)'!$G$7:$Z$7,0)),0)</f>
        <v>0</v>
      </c>
      <c r="H431" s="5" t="e">
        <f>SUMIF('[1]TrialBalance (YTD)'!G:G,B431,'[1]TrialBalance (YTD)'!H:H)</f>
        <v>#VALUE!</v>
      </c>
      <c r="I431" s="5">
        <f>IFERROR(INDEX('[1]TrialBalance (YTD)'!$G:$S,MATCH([1]TBMapping!$C433,'[1]TrialBalance (YTD)'!G:G,0),MATCH([1]TBMapping!J$3,'[1]TrialBalance (YTD)'!$G$7:$Z$7,0)),0)</f>
        <v>0</v>
      </c>
      <c r="K431" s="5" t="e">
        <f>SUMIF('[1]TrialBalance (Quarter)'!$A:$A,B431,'[1]TrialBalance (Quarter)'!$B:$B)</f>
        <v>#VALUE!</v>
      </c>
      <c r="L431" s="5">
        <f>IFERROR(INDEX('[1]TrialBalance (Quarter)'!$A:$L,MATCH([1]TBMapping!$C433,'[1]TrialBalance (Quarter)'!A:A,0),MATCH([1]TBMapping!M$3,'[1]TrialBalance (Quarter)'!$7:$7,0)),0)</f>
        <v>0</v>
      </c>
      <c r="M431" s="5">
        <f>IFERROR(INDEX('[1]TrialBalance (Quarter)'!$A:$L,MATCH([1]TBMapping!$C433,'[1]TrialBalance (Quarter)'!A:A,0),MATCH([1]TBMapping!N$3,'[1]TrialBalance (Quarter)'!$7:$7,0)),0)</f>
        <v>0</v>
      </c>
      <c r="N431" s="5">
        <f>IFERROR(INDEX('[1]TrialBalance (Quarter)'!$A:$L,MATCH([1]TBMapping!$C433,'[1]TrialBalance (Quarter)'!A:A,0),MATCH([1]TBMapping!O$3,'[1]TrialBalance (Quarter)'!$7:$7,0)),0)</f>
        <v>0</v>
      </c>
    </row>
    <row r="432" spans="1:14">
      <c r="A432" s="2">
        <v>108</v>
      </c>
      <c r="B432" s="3">
        <v>142210</v>
      </c>
      <c r="C432" s="11" t="s">
        <v>397</v>
      </c>
      <c r="D432" s="11" t="s">
        <v>11</v>
      </c>
      <c r="E432" s="11"/>
      <c r="F432" s="5" t="e">
        <f>IF(DataExtraction="Manual",SUMIF('[1]TrialBalance (YTD)'!$C:$C,B432,'[1]TrialBalance (YTD)'!$E:$E),SUMIF('[1]TrialBalance (YTD)'!$G:$G,B432,'[1]TrialBalance (YTD)'!$I:$I))</f>
        <v>#VALUE!</v>
      </c>
      <c r="G432" s="5">
        <f>IFERROR(INDEX('[1]TrialBalance (YTD)'!$G:$S,MATCH([1]TBMapping!$C434,'[1]TrialBalance (YTD)'!G:G,0),MATCH([1]TBMapping!H$3,'[1]TrialBalance (YTD)'!$G$7:$Z$7,0)),0)</f>
        <v>0</v>
      </c>
      <c r="H432" s="5" t="e">
        <f>SUMIF('[1]TrialBalance (YTD)'!G:G,B432,'[1]TrialBalance (YTD)'!H:H)</f>
        <v>#VALUE!</v>
      </c>
      <c r="I432" s="5">
        <f>IFERROR(INDEX('[1]TrialBalance (YTD)'!$G:$S,MATCH([1]TBMapping!$C434,'[1]TrialBalance (YTD)'!G:G,0),MATCH([1]TBMapping!J$3,'[1]TrialBalance (YTD)'!$G$7:$Z$7,0)),0)</f>
        <v>0</v>
      </c>
      <c r="K432" s="5" t="e">
        <f>SUMIF('[1]TrialBalance (Quarter)'!$A:$A,B432,'[1]TrialBalance (Quarter)'!$B:$B)</f>
        <v>#VALUE!</v>
      </c>
      <c r="L432" s="5">
        <f>IFERROR(INDEX('[1]TrialBalance (Quarter)'!$A:$L,MATCH([1]TBMapping!$C434,'[1]TrialBalance (Quarter)'!A:A,0),MATCH([1]TBMapping!M$3,'[1]TrialBalance (Quarter)'!$7:$7,0)),0)</f>
        <v>0</v>
      </c>
      <c r="M432" s="5">
        <f>IFERROR(INDEX('[1]TrialBalance (Quarter)'!$A:$L,MATCH([1]TBMapping!$C434,'[1]TrialBalance (Quarter)'!A:A,0),MATCH([1]TBMapping!N$3,'[1]TrialBalance (Quarter)'!$7:$7,0)),0)</f>
        <v>0</v>
      </c>
      <c r="N432" s="5">
        <f>IFERROR(INDEX('[1]TrialBalance (Quarter)'!$A:$L,MATCH([1]TBMapping!$C434,'[1]TrialBalance (Quarter)'!A:A,0),MATCH([1]TBMapping!O$3,'[1]TrialBalance (Quarter)'!$7:$7,0)),0)</f>
        <v>0</v>
      </c>
    </row>
    <row r="433" spans="1:14">
      <c r="A433" s="2">
        <v>108</v>
      </c>
      <c r="B433" s="3">
        <v>142220</v>
      </c>
      <c r="C433" s="10" t="s">
        <v>398</v>
      </c>
      <c r="D433" s="10" t="s">
        <v>11</v>
      </c>
      <c r="E433" s="10"/>
      <c r="F433" s="5" t="e">
        <f>IF(DataExtraction="Manual",SUMIF('[1]TrialBalance (YTD)'!$C:$C,B433,'[1]TrialBalance (YTD)'!$E:$E),SUMIF('[1]TrialBalance (YTD)'!$G:$G,B433,'[1]TrialBalance (YTD)'!$I:$I))</f>
        <v>#VALUE!</v>
      </c>
      <c r="G433" s="5">
        <f>IFERROR(INDEX('[1]TrialBalance (YTD)'!$G:$S,MATCH([1]TBMapping!$C435,'[1]TrialBalance (YTD)'!G:G,0),MATCH([1]TBMapping!H$3,'[1]TrialBalance (YTD)'!$G$7:$Z$7,0)),0)</f>
        <v>0</v>
      </c>
      <c r="H433" s="5" t="e">
        <f>SUMIF('[1]TrialBalance (YTD)'!G:G,B433,'[1]TrialBalance (YTD)'!H:H)</f>
        <v>#VALUE!</v>
      </c>
      <c r="I433" s="5">
        <f>IFERROR(INDEX('[1]TrialBalance (YTD)'!$G:$S,MATCH([1]TBMapping!$C435,'[1]TrialBalance (YTD)'!G:G,0),MATCH([1]TBMapping!J$3,'[1]TrialBalance (YTD)'!$G$7:$Z$7,0)),0)</f>
        <v>0</v>
      </c>
      <c r="K433" s="5" t="e">
        <f>SUMIF('[1]TrialBalance (Quarter)'!$A:$A,B433,'[1]TrialBalance (Quarter)'!$B:$B)</f>
        <v>#VALUE!</v>
      </c>
      <c r="L433" s="5">
        <f>IFERROR(INDEX('[1]TrialBalance (Quarter)'!$A:$L,MATCH([1]TBMapping!$C435,'[1]TrialBalance (Quarter)'!A:A,0),MATCH([1]TBMapping!M$3,'[1]TrialBalance (Quarter)'!$7:$7,0)),0)</f>
        <v>0</v>
      </c>
      <c r="M433" s="5">
        <f>IFERROR(INDEX('[1]TrialBalance (Quarter)'!$A:$L,MATCH([1]TBMapping!$C435,'[1]TrialBalance (Quarter)'!A:A,0),MATCH([1]TBMapping!N$3,'[1]TrialBalance (Quarter)'!$7:$7,0)),0)</f>
        <v>0</v>
      </c>
      <c r="N433" s="5">
        <f>IFERROR(INDEX('[1]TrialBalance (Quarter)'!$A:$L,MATCH([1]TBMapping!$C435,'[1]TrialBalance (Quarter)'!A:A,0),MATCH([1]TBMapping!O$3,'[1]TrialBalance (Quarter)'!$7:$7,0)),0)</f>
        <v>0</v>
      </c>
    </row>
    <row r="434" spans="1:14">
      <c r="B434" s="3">
        <v>142299</v>
      </c>
      <c r="C434" s="11" t="s">
        <v>399</v>
      </c>
      <c r="D434" s="11" t="s">
        <v>16</v>
      </c>
      <c r="E434" s="11"/>
      <c r="F434" s="5" t="e">
        <f>IF(DataExtraction="Manual",SUMIF('[1]TrialBalance (YTD)'!$C:$C,B434,'[1]TrialBalance (YTD)'!$E:$E),SUMIF('[1]TrialBalance (YTD)'!$G:$G,B434,'[1]TrialBalance (YTD)'!$I:$I))</f>
        <v>#VALUE!</v>
      </c>
      <c r="G434" s="5">
        <f>IFERROR(INDEX('[1]TrialBalance (YTD)'!$G:$S,MATCH([1]TBMapping!$C436,'[1]TrialBalance (YTD)'!G:G,0),MATCH([1]TBMapping!H$3,'[1]TrialBalance (YTD)'!$G$7:$Z$7,0)),0)</f>
        <v>0</v>
      </c>
      <c r="H434" s="5" t="e">
        <f>SUMIF('[1]TrialBalance (YTD)'!G:G,B434,'[1]TrialBalance (YTD)'!H:H)</f>
        <v>#VALUE!</v>
      </c>
      <c r="I434" s="5">
        <f>IFERROR(INDEX('[1]TrialBalance (YTD)'!$G:$S,MATCH([1]TBMapping!$C436,'[1]TrialBalance (YTD)'!G:G,0),MATCH([1]TBMapping!J$3,'[1]TrialBalance (YTD)'!$G$7:$Z$7,0)),0)</f>
        <v>0</v>
      </c>
      <c r="K434" s="5" t="e">
        <f>SUMIF('[1]TrialBalance (Quarter)'!$A:$A,B434,'[1]TrialBalance (Quarter)'!$B:$B)</f>
        <v>#VALUE!</v>
      </c>
      <c r="L434" s="5">
        <f>IFERROR(INDEX('[1]TrialBalance (Quarter)'!$A:$L,MATCH([1]TBMapping!$C436,'[1]TrialBalance (Quarter)'!A:A,0),MATCH([1]TBMapping!M$3,'[1]TrialBalance (Quarter)'!$7:$7,0)),0)</f>
        <v>0</v>
      </c>
      <c r="M434" s="5">
        <f>IFERROR(INDEX('[1]TrialBalance (Quarter)'!$A:$L,MATCH([1]TBMapping!$C436,'[1]TrialBalance (Quarter)'!A:A,0),MATCH([1]TBMapping!N$3,'[1]TrialBalance (Quarter)'!$7:$7,0)),0)</f>
        <v>0</v>
      </c>
      <c r="N434" s="5">
        <f>IFERROR(INDEX('[1]TrialBalance (Quarter)'!$A:$L,MATCH([1]TBMapping!$C436,'[1]TrialBalance (Quarter)'!A:A,0),MATCH([1]TBMapping!O$3,'[1]TrialBalance (Quarter)'!$7:$7,0)),0)</f>
        <v>0</v>
      </c>
    </row>
    <row r="435" spans="1:14">
      <c r="B435" s="3">
        <v>143100</v>
      </c>
      <c r="C435" s="10" t="s">
        <v>400</v>
      </c>
      <c r="D435" s="10" t="s">
        <v>5</v>
      </c>
      <c r="E435" s="10"/>
      <c r="F435" s="5" t="e">
        <f>IF(DataExtraction="Manual",SUMIF('[1]TrialBalance (YTD)'!$C:$C,B435,'[1]TrialBalance (YTD)'!$E:$E),SUMIF('[1]TrialBalance (YTD)'!$G:$G,B435,'[1]TrialBalance (YTD)'!$I:$I))</f>
        <v>#VALUE!</v>
      </c>
      <c r="G435" s="5">
        <f>IFERROR(INDEX('[1]TrialBalance (YTD)'!$G:$S,MATCH([1]TBMapping!$C437,'[1]TrialBalance (YTD)'!G:G,0),MATCH([1]TBMapping!H$3,'[1]TrialBalance (YTD)'!$G$7:$Z$7,0)),0)</f>
        <v>0</v>
      </c>
      <c r="H435" s="5" t="e">
        <f>SUMIF('[1]TrialBalance (YTD)'!G:G,B435,'[1]TrialBalance (YTD)'!H:H)</f>
        <v>#VALUE!</v>
      </c>
      <c r="I435" s="5">
        <f>IFERROR(INDEX('[1]TrialBalance (YTD)'!$G:$S,MATCH([1]TBMapping!$C437,'[1]TrialBalance (YTD)'!G:G,0),MATCH([1]TBMapping!J$3,'[1]TrialBalance (YTD)'!$G$7:$Z$7,0)),0)</f>
        <v>0</v>
      </c>
      <c r="K435" s="5" t="e">
        <f>SUMIF('[1]TrialBalance (Quarter)'!$A:$A,B435,'[1]TrialBalance (Quarter)'!$B:$B)</f>
        <v>#VALUE!</v>
      </c>
      <c r="L435" s="5">
        <f>IFERROR(INDEX('[1]TrialBalance (Quarter)'!$A:$L,MATCH([1]TBMapping!$C437,'[1]TrialBalance (Quarter)'!A:A,0),MATCH([1]TBMapping!M$3,'[1]TrialBalance (Quarter)'!$7:$7,0)),0)</f>
        <v>0</v>
      </c>
      <c r="M435" s="5">
        <f>IFERROR(INDEX('[1]TrialBalance (Quarter)'!$A:$L,MATCH([1]TBMapping!$C437,'[1]TrialBalance (Quarter)'!A:A,0),MATCH([1]TBMapping!N$3,'[1]TrialBalance (Quarter)'!$7:$7,0)),0)</f>
        <v>0</v>
      </c>
      <c r="N435" s="5">
        <f>IFERROR(INDEX('[1]TrialBalance (Quarter)'!$A:$L,MATCH([1]TBMapping!$C437,'[1]TrialBalance (Quarter)'!A:A,0),MATCH([1]TBMapping!O$3,'[1]TrialBalance (Quarter)'!$7:$7,0)),0)</f>
        <v>0</v>
      </c>
    </row>
    <row r="436" spans="1:14">
      <c r="A436" s="2">
        <v>108</v>
      </c>
      <c r="B436" s="3">
        <v>143110</v>
      </c>
      <c r="C436" s="11" t="s">
        <v>401</v>
      </c>
      <c r="D436" s="11" t="s">
        <v>11</v>
      </c>
      <c r="E436" s="11"/>
      <c r="F436" s="5" t="e">
        <f>IF(DataExtraction="Manual",SUMIF('[1]TrialBalance (YTD)'!$C:$C,B436,'[1]TrialBalance (YTD)'!$E:$E),SUMIF('[1]TrialBalance (YTD)'!$G:$G,B436,'[1]TrialBalance (YTD)'!$I:$I))</f>
        <v>#VALUE!</v>
      </c>
      <c r="G436" s="5">
        <f>IFERROR(INDEX('[1]TrialBalance (YTD)'!$G:$S,MATCH([1]TBMapping!$C438,'[1]TrialBalance (YTD)'!G:G,0),MATCH([1]TBMapping!H$3,'[1]TrialBalance (YTD)'!$G$7:$Z$7,0)),0)</f>
        <v>0</v>
      </c>
      <c r="H436" s="5" t="e">
        <f>SUMIF('[1]TrialBalance (YTD)'!G:G,B436,'[1]TrialBalance (YTD)'!H:H)</f>
        <v>#VALUE!</v>
      </c>
      <c r="I436" s="5">
        <f>IFERROR(INDEX('[1]TrialBalance (YTD)'!$G:$S,MATCH([1]TBMapping!$C438,'[1]TrialBalance (YTD)'!G:G,0),MATCH([1]TBMapping!J$3,'[1]TrialBalance (YTD)'!$G$7:$Z$7,0)),0)</f>
        <v>0</v>
      </c>
      <c r="K436" s="5" t="e">
        <f>SUMIF('[1]TrialBalance (Quarter)'!$A:$A,B436,'[1]TrialBalance (Quarter)'!$B:$B)</f>
        <v>#VALUE!</v>
      </c>
      <c r="L436" s="5">
        <f>IFERROR(INDEX('[1]TrialBalance (Quarter)'!$A:$L,MATCH([1]TBMapping!$C438,'[1]TrialBalance (Quarter)'!A:A,0),MATCH([1]TBMapping!M$3,'[1]TrialBalance (Quarter)'!$7:$7,0)),0)</f>
        <v>0</v>
      </c>
      <c r="M436" s="5">
        <f>IFERROR(INDEX('[1]TrialBalance (Quarter)'!$A:$L,MATCH([1]TBMapping!$C438,'[1]TrialBalance (Quarter)'!A:A,0),MATCH([1]TBMapping!N$3,'[1]TrialBalance (Quarter)'!$7:$7,0)),0)</f>
        <v>0</v>
      </c>
      <c r="N436" s="5">
        <f>IFERROR(INDEX('[1]TrialBalance (Quarter)'!$A:$L,MATCH([1]TBMapping!$C438,'[1]TrialBalance (Quarter)'!A:A,0),MATCH([1]TBMapping!O$3,'[1]TrialBalance (Quarter)'!$7:$7,0)),0)</f>
        <v>0</v>
      </c>
    </row>
    <row r="437" spans="1:14">
      <c r="A437" s="2">
        <v>108</v>
      </c>
      <c r="B437" s="3">
        <v>143120</v>
      </c>
      <c r="C437" s="10" t="s">
        <v>402</v>
      </c>
      <c r="D437" s="10" t="s">
        <v>11</v>
      </c>
      <c r="E437" s="10"/>
      <c r="F437" s="5" t="e">
        <f>IF(DataExtraction="Manual",SUMIF('[1]TrialBalance (YTD)'!$C:$C,B437,'[1]TrialBalance (YTD)'!$E:$E),SUMIF('[1]TrialBalance (YTD)'!$G:$G,B437,'[1]TrialBalance (YTD)'!$I:$I))</f>
        <v>#VALUE!</v>
      </c>
      <c r="G437" s="5">
        <f>IFERROR(INDEX('[1]TrialBalance (YTD)'!$G:$S,MATCH([1]TBMapping!$C439,'[1]TrialBalance (YTD)'!G:G,0),MATCH([1]TBMapping!H$3,'[1]TrialBalance (YTD)'!$G$7:$Z$7,0)),0)</f>
        <v>0</v>
      </c>
      <c r="H437" s="5" t="e">
        <f>SUMIF('[1]TrialBalance (YTD)'!G:G,B437,'[1]TrialBalance (YTD)'!H:H)</f>
        <v>#VALUE!</v>
      </c>
      <c r="I437" s="5">
        <f>IFERROR(INDEX('[1]TrialBalance (YTD)'!$G:$S,MATCH([1]TBMapping!$C439,'[1]TrialBalance (YTD)'!G:G,0),MATCH([1]TBMapping!J$3,'[1]TrialBalance (YTD)'!$G$7:$Z$7,0)),0)</f>
        <v>0</v>
      </c>
      <c r="K437" s="5" t="e">
        <f>SUMIF('[1]TrialBalance (Quarter)'!$A:$A,B437,'[1]TrialBalance (Quarter)'!$B:$B)</f>
        <v>#VALUE!</v>
      </c>
      <c r="L437" s="5">
        <f>IFERROR(INDEX('[1]TrialBalance (Quarter)'!$A:$L,MATCH([1]TBMapping!$C439,'[1]TrialBalance (Quarter)'!A:A,0),MATCH([1]TBMapping!M$3,'[1]TrialBalance (Quarter)'!$7:$7,0)),0)</f>
        <v>0</v>
      </c>
      <c r="M437" s="5">
        <f>IFERROR(INDEX('[1]TrialBalance (Quarter)'!$A:$L,MATCH([1]TBMapping!$C439,'[1]TrialBalance (Quarter)'!A:A,0),MATCH([1]TBMapping!N$3,'[1]TrialBalance (Quarter)'!$7:$7,0)),0)</f>
        <v>0</v>
      </c>
      <c r="N437" s="5">
        <f>IFERROR(INDEX('[1]TrialBalance (Quarter)'!$A:$L,MATCH([1]TBMapping!$C439,'[1]TrialBalance (Quarter)'!A:A,0),MATCH([1]TBMapping!O$3,'[1]TrialBalance (Quarter)'!$7:$7,0)),0)</f>
        <v>0</v>
      </c>
    </row>
    <row r="438" spans="1:14">
      <c r="B438" s="3">
        <v>143199</v>
      </c>
      <c r="C438" s="11" t="s">
        <v>403</v>
      </c>
      <c r="D438" s="11" t="s">
        <v>16</v>
      </c>
      <c r="E438" s="11"/>
      <c r="F438" s="5" t="e">
        <f>IF(DataExtraction="Manual",SUMIF('[1]TrialBalance (YTD)'!$C:$C,B438,'[1]TrialBalance (YTD)'!$E:$E),SUMIF('[1]TrialBalance (YTD)'!$G:$G,B438,'[1]TrialBalance (YTD)'!$I:$I))</f>
        <v>#VALUE!</v>
      </c>
      <c r="G438" s="5">
        <f>IFERROR(INDEX('[1]TrialBalance (YTD)'!$G:$S,MATCH([1]TBMapping!$C440,'[1]TrialBalance (YTD)'!G:G,0),MATCH([1]TBMapping!H$3,'[1]TrialBalance (YTD)'!$G$7:$Z$7,0)),0)</f>
        <v>0</v>
      </c>
      <c r="H438" s="5" t="e">
        <f>SUMIF('[1]TrialBalance (YTD)'!G:G,B438,'[1]TrialBalance (YTD)'!H:H)</f>
        <v>#VALUE!</v>
      </c>
      <c r="I438" s="5">
        <f>IFERROR(INDEX('[1]TrialBalance (YTD)'!$G:$S,MATCH([1]TBMapping!$C440,'[1]TrialBalance (YTD)'!G:G,0),MATCH([1]TBMapping!J$3,'[1]TrialBalance (YTD)'!$G$7:$Z$7,0)),0)</f>
        <v>0</v>
      </c>
      <c r="K438" s="5" t="e">
        <f>SUMIF('[1]TrialBalance (Quarter)'!$A:$A,B438,'[1]TrialBalance (Quarter)'!$B:$B)</f>
        <v>#VALUE!</v>
      </c>
      <c r="L438" s="5">
        <f>IFERROR(INDEX('[1]TrialBalance (Quarter)'!$A:$L,MATCH([1]TBMapping!$C440,'[1]TrialBalance (Quarter)'!A:A,0),MATCH([1]TBMapping!M$3,'[1]TrialBalance (Quarter)'!$7:$7,0)),0)</f>
        <v>0</v>
      </c>
      <c r="M438" s="5">
        <f>IFERROR(INDEX('[1]TrialBalance (Quarter)'!$A:$L,MATCH([1]TBMapping!$C440,'[1]TrialBalance (Quarter)'!A:A,0),MATCH([1]TBMapping!N$3,'[1]TrialBalance (Quarter)'!$7:$7,0)),0)</f>
        <v>0</v>
      </c>
      <c r="N438" s="5">
        <f>IFERROR(INDEX('[1]TrialBalance (Quarter)'!$A:$L,MATCH([1]TBMapping!$C440,'[1]TrialBalance (Quarter)'!A:A,0),MATCH([1]TBMapping!O$3,'[1]TrialBalance (Quarter)'!$7:$7,0)),0)</f>
        <v>0</v>
      </c>
    </row>
    <row r="439" spans="1:14">
      <c r="B439" s="3">
        <v>143900</v>
      </c>
      <c r="C439" s="10" t="s">
        <v>404</v>
      </c>
      <c r="D439" s="10" t="s">
        <v>5</v>
      </c>
      <c r="E439" s="10"/>
      <c r="F439" s="5" t="e">
        <f>IF(DataExtraction="Manual",SUMIF('[1]TrialBalance (YTD)'!$C:$C,B439,'[1]TrialBalance (YTD)'!$E:$E),SUMIF('[1]TrialBalance (YTD)'!$G:$G,B439,'[1]TrialBalance (YTD)'!$I:$I))</f>
        <v>#VALUE!</v>
      </c>
      <c r="G439" s="5">
        <f>IFERROR(INDEX('[1]TrialBalance (YTD)'!$G:$S,MATCH([1]TBMapping!$C441,'[1]TrialBalance (YTD)'!G:G,0),MATCH([1]TBMapping!H$3,'[1]TrialBalance (YTD)'!$G$7:$Z$7,0)),0)</f>
        <v>0</v>
      </c>
      <c r="H439" s="5" t="e">
        <f>SUMIF('[1]TrialBalance (YTD)'!G:G,B439,'[1]TrialBalance (YTD)'!H:H)</f>
        <v>#VALUE!</v>
      </c>
      <c r="I439" s="5">
        <f>IFERROR(INDEX('[1]TrialBalance (YTD)'!$G:$S,MATCH([1]TBMapping!$C441,'[1]TrialBalance (YTD)'!G:G,0),MATCH([1]TBMapping!J$3,'[1]TrialBalance (YTD)'!$G$7:$Z$7,0)),0)</f>
        <v>0</v>
      </c>
      <c r="K439" s="5" t="e">
        <f>SUMIF('[1]TrialBalance (Quarter)'!$A:$A,B439,'[1]TrialBalance (Quarter)'!$B:$B)</f>
        <v>#VALUE!</v>
      </c>
      <c r="L439" s="5">
        <f>IFERROR(INDEX('[1]TrialBalance (Quarter)'!$A:$L,MATCH([1]TBMapping!$C441,'[1]TrialBalance (Quarter)'!A:A,0),MATCH([1]TBMapping!M$3,'[1]TrialBalance (Quarter)'!$7:$7,0)),0)</f>
        <v>0</v>
      </c>
      <c r="M439" s="5">
        <f>IFERROR(INDEX('[1]TrialBalance (Quarter)'!$A:$L,MATCH([1]TBMapping!$C441,'[1]TrialBalance (Quarter)'!A:A,0),MATCH([1]TBMapping!N$3,'[1]TrialBalance (Quarter)'!$7:$7,0)),0)</f>
        <v>0</v>
      </c>
      <c r="N439" s="5">
        <f>IFERROR(INDEX('[1]TrialBalance (Quarter)'!$A:$L,MATCH([1]TBMapping!$C441,'[1]TrialBalance (Quarter)'!A:A,0),MATCH([1]TBMapping!O$3,'[1]TrialBalance (Quarter)'!$7:$7,0)),0)</f>
        <v>0</v>
      </c>
    </row>
    <row r="440" spans="1:14">
      <c r="A440" s="2">
        <v>108</v>
      </c>
      <c r="B440" s="3">
        <v>143910</v>
      </c>
      <c r="C440" s="11" t="s">
        <v>405</v>
      </c>
      <c r="D440" s="11" t="s">
        <v>11</v>
      </c>
      <c r="E440" s="11"/>
      <c r="F440" s="5" t="e">
        <f>IF(DataExtraction="Manual",SUMIF('[1]TrialBalance (YTD)'!$C:$C,B440,'[1]TrialBalance (YTD)'!$E:$E),SUMIF('[1]TrialBalance (YTD)'!$G:$G,B440,'[1]TrialBalance (YTD)'!$I:$I))</f>
        <v>#VALUE!</v>
      </c>
      <c r="G440" s="5">
        <f>IFERROR(INDEX('[1]TrialBalance (YTD)'!$G:$S,MATCH([1]TBMapping!$C442,'[1]TrialBalance (YTD)'!G:G,0),MATCH([1]TBMapping!H$3,'[1]TrialBalance (YTD)'!$G$7:$Z$7,0)),0)</f>
        <v>0</v>
      </c>
      <c r="H440" s="5" t="e">
        <f>SUMIF('[1]TrialBalance (YTD)'!G:G,B440,'[1]TrialBalance (YTD)'!H:H)</f>
        <v>#VALUE!</v>
      </c>
      <c r="I440" s="5">
        <f>IFERROR(INDEX('[1]TrialBalance (YTD)'!$G:$S,MATCH([1]TBMapping!$C442,'[1]TrialBalance (YTD)'!G:G,0),MATCH([1]TBMapping!J$3,'[1]TrialBalance (YTD)'!$G$7:$Z$7,0)),0)</f>
        <v>0</v>
      </c>
      <c r="K440" s="5" t="e">
        <f>SUMIF('[1]TrialBalance (Quarter)'!$A:$A,B440,'[1]TrialBalance (Quarter)'!$B:$B)</f>
        <v>#VALUE!</v>
      </c>
      <c r="L440" s="5">
        <f>IFERROR(INDEX('[1]TrialBalance (Quarter)'!$A:$L,MATCH([1]TBMapping!$C442,'[1]TrialBalance (Quarter)'!A:A,0),MATCH([1]TBMapping!M$3,'[1]TrialBalance (Quarter)'!$7:$7,0)),0)</f>
        <v>0</v>
      </c>
      <c r="M440" s="5">
        <f>IFERROR(INDEX('[1]TrialBalance (Quarter)'!$A:$L,MATCH([1]TBMapping!$C442,'[1]TrialBalance (Quarter)'!A:A,0),MATCH([1]TBMapping!N$3,'[1]TrialBalance (Quarter)'!$7:$7,0)),0)</f>
        <v>0</v>
      </c>
      <c r="N440" s="5">
        <f>IFERROR(INDEX('[1]TrialBalance (Quarter)'!$A:$L,MATCH([1]TBMapping!$C442,'[1]TrialBalance (Quarter)'!A:A,0),MATCH([1]TBMapping!O$3,'[1]TrialBalance (Quarter)'!$7:$7,0)),0)</f>
        <v>0</v>
      </c>
    </row>
    <row r="441" spans="1:14">
      <c r="A441" s="2">
        <v>108</v>
      </c>
      <c r="B441" s="3">
        <v>143920</v>
      </c>
      <c r="C441" s="10" t="s">
        <v>406</v>
      </c>
      <c r="D441" s="10" t="s">
        <v>11</v>
      </c>
      <c r="E441" s="10"/>
      <c r="F441" s="5" t="e">
        <f>IF(DataExtraction="Manual",SUMIF('[1]TrialBalance (YTD)'!$C:$C,B441,'[1]TrialBalance (YTD)'!$E:$E),SUMIF('[1]TrialBalance (YTD)'!$G:$G,B441,'[1]TrialBalance (YTD)'!$I:$I))</f>
        <v>#VALUE!</v>
      </c>
      <c r="G441" s="5">
        <f>IFERROR(INDEX('[1]TrialBalance (YTD)'!$G:$S,MATCH([1]TBMapping!$C443,'[1]TrialBalance (YTD)'!G:G,0),MATCH([1]TBMapping!H$3,'[1]TrialBalance (YTD)'!$G$7:$Z$7,0)),0)</f>
        <v>0</v>
      </c>
      <c r="H441" s="5" t="e">
        <f>SUMIF('[1]TrialBalance (YTD)'!G:G,B441,'[1]TrialBalance (YTD)'!H:H)</f>
        <v>#VALUE!</v>
      </c>
      <c r="I441" s="5">
        <f>IFERROR(INDEX('[1]TrialBalance (YTD)'!$G:$S,MATCH([1]TBMapping!$C443,'[1]TrialBalance (YTD)'!G:G,0),MATCH([1]TBMapping!J$3,'[1]TrialBalance (YTD)'!$G$7:$Z$7,0)),0)</f>
        <v>0</v>
      </c>
      <c r="K441" s="5" t="e">
        <f>SUMIF('[1]TrialBalance (Quarter)'!$A:$A,B441,'[1]TrialBalance (Quarter)'!$B:$B)</f>
        <v>#VALUE!</v>
      </c>
      <c r="L441" s="5">
        <f>IFERROR(INDEX('[1]TrialBalance (Quarter)'!$A:$L,MATCH([1]TBMapping!$C443,'[1]TrialBalance (Quarter)'!A:A,0),MATCH([1]TBMapping!M$3,'[1]TrialBalance (Quarter)'!$7:$7,0)),0)</f>
        <v>0</v>
      </c>
      <c r="M441" s="5">
        <f>IFERROR(INDEX('[1]TrialBalance (Quarter)'!$A:$L,MATCH([1]TBMapping!$C443,'[1]TrialBalance (Quarter)'!A:A,0),MATCH([1]TBMapping!N$3,'[1]TrialBalance (Quarter)'!$7:$7,0)),0)</f>
        <v>0</v>
      </c>
      <c r="N441" s="5">
        <f>IFERROR(INDEX('[1]TrialBalance (Quarter)'!$A:$L,MATCH([1]TBMapping!$C443,'[1]TrialBalance (Quarter)'!A:A,0),MATCH([1]TBMapping!O$3,'[1]TrialBalance (Quarter)'!$7:$7,0)),0)</f>
        <v>0</v>
      </c>
    </row>
    <row r="442" spans="1:14">
      <c r="A442" s="2">
        <v>108</v>
      </c>
      <c r="B442" s="3">
        <v>143930</v>
      </c>
      <c r="C442" s="11" t="s">
        <v>407</v>
      </c>
      <c r="D442" s="11" t="s">
        <v>11</v>
      </c>
      <c r="E442" s="11"/>
      <c r="F442" s="5" t="e">
        <f>IF(DataExtraction="Manual",SUMIF('[1]TrialBalance (YTD)'!$C:$C,B442,'[1]TrialBalance (YTD)'!$E:$E),SUMIF('[1]TrialBalance (YTD)'!$G:$G,B442,'[1]TrialBalance (YTD)'!$I:$I))</f>
        <v>#VALUE!</v>
      </c>
      <c r="G442" s="5">
        <f>IFERROR(INDEX('[1]TrialBalance (YTD)'!$G:$S,MATCH([1]TBMapping!$C444,'[1]TrialBalance (YTD)'!G:G,0),MATCH([1]TBMapping!H$3,'[1]TrialBalance (YTD)'!$G$7:$Z$7,0)),0)</f>
        <v>0</v>
      </c>
      <c r="H442" s="5" t="e">
        <f>SUMIF('[1]TrialBalance (YTD)'!G:G,B442,'[1]TrialBalance (YTD)'!H:H)</f>
        <v>#VALUE!</v>
      </c>
      <c r="I442" s="5">
        <f>IFERROR(INDEX('[1]TrialBalance (YTD)'!$G:$S,MATCH([1]TBMapping!$C444,'[1]TrialBalance (YTD)'!G:G,0),MATCH([1]TBMapping!J$3,'[1]TrialBalance (YTD)'!$G$7:$Z$7,0)),0)</f>
        <v>0</v>
      </c>
      <c r="K442" s="5" t="e">
        <f>SUMIF('[1]TrialBalance (Quarter)'!$A:$A,B442,'[1]TrialBalance (Quarter)'!$B:$B)</f>
        <v>#VALUE!</v>
      </c>
      <c r="L442" s="5">
        <f>IFERROR(INDEX('[1]TrialBalance (Quarter)'!$A:$L,MATCH([1]TBMapping!$C444,'[1]TrialBalance (Quarter)'!A:A,0),MATCH([1]TBMapping!M$3,'[1]TrialBalance (Quarter)'!$7:$7,0)),0)</f>
        <v>0</v>
      </c>
      <c r="M442" s="5">
        <f>IFERROR(INDEX('[1]TrialBalance (Quarter)'!$A:$L,MATCH([1]TBMapping!$C444,'[1]TrialBalance (Quarter)'!A:A,0),MATCH([1]TBMapping!N$3,'[1]TrialBalance (Quarter)'!$7:$7,0)),0)</f>
        <v>0</v>
      </c>
      <c r="N442" s="5">
        <f>IFERROR(INDEX('[1]TrialBalance (Quarter)'!$A:$L,MATCH([1]TBMapping!$C444,'[1]TrialBalance (Quarter)'!A:A,0),MATCH([1]TBMapping!O$3,'[1]TrialBalance (Quarter)'!$7:$7,0)),0)</f>
        <v>0</v>
      </c>
    </row>
    <row r="443" spans="1:14">
      <c r="B443" s="3">
        <v>143999</v>
      </c>
      <c r="C443" s="10" t="s">
        <v>404</v>
      </c>
      <c r="D443" s="10" t="s">
        <v>16</v>
      </c>
      <c r="E443" s="10"/>
      <c r="F443" s="5" t="e">
        <f>IF(DataExtraction="Manual",SUMIF('[1]TrialBalance (YTD)'!$C:$C,B443,'[1]TrialBalance (YTD)'!$E:$E),SUMIF('[1]TrialBalance (YTD)'!$G:$G,B443,'[1]TrialBalance (YTD)'!$I:$I))</f>
        <v>#VALUE!</v>
      </c>
      <c r="G443" s="5">
        <f>IFERROR(INDEX('[1]TrialBalance (YTD)'!$G:$S,MATCH([1]TBMapping!$C445,'[1]TrialBalance (YTD)'!G:G,0),MATCH([1]TBMapping!H$3,'[1]TrialBalance (YTD)'!$G$7:$Z$7,0)),0)</f>
        <v>0</v>
      </c>
      <c r="H443" s="5" t="e">
        <f>SUMIF('[1]TrialBalance (YTD)'!G:G,B443,'[1]TrialBalance (YTD)'!H:H)</f>
        <v>#VALUE!</v>
      </c>
      <c r="I443" s="5">
        <f>IFERROR(INDEX('[1]TrialBalance (YTD)'!$G:$S,MATCH([1]TBMapping!$C445,'[1]TrialBalance (YTD)'!G:G,0),MATCH([1]TBMapping!J$3,'[1]TrialBalance (YTD)'!$G$7:$Z$7,0)),0)</f>
        <v>0</v>
      </c>
      <c r="K443" s="5" t="e">
        <f>SUMIF('[1]TrialBalance (Quarter)'!$A:$A,B443,'[1]TrialBalance (Quarter)'!$B:$B)</f>
        <v>#VALUE!</v>
      </c>
      <c r="L443" s="5">
        <f>IFERROR(INDEX('[1]TrialBalance (Quarter)'!$A:$L,MATCH([1]TBMapping!$C445,'[1]TrialBalance (Quarter)'!A:A,0),MATCH([1]TBMapping!M$3,'[1]TrialBalance (Quarter)'!$7:$7,0)),0)</f>
        <v>0</v>
      </c>
      <c r="M443" s="5">
        <f>IFERROR(INDEX('[1]TrialBalance (Quarter)'!$A:$L,MATCH([1]TBMapping!$C445,'[1]TrialBalance (Quarter)'!A:A,0),MATCH([1]TBMapping!N$3,'[1]TrialBalance (Quarter)'!$7:$7,0)),0)</f>
        <v>0</v>
      </c>
      <c r="N443" s="5">
        <f>IFERROR(INDEX('[1]TrialBalance (Quarter)'!$A:$L,MATCH([1]TBMapping!$C445,'[1]TrialBalance (Quarter)'!A:A,0),MATCH([1]TBMapping!O$3,'[1]TrialBalance (Quarter)'!$7:$7,0)),0)</f>
        <v>0</v>
      </c>
    </row>
    <row r="444" spans="1:14">
      <c r="B444" s="3">
        <v>144100</v>
      </c>
      <c r="C444" s="11" t="s">
        <v>408</v>
      </c>
      <c r="D444" s="11" t="s">
        <v>5</v>
      </c>
      <c r="E444" s="11"/>
      <c r="F444" s="5" t="e">
        <f>IF(DataExtraction="Manual",SUMIF('[1]TrialBalance (YTD)'!$C:$C,B444,'[1]TrialBalance (YTD)'!$E:$E),SUMIF('[1]TrialBalance (YTD)'!$G:$G,B444,'[1]TrialBalance (YTD)'!$I:$I))</f>
        <v>#VALUE!</v>
      </c>
      <c r="G444" s="5">
        <f>IFERROR(INDEX('[1]TrialBalance (YTD)'!$G:$S,MATCH([1]TBMapping!$C446,'[1]TrialBalance (YTD)'!G:G,0),MATCH([1]TBMapping!H$3,'[1]TrialBalance (YTD)'!$G$7:$Z$7,0)),0)</f>
        <v>0</v>
      </c>
      <c r="H444" s="5" t="e">
        <f>SUMIF('[1]TrialBalance (YTD)'!G:G,B444,'[1]TrialBalance (YTD)'!H:H)</f>
        <v>#VALUE!</v>
      </c>
      <c r="I444" s="5">
        <f>IFERROR(INDEX('[1]TrialBalance (YTD)'!$G:$S,MATCH([1]TBMapping!$C446,'[1]TrialBalance (YTD)'!G:G,0),MATCH([1]TBMapping!J$3,'[1]TrialBalance (YTD)'!$G$7:$Z$7,0)),0)</f>
        <v>0</v>
      </c>
      <c r="K444" s="5" t="e">
        <f>SUMIF('[1]TrialBalance (Quarter)'!$A:$A,B444,'[1]TrialBalance (Quarter)'!$B:$B)</f>
        <v>#VALUE!</v>
      </c>
      <c r="L444" s="5">
        <f>IFERROR(INDEX('[1]TrialBalance (Quarter)'!$A:$L,MATCH([1]TBMapping!$C446,'[1]TrialBalance (Quarter)'!A:A,0),MATCH([1]TBMapping!M$3,'[1]TrialBalance (Quarter)'!$7:$7,0)),0)</f>
        <v>0</v>
      </c>
      <c r="M444" s="5">
        <f>IFERROR(INDEX('[1]TrialBalance (Quarter)'!$A:$L,MATCH([1]TBMapping!$C446,'[1]TrialBalance (Quarter)'!A:A,0),MATCH([1]TBMapping!N$3,'[1]TrialBalance (Quarter)'!$7:$7,0)),0)</f>
        <v>0</v>
      </c>
      <c r="N444" s="5">
        <f>IFERROR(INDEX('[1]TrialBalance (Quarter)'!$A:$L,MATCH([1]TBMapping!$C446,'[1]TrialBalance (Quarter)'!A:A,0),MATCH([1]TBMapping!O$3,'[1]TrialBalance (Quarter)'!$7:$7,0)),0)</f>
        <v>0</v>
      </c>
    </row>
    <row r="445" spans="1:14">
      <c r="A445" s="2">
        <v>108</v>
      </c>
      <c r="B445" s="3">
        <v>144110</v>
      </c>
      <c r="C445" s="10" t="s">
        <v>409</v>
      </c>
      <c r="D445" s="10" t="s">
        <v>11</v>
      </c>
      <c r="E445" s="10"/>
      <c r="F445" s="5" t="e">
        <f>IF(DataExtraction="Manual",SUMIF('[1]TrialBalance (YTD)'!$C:$C,B445,'[1]TrialBalance (YTD)'!$E:$E),SUMIF('[1]TrialBalance (YTD)'!$G:$G,B445,'[1]TrialBalance (YTD)'!$I:$I))</f>
        <v>#VALUE!</v>
      </c>
      <c r="G445" s="5">
        <f>IFERROR(INDEX('[1]TrialBalance (YTD)'!$G:$S,MATCH([1]TBMapping!$C447,'[1]TrialBalance (YTD)'!G:G,0),MATCH([1]TBMapping!H$3,'[1]TrialBalance (YTD)'!$G$7:$Z$7,0)),0)</f>
        <v>0</v>
      </c>
      <c r="H445" s="5" t="e">
        <f>SUMIF('[1]TrialBalance (YTD)'!G:G,B445,'[1]TrialBalance (YTD)'!H:H)</f>
        <v>#VALUE!</v>
      </c>
      <c r="I445" s="5">
        <f>IFERROR(INDEX('[1]TrialBalance (YTD)'!$G:$S,MATCH([1]TBMapping!$C447,'[1]TrialBalance (YTD)'!G:G,0),MATCH([1]TBMapping!J$3,'[1]TrialBalance (YTD)'!$G$7:$Z$7,0)),0)</f>
        <v>0</v>
      </c>
      <c r="K445" s="5" t="e">
        <f>SUMIF('[1]TrialBalance (Quarter)'!$A:$A,B445,'[1]TrialBalance (Quarter)'!$B:$B)</f>
        <v>#VALUE!</v>
      </c>
      <c r="L445" s="5">
        <f>IFERROR(INDEX('[1]TrialBalance (Quarter)'!$A:$L,MATCH([1]TBMapping!$C447,'[1]TrialBalance (Quarter)'!A:A,0),MATCH([1]TBMapping!M$3,'[1]TrialBalance (Quarter)'!$7:$7,0)),0)</f>
        <v>0</v>
      </c>
      <c r="M445" s="5">
        <f>IFERROR(INDEX('[1]TrialBalance (Quarter)'!$A:$L,MATCH([1]TBMapping!$C447,'[1]TrialBalance (Quarter)'!A:A,0),MATCH([1]TBMapping!N$3,'[1]TrialBalance (Quarter)'!$7:$7,0)),0)</f>
        <v>0</v>
      </c>
      <c r="N445" s="5">
        <f>IFERROR(INDEX('[1]TrialBalance (Quarter)'!$A:$L,MATCH([1]TBMapping!$C447,'[1]TrialBalance (Quarter)'!A:A,0),MATCH([1]TBMapping!O$3,'[1]TrialBalance (Quarter)'!$7:$7,0)),0)</f>
        <v>0</v>
      </c>
    </row>
    <row r="446" spans="1:14">
      <c r="A446" s="2">
        <v>108</v>
      </c>
      <c r="B446" s="3">
        <v>144120</v>
      </c>
      <c r="C446" s="11" t="s">
        <v>410</v>
      </c>
      <c r="D446" s="11" t="s">
        <v>11</v>
      </c>
      <c r="E446" s="11"/>
      <c r="F446" s="5" t="e">
        <f>IF(DataExtraction="Manual",SUMIF('[1]TrialBalance (YTD)'!$C:$C,B446,'[1]TrialBalance (YTD)'!$E:$E),SUMIF('[1]TrialBalance (YTD)'!$G:$G,B446,'[1]TrialBalance (YTD)'!$I:$I))</f>
        <v>#VALUE!</v>
      </c>
      <c r="G446" s="5">
        <f>IFERROR(INDEX('[1]TrialBalance (YTD)'!$G:$S,MATCH([1]TBMapping!$C448,'[1]TrialBalance (YTD)'!G:G,0),MATCH([1]TBMapping!H$3,'[1]TrialBalance (YTD)'!$G$7:$Z$7,0)),0)</f>
        <v>0</v>
      </c>
      <c r="H446" s="5" t="e">
        <f>SUMIF('[1]TrialBalance (YTD)'!G:G,B446,'[1]TrialBalance (YTD)'!H:H)</f>
        <v>#VALUE!</v>
      </c>
      <c r="I446" s="5">
        <f>IFERROR(INDEX('[1]TrialBalance (YTD)'!$G:$S,MATCH([1]TBMapping!$C448,'[1]TrialBalance (YTD)'!G:G,0),MATCH([1]TBMapping!J$3,'[1]TrialBalance (YTD)'!$G$7:$Z$7,0)),0)</f>
        <v>0</v>
      </c>
      <c r="K446" s="5" t="e">
        <f>SUMIF('[1]TrialBalance (Quarter)'!$A:$A,B446,'[1]TrialBalance (Quarter)'!$B:$B)</f>
        <v>#VALUE!</v>
      </c>
      <c r="L446" s="5">
        <f>IFERROR(INDEX('[1]TrialBalance (Quarter)'!$A:$L,MATCH([1]TBMapping!$C448,'[1]TrialBalance (Quarter)'!A:A,0),MATCH([1]TBMapping!M$3,'[1]TrialBalance (Quarter)'!$7:$7,0)),0)</f>
        <v>0</v>
      </c>
      <c r="M446" s="5">
        <f>IFERROR(INDEX('[1]TrialBalance (Quarter)'!$A:$L,MATCH([1]TBMapping!$C448,'[1]TrialBalance (Quarter)'!A:A,0),MATCH([1]TBMapping!N$3,'[1]TrialBalance (Quarter)'!$7:$7,0)),0)</f>
        <v>0</v>
      </c>
      <c r="N446" s="5">
        <f>IFERROR(INDEX('[1]TrialBalance (Quarter)'!$A:$L,MATCH([1]TBMapping!$C448,'[1]TrialBalance (Quarter)'!A:A,0),MATCH([1]TBMapping!O$3,'[1]TrialBalance (Quarter)'!$7:$7,0)),0)</f>
        <v>0</v>
      </c>
    </row>
    <row r="447" spans="1:14">
      <c r="B447" s="3">
        <v>144199</v>
      </c>
      <c r="C447" s="10" t="s">
        <v>411</v>
      </c>
      <c r="D447" s="10" t="s">
        <v>16</v>
      </c>
      <c r="E447" s="10"/>
      <c r="F447" s="5" t="e">
        <f>IF(DataExtraction="Manual",SUMIF('[1]TrialBalance (YTD)'!$C:$C,B447,'[1]TrialBalance (YTD)'!$E:$E),SUMIF('[1]TrialBalance (YTD)'!$G:$G,B447,'[1]TrialBalance (YTD)'!$I:$I))</f>
        <v>#VALUE!</v>
      </c>
      <c r="G447" s="5">
        <f>IFERROR(INDEX('[1]TrialBalance (YTD)'!$G:$S,MATCH([1]TBMapping!$C449,'[1]TrialBalance (YTD)'!G:G,0),MATCH([1]TBMapping!H$3,'[1]TrialBalance (YTD)'!$G$7:$Z$7,0)),0)</f>
        <v>0</v>
      </c>
      <c r="H447" s="5" t="e">
        <f>SUMIF('[1]TrialBalance (YTD)'!G:G,B447,'[1]TrialBalance (YTD)'!H:H)</f>
        <v>#VALUE!</v>
      </c>
      <c r="I447" s="5">
        <f>IFERROR(INDEX('[1]TrialBalance (YTD)'!$G:$S,MATCH([1]TBMapping!$C449,'[1]TrialBalance (YTD)'!G:G,0),MATCH([1]TBMapping!J$3,'[1]TrialBalance (YTD)'!$G$7:$Z$7,0)),0)</f>
        <v>0</v>
      </c>
      <c r="K447" s="5" t="e">
        <f>SUMIF('[1]TrialBalance (Quarter)'!$A:$A,B447,'[1]TrialBalance (Quarter)'!$B:$B)</f>
        <v>#VALUE!</v>
      </c>
      <c r="L447" s="5">
        <f>IFERROR(INDEX('[1]TrialBalance (Quarter)'!$A:$L,MATCH([1]TBMapping!$C449,'[1]TrialBalance (Quarter)'!A:A,0),MATCH([1]TBMapping!M$3,'[1]TrialBalance (Quarter)'!$7:$7,0)),0)</f>
        <v>0</v>
      </c>
      <c r="M447" s="5">
        <f>IFERROR(INDEX('[1]TrialBalance (Quarter)'!$A:$L,MATCH([1]TBMapping!$C449,'[1]TrialBalance (Quarter)'!A:A,0),MATCH([1]TBMapping!N$3,'[1]TrialBalance (Quarter)'!$7:$7,0)),0)</f>
        <v>0</v>
      </c>
      <c r="N447" s="5">
        <f>IFERROR(INDEX('[1]TrialBalance (Quarter)'!$A:$L,MATCH([1]TBMapping!$C449,'[1]TrialBalance (Quarter)'!A:A,0),MATCH([1]TBMapping!O$3,'[1]TrialBalance (Quarter)'!$7:$7,0)),0)</f>
        <v>0</v>
      </c>
    </row>
    <row r="448" spans="1:14">
      <c r="B448" s="3">
        <v>144999</v>
      </c>
      <c r="C448" s="11" t="s">
        <v>412</v>
      </c>
      <c r="D448" s="11" t="s">
        <v>16</v>
      </c>
      <c r="E448" s="11"/>
      <c r="F448" s="5" t="e">
        <f>IF(DataExtraction="Manual",SUMIF('[1]TrialBalance (YTD)'!$C:$C,B448,'[1]TrialBalance (YTD)'!$E:$E),SUMIF('[1]TrialBalance (YTD)'!$G:$G,B448,'[1]TrialBalance (YTD)'!$I:$I))</f>
        <v>#VALUE!</v>
      </c>
      <c r="G448" s="5">
        <f>IFERROR(INDEX('[1]TrialBalance (YTD)'!$G:$S,MATCH([1]TBMapping!$C450,'[1]TrialBalance (YTD)'!G:G,0),MATCH([1]TBMapping!H$3,'[1]TrialBalance (YTD)'!$G$7:$Z$7,0)),0)</f>
        <v>0</v>
      </c>
      <c r="H448" s="5" t="e">
        <f>SUMIF('[1]TrialBalance (YTD)'!G:G,B448,'[1]TrialBalance (YTD)'!H:H)</f>
        <v>#VALUE!</v>
      </c>
      <c r="I448" s="5">
        <f>IFERROR(INDEX('[1]TrialBalance (YTD)'!$G:$S,MATCH([1]TBMapping!$C450,'[1]TrialBalance (YTD)'!G:G,0),MATCH([1]TBMapping!J$3,'[1]TrialBalance (YTD)'!$G$7:$Z$7,0)),0)</f>
        <v>0</v>
      </c>
      <c r="K448" s="5" t="e">
        <f>SUMIF('[1]TrialBalance (Quarter)'!$A:$A,B448,'[1]TrialBalance (Quarter)'!$B:$B)</f>
        <v>#VALUE!</v>
      </c>
      <c r="L448" s="5">
        <f>IFERROR(INDEX('[1]TrialBalance (Quarter)'!$A:$L,MATCH([1]TBMapping!$C450,'[1]TrialBalance (Quarter)'!A:A,0),MATCH([1]TBMapping!M$3,'[1]TrialBalance (Quarter)'!$7:$7,0)),0)</f>
        <v>0</v>
      </c>
      <c r="M448" s="5">
        <f>IFERROR(INDEX('[1]TrialBalance (Quarter)'!$A:$L,MATCH([1]TBMapping!$C450,'[1]TrialBalance (Quarter)'!A:A,0),MATCH([1]TBMapping!N$3,'[1]TrialBalance (Quarter)'!$7:$7,0)),0)</f>
        <v>0</v>
      </c>
      <c r="N448" s="5">
        <f>IFERROR(INDEX('[1]TrialBalance (Quarter)'!$A:$L,MATCH([1]TBMapping!$C450,'[1]TrialBalance (Quarter)'!A:A,0),MATCH([1]TBMapping!O$3,'[1]TrialBalance (Quarter)'!$7:$7,0)),0)</f>
        <v>0</v>
      </c>
    </row>
    <row r="449" spans="1:14">
      <c r="B449" s="3">
        <v>145000</v>
      </c>
      <c r="C449" s="10" t="s">
        <v>413</v>
      </c>
      <c r="D449" s="10" t="s">
        <v>5</v>
      </c>
      <c r="E449" s="10"/>
      <c r="F449" s="5" t="e">
        <f>IF(DataExtraction="Manual",SUMIF('[1]TrialBalance (YTD)'!$C:$C,B449,'[1]TrialBalance (YTD)'!$E:$E),SUMIF('[1]TrialBalance (YTD)'!$G:$G,B449,'[1]TrialBalance (YTD)'!$I:$I))</f>
        <v>#VALUE!</v>
      </c>
      <c r="G449" s="5">
        <f>IFERROR(INDEX('[1]TrialBalance (YTD)'!$G:$S,MATCH([1]TBMapping!$C451,'[1]TrialBalance (YTD)'!G:G,0),MATCH([1]TBMapping!H$3,'[1]TrialBalance (YTD)'!$G$7:$Z$7,0)),0)</f>
        <v>0</v>
      </c>
      <c r="H449" s="5" t="e">
        <f>SUMIF('[1]TrialBalance (YTD)'!G:G,B449,'[1]TrialBalance (YTD)'!H:H)</f>
        <v>#VALUE!</v>
      </c>
      <c r="I449" s="5">
        <f>IFERROR(INDEX('[1]TrialBalance (YTD)'!$G:$S,MATCH([1]TBMapping!$C451,'[1]TrialBalance (YTD)'!G:G,0),MATCH([1]TBMapping!J$3,'[1]TrialBalance (YTD)'!$G$7:$Z$7,0)),0)</f>
        <v>0</v>
      </c>
      <c r="K449" s="5" t="e">
        <f>SUMIF('[1]TrialBalance (Quarter)'!$A:$A,B449,'[1]TrialBalance (Quarter)'!$B:$B)</f>
        <v>#VALUE!</v>
      </c>
      <c r="L449" s="5">
        <f>IFERROR(INDEX('[1]TrialBalance (Quarter)'!$A:$L,MATCH([1]TBMapping!$C451,'[1]TrialBalance (Quarter)'!A:A,0),MATCH([1]TBMapping!M$3,'[1]TrialBalance (Quarter)'!$7:$7,0)),0)</f>
        <v>0</v>
      </c>
      <c r="M449" s="5">
        <f>IFERROR(INDEX('[1]TrialBalance (Quarter)'!$A:$L,MATCH([1]TBMapping!$C451,'[1]TrialBalance (Quarter)'!A:A,0),MATCH([1]TBMapping!N$3,'[1]TrialBalance (Quarter)'!$7:$7,0)),0)</f>
        <v>0</v>
      </c>
      <c r="N449" s="5">
        <f>IFERROR(INDEX('[1]TrialBalance (Quarter)'!$A:$L,MATCH([1]TBMapping!$C451,'[1]TrialBalance (Quarter)'!A:A,0),MATCH([1]TBMapping!O$3,'[1]TrialBalance (Quarter)'!$7:$7,0)),0)</f>
        <v>0</v>
      </c>
    </row>
    <row r="450" spans="1:14">
      <c r="B450" s="3">
        <v>145100</v>
      </c>
      <c r="C450" s="11" t="s">
        <v>87</v>
      </c>
      <c r="D450" s="11" t="s">
        <v>5</v>
      </c>
      <c r="E450" s="11"/>
      <c r="F450" s="5" t="e">
        <f>IF(DataExtraction="Manual",SUMIF('[1]TrialBalance (YTD)'!$C:$C,B450,'[1]TrialBalance (YTD)'!$E:$E),SUMIF('[1]TrialBalance (YTD)'!$G:$G,B450,'[1]TrialBalance (YTD)'!$I:$I))</f>
        <v>#VALUE!</v>
      </c>
      <c r="G450" s="5">
        <f>IFERROR(INDEX('[1]TrialBalance (YTD)'!$G:$S,MATCH([1]TBMapping!$C452,'[1]TrialBalance (YTD)'!G:G,0),MATCH([1]TBMapping!H$3,'[1]TrialBalance (YTD)'!$G$7:$Z$7,0)),0)</f>
        <v>0</v>
      </c>
      <c r="H450" s="5" t="e">
        <f>SUMIF('[1]TrialBalance (YTD)'!G:G,B450,'[1]TrialBalance (YTD)'!H:H)</f>
        <v>#VALUE!</v>
      </c>
      <c r="I450" s="5">
        <f>IFERROR(INDEX('[1]TrialBalance (YTD)'!$G:$S,MATCH([1]TBMapping!$C452,'[1]TrialBalance (YTD)'!G:G,0),MATCH([1]TBMapping!J$3,'[1]TrialBalance (YTD)'!$G$7:$Z$7,0)),0)</f>
        <v>0</v>
      </c>
      <c r="K450" s="5" t="e">
        <f>SUMIF('[1]TrialBalance (Quarter)'!$A:$A,B450,'[1]TrialBalance (Quarter)'!$B:$B)</f>
        <v>#VALUE!</v>
      </c>
      <c r="L450" s="5">
        <f>IFERROR(INDEX('[1]TrialBalance (Quarter)'!$A:$L,MATCH([1]TBMapping!$C452,'[1]TrialBalance (Quarter)'!A:A,0),MATCH([1]TBMapping!M$3,'[1]TrialBalance (Quarter)'!$7:$7,0)),0)</f>
        <v>0</v>
      </c>
      <c r="M450" s="5">
        <f>IFERROR(INDEX('[1]TrialBalance (Quarter)'!$A:$L,MATCH([1]TBMapping!$C452,'[1]TrialBalance (Quarter)'!A:A,0),MATCH([1]TBMapping!N$3,'[1]TrialBalance (Quarter)'!$7:$7,0)),0)</f>
        <v>0</v>
      </c>
      <c r="N450" s="5">
        <f>IFERROR(INDEX('[1]TrialBalance (Quarter)'!$A:$L,MATCH([1]TBMapping!$C452,'[1]TrialBalance (Quarter)'!A:A,0),MATCH([1]TBMapping!O$3,'[1]TrialBalance (Quarter)'!$7:$7,0)),0)</f>
        <v>0</v>
      </c>
    </row>
    <row r="451" spans="1:14">
      <c r="A451" s="2">
        <v>104</v>
      </c>
      <c r="B451" s="3">
        <v>145110</v>
      </c>
      <c r="C451" s="10" t="s">
        <v>87</v>
      </c>
      <c r="D451" s="10" t="s">
        <v>11</v>
      </c>
      <c r="E451" s="10"/>
      <c r="F451" s="5" t="e">
        <f>IF(DataExtraction="Manual",SUMIF('[1]TrialBalance (YTD)'!$C:$C,B451,'[1]TrialBalance (YTD)'!$E:$E),SUMIF('[1]TrialBalance (YTD)'!$G:$G,B451,'[1]TrialBalance (YTD)'!$I:$I))</f>
        <v>#VALUE!</v>
      </c>
      <c r="G451" s="5">
        <f>IFERROR(INDEX('[1]TrialBalance (YTD)'!$G:$S,MATCH([1]TBMapping!$C453,'[1]TrialBalance (YTD)'!G:G,0),MATCH([1]TBMapping!H$3,'[1]TrialBalance (YTD)'!$G$7:$Z$7,0)),0)</f>
        <v>0</v>
      </c>
      <c r="H451" s="5" t="e">
        <f>SUMIF('[1]TrialBalance (YTD)'!G:G,B451,'[1]TrialBalance (YTD)'!H:H)</f>
        <v>#VALUE!</v>
      </c>
      <c r="I451" s="5">
        <f>IFERROR(INDEX('[1]TrialBalance (YTD)'!$G:$S,MATCH([1]TBMapping!$C453,'[1]TrialBalance (YTD)'!G:G,0),MATCH([1]TBMapping!J$3,'[1]TrialBalance (YTD)'!$G$7:$Z$7,0)),0)</f>
        <v>0</v>
      </c>
      <c r="K451" s="5" t="e">
        <f>SUMIF('[1]TrialBalance (Quarter)'!$A:$A,B451,'[1]TrialBalance (Quarter)'!$B:$B)</f>
        <v>#VALUE!</v>
      </c>
      <c r="L451" s="5">
        <f>IFERROR(INDEX('[1]TrialBalance (Quarter)'!$A:$L,MATCH([1]TBMapping!$C453,'[1]TrialBalance (Quarter)'!A:A,0),MATCH([1]TBMapping!M$3,'[1]TrialBalance (Quarter)'!$7:$7,0)),0)</f>
        <v>0</v>
      </c>
      <c r="M451" s="5">
        <f>IFERROR(INDEX('[1]TrialBalance (Quarter)'!$A:$L,MATCH([1]TBMapping!$C453,'[1]TrialBalance (Quarter)'!A:A,0),MATCH([1]TBMapping!N$3,'[1]TrialBalance (Quarter)'!$7:$7,0)),0)</f>
        <v>-13820404.529999999</v>
      </c>
      <c r="N451" s="5">
        <f>IFERROR(INDEX('[1]TrialBalance (Quarter)'!$A:$L,MATCH([1]TBMapping!$C453,'[1]TrialBalance (Quarter)'!A:A,0),MATCH([1]TBMapping!O$3,'[1]TrialBalance (Quarter)'!$7:$7,0)),0)</f>
        <v>0</v>
      </c>
    </row>
    <row r="452" spans="1:14">
      <c r="B452" s="3">
        <v>145199</v>
      </c>
      <c r="C452" s="11" t="s">
        <v>414</v>
      </c>
      <c r="D452" s="11" t="s">
        <v>16</v>
      </c>
      <c r="E452" s="11"/>
      <c r="F452" s="5" t="e">
        <f>IF(DataExtraction="Manual",SUMIF('[1]TrialBalance (YTD)'!$C:$C,B452,'[1]TrialBalance (YTD)'!$E:$E),SUMIF('[1]TrialBalance (YTD)'!$G:$G,B452,'[1]TrialBalance (YTD)'!$I:$I))</f>
        <v>#VALUE!</v>
      </c>
      <c r="G452" s="5">
        <f>IFERROR(INDEX('[1]TrialBalance (YTD)'!$G:$S,MATCH([1]TBMapping!$C454,'[1]TrialBalance (YTD)'!G:G,0),MATCH([1]TBMapping!H$3,'[1]TrialBalance (YTD)'!$G$7:$Z$7,0)),0)</f>
        <v>0</v>
      </c>
      <c r="H452" s="5" t="e">
        <f>SUMIF('[1]TrialBalance (YTD)'!G:G,B452,'[1]TrialBalance (YTD)'!H:H)</f>
        <v>#VALUE!</v>
      </c>
      <c r="I452" s="5">
        <f>IFERROR(INDEX('[1]TrialBalance (YTD)'!$G:$S,MATCH([1]TBMapping!$C454,'[1]TrialBalance (YTD)'!G:G,0),MATCH([1]TBMapping!J$3,'[1]TrialBalance (YTD)'!$G$7:$Z$7,0)),0)</f>
        <v>0</v>
      </c>
      <c r="K452" s="5" t="e">
        <f>SUMIF('[1]TrialBalance (Quarter)'!$A:$A,B452,'[1]TrialBalance (Quarter)'!$B:$B)</f>
        <v>#VALUE!</v>
      </c>
      <c r="L452" s="5">
        <f>IFERROR(INDEX('[1]TrialBalance (Quarter)'!$A:$L,MATCH([1]TBMapping!$C454,'[1]TrialBalance (Quarter)'!A:A,0),MATCH([1]TBMapping!M$3,'[1]TrialBalance (Quarter)'!$7:$7,0)),0)</f>
        <v>0</v>
      </c>
      <c r="M452" s="5">
        <f>IFERROR(INDEX('[1]TrialBalance (Quarter)'!$A:$L,MATCH([1]TBMapping!$C454,'[1]TrialBalance (Quarter)'!A:A,0),MATCH([1]TBMapping!N$3,'[1]TrialBalance (Quarter)'!$7:$7,0)),0)</f>
        <v>0</v>
      </c>
      <c r="N452" s="5">
        <f>IFERROR(INDEX('[1]TrialBalance (Quarter)'!$A:$L,MATCH([1]TBMapping!$C454,'[1]TrialBalance (Quarter)'!A:A,0),MATCH([1]TBMapping!O$3,'[1]TrialBalance (Quarter)'!$7:$7,0)),0)</f>
        <v>0</v>
      </c>
    </row>
    <row r="453" spans="1:14">
      <c r="B453" s="3">
        <v>145200</v>
      </c>
      <c r="C453" s="10" t="s">
        <v>415</v>
      </c>
      <c r="D453" s="10" t="s">
        <v>5</v>
      </c>
      <c r="E453" s="10"/>
      <c r="F453" s="5" t="e">
        <f>IF(DataExtraction="Manual",SUMIF('[1]TrialBalance (YTD)'!$C:$C,B453,'[1]TrialBalance (YTD)'!$E:$E),SUMIF('[1]TrialBalance (YTD)'!$G:$G,B453,'[1]TrialBalance (YTD)'!$I:$I))</f>
        <v>#VALUE!</v>
      </c>
      <c r="G453" s="5">
        <f>IFERROR(INDEX('[1]TrialBalance (YTD)'!$G:$S,MATCH([1]TBMapping!$C455,'[1]TrialBalance (YTD)'!G:G,0),MATCH([1]TBMapping!H$3,'[1]TrialBalance (YTD)'!$G$7:$Z$7,0)),0)</f>
        <v>0</v>
      </c>
      <c r="H453" s="5" t="e">
        <f>SUMIF('[1]TrialBalance (YTD)'!G:G,B453,'[1]TrialBalance (YTD)'!H:H)</f>
        <v>#VALUE!</v>
      </c>
      <c r="I453" s="5">
        <f>IFERROR(INDEX('[1]TrialBalance (YTD)'!$G:$S,MATCH([1]TBMapping!$C455,'[1]TrialBalance (YTD)'!G:G,0),MATCH([1]TBMapping!J$3,'[1]TrialBalance (YTD)'!$G$7:$Z$7,0)),0)</f>
        <v>0</v>
      </c>
      <c r="K453" s="5" t="e">
        <f>SUMIF('[1]TrialBalance (Quarter)'!$A:$A,B453,'[1]TrialBalance (Quarter)'!$B:$B)</f>
        <v>#VALUE!</v>
      </c>
      <c r="L453" s="5">
        <f>IFERROR(INDEX('[1]TrialBalance (Quarter)'!$A:$L,MATCH([1]TBMapping!$C455,'[1]TrialBalance (Quarter)'!A:A,0),MATCH([1]TBMapping!M$3,'[1]TrialBalance (Quarter)'!$7:$7,0)),0)</f>
        <v>0</v>
      </c>
      <c r="M453" s="5">
        <f>IFERROR(INDEX('[1]TrialBalance (Quarter)'!$A:$L,MATCH([1]TBMapping!$C455,'[1]TrialBalance (Quarter)'!A:A,0),MATCH([1]TBMapping!N$3,'[1]TrialBalance (Quarter)'!$7:$7,0)),0)</f>
        <v>0</v>
      </c>
      <c r="N453" s="5">
        <f>IFERROR(INDEX('[1]TrialBalance (Quarter)'!$A:$L,MATCH([1]TBMapping!$C455,'[1]TrialBalance (Quarter)'!A:A,0),MATCH([1]TBMapping!O$3,'[1]TrialBalance (Quarter)'!$7:$7,0)),0)</f>
        <v>0</v>
      </c>
    </row>
    <row r="454" spans="1:14">
      <c r="A454" s="2">
        <v>104</v>
      </c>
      <c r="B454" s="3">
        <v>145210</v>
      </c>
      <c r="C454" s="11" t="s">
        <v>415</v>
      </c>
      <c r="D454" s="11" t="s">
        <v>11</v>
      </c>
      <c r="E454" s="11"/>
      <c r="F454" s="5" t="e">
        <f>IF(DataExtraction="Manual",SUMIF('[1]TrialBalance (YTD)'!$C:$C,B454,'[1]TrialBalance (YTD)'!$E:$E),SUMIF('[1]TrialBalance (YTD)'!$G:$G,B454,'[1]TrialBalance (YTD)'!$I:$I))</f>
        <v>#VALUE!</v>
      </c>
      <c r="G454" s="5">
        <f>IFERROR(INDEX('[1]TrialBalance (YTD)'!$G:$S,MATCH([1]TBMapping!$C456,'[1]TrialBalance (YTD)'!G:G,0),MATCH([1]TBMapping!H$3,'[1]TrialBalance (YTD)'!$G$7:$Z$7,0)),0)</f>
        <v>0</v>
      </c>
      <c r="H454" s="5" t="e">
        <f>SUMIF('[1]TrialBalance (YTD)'!G:G,B454,'[1]TrialBalance (YTD)'!H:H)</f>
        <v>#VALUE!</v>
      </c>
      <c r="I454" s="5">
        <f>IFERROR(INDEX('[1]TrialBalance (YTD)'!$G:$S,MATCH([1]TBMapping!$C456,'[1]TrialBalance (YTD)'!G:G,0),MATCH([1]TBMapping!J$3,'[1]TrialBalance (YTD)'!$G$7:$Z$7,0)),0)</f>
        <v>0</v>
      </c>
      <c r="K454" s="5" t="e">
        <f>SUMIF('[1]TrialBalance (Quarter)'!$A:$A,B454,'[1]TrialBalance (Quarter)'!$B:$B)</f>
        <v>#VALUE!</v>
      </c>
      <c r="L454" s="5">
        <f>IFERROR(INDEX('[1]TrialBalance (Quarter)'!$A:$L,MATCH([1]TBMapping!$C456,'[1]TrialBalance (Quarter)'!A:A,0),MATCH([1]TBMapping!M$3,'[1]TrialBalance (Quarter)'!$7:$7,0)),0)</f>
        <v>0</v>
      </c>
      <c r="M454" s="5">
        <f>IFERROR(INDEX('[1]TrialBalance (Quarter)'!$A:$L,MATCH([1]TBMapping!$C456,'[1]TrialBalance (Quarter)'!A:A,0),MATCH([1]TBMapping!N$3,'[1]TrialBalance (Quarter)'!$7:$7,0)),0)</f>
        <v>0</v>
      </c>
      <c r="N454" s="5">
        <f>IFERROR(INDEX('[1]TrialBalance (Quarter)'!$A:$L,MATCH([1]TBMapping!$C456,'[1]TrialBalance (Quarter)'!A:A,0),MATCH([1]TBMapping!O$3,'[1]TrialBalance (Quarter)'!$7:$7,0)),0)</f>
        <v>0</v>
      </c>
    </row>
    <row r="455" spans="1:14">
      <c r="B455" s="3">
        <v>145299</v>
      </c>
      <c r="C455" s="10" t="s">
        <v>416</v>
      </c>
      <c r="D455" s="10" t="s">
        <v>16</v>
      </c>
      <c r="E455" s="10"/>
      <c r="F455" s="5" t="e">
        <f>IF(DataExtraction="Manual",SUMIF('[1]TrialBalance (YTD)'!$C:$C,B455,'[1]TrialBalance (YTD)'!$E:$E),SUMIF('[1]TrialBalance (YTD)'!$G:$G,B455,'[1]TrialBalance (YTD)'!$I:$I))</f>
        <v>#VALUE!</v>
      </c>
      <c r="G455" s="5">
        <f>IFERROR(INDEX('[1]TrialBalance (YTD)'!$G:$S,MATCH([1]TBMapping!$C457,'[1]TrialBalance (YTD)'!G:G,0),MATCH([1]TBMapping!H$3,'[1]TrialBalance (YTD)'!$G$7:$Z$7,0)),0)</f>
        <v>0</v>
      </c>
      <c r="H455" s="5" t="e">
        <f>SUMIF('[1]TrialBalance (YTD)'!G:G,B455,'[1]TrialBalance (YTD)'!H:H)</f>
        <v>#VALUE!</v>
      </c>
      <c r="I455" s="5">
        <f>IFERROR(INDEX('[1]TrialBalance (YTD)'!$G:$S,MATCH([1]TBMapping!$C457,'[1]TrialBalance (YTD)'!G:G,0),MATCH([1]TBMapping!J$3,'[1]TrialBalance (YTD)'!$G$7:$Z$7,0)),0)</f>
        <v>0</v>
      </c>
      <c r="K455" s="5" t="e">
        <f>SUMIF('[1]TrialBalance (Quarter)'!$A:$A,B455,'[1]TrialBalance (Quarter)'!$B:$B)</f>
        <v>#VALUE!</v>
      </c>
      <c r="L455" s="5">
        <f>IFERROR(INDEX('[1]TrialBalance (Quarter)'!$A:$L,MATCH([1]TBMapping!$C457,'[1]TrialBalance (Quarter)'!A:A,0),MATCH([1]TBMapping!M$3,'[1]TrialBalance (Quarter)'!$7:$7,0)),0)</f>
        <v>0</v>
      </c>
      <c r="M455" s="5">
        <f>IFERROR(INDEX('[1]TrialBalance (Quarter)'!$A:$L,MATCH([1]TBMapping!$C457,'[1]TrialBalance (Quarter)'!A:A,0),MATCH([1]TBMapping!N$3,'[1]TrialBalance (Quarter)'!$7:$7,0)),0)</f>
        <v>0</v>
      </c>
      <c r="N455" s="5">
        <f>IFERROR(INDEX('[1]TrialBalance (Quarter)'!$A:$L,MATCH([1]TBMapping!$C457,'[1]TrialBalance (Quarter)'!A:A,0),MATCH([1]TBMapping!O$3,'[1]TrialBalance (Quarter)'!$7:$7,0)),0)</f>
        <v>0</v>
      </c>
    </row>
    <row r="456" spans="1:14">
      <c r="B456" s="3">
        <v>145999</v>
      </c>
      <c r="C456" s="11" t="s">
        <v>417</v>
      </c>
      <c r="D456" s="11" t="s">
        <v>16</v>
      </c>
      <c r="E456" s="11"/>
      <c r="F456" s="5" t="e">
        <f>IF(DataExtraction="Manual",SUMIF('[1]TrialBalance (YTD)'!$C:$C,B456,'[1]TrialBalance (YTD)'!$E:$E),SUMIF('[1]TrialBalance (YTD)'!$G:$G,B456,'[1]TrialBalance (YTD)'!$I:$I))</f>
        <v>#VALUE!</v>
      </c>
      <c r="G456" s="5">
        <f>IFERROR(INDEX('[1]TrialBalance (YTD)'!$G:$S,MATCH([1]TBMapping!$C458,'[1]TrialBalance (YTD)'!G:G,0),MATCH([1]TBMapping!H$3,'[1]TrialBalance (YTD)'!$G$7:$Z$7,0)),0)</f>
        <v>0</v>
      </c>
      <c r="H456" s="5" t="e">
        <f>SUMIF('[1]TrialBalance (YTD)'!G:G,B456,'[1]TrialBalance (YTD)'!H:H)</f>
        <v>#VALUE!</v>
      </c>
      <c r="I456" s="5">
        <f>IFERROR(INDEX('[1]TrialBalance (YTD)'!$G:$S,MATCH([1]TBMapping!$C458,'[1]TrialBalance (YTD)'!G:G,0),MATCH([1]TBMapping!J$3,'[1]TrialBalance (YTD)'!$G$7:$Z$7,0)),0)</f>
        <v>0</v>
      </c>
      <c r="K456" s="5" t="e">
        <f>SUMIF('[1]TrialBalance (Quarter)'!$A:$A,B456,'[1]TrialBalance (Quarter)'!$B:$B)</f>
        <v>#VALUE!</v>
      </c>
      <c r="L456" s="5">
        <f>IFERROR(INDEX('[1]TrialBalance (Quarter)'!$A:$L,MATCH([1]TBMapping!$C458,'[1]TrialBalance (Quarter)'!A:A,0),MATCH([1]TBMapping!M$3,'[1]TrialBalance (Quarter)'!$7:$7,0)),0)</f>
        <v>0</v>
      </c>
      <c r="M456" s="5">
        <f>IFERROR(INDEX('[1]TrialBalance (Quarter)'!$A:$L,MATCH([1]TBMapping!$C458,'[1]TrialBalance (Quarter)'!A:A,0),MATCH([1]TBMapping!N$3,'[1]TrialBalance (Quarter)'!$7:$7,0)),0)</f>
        <v>0</v>
      </c>
      <c r="N456" s="5">
        <f>IFERROR(INDEX('[1]TrialBalance (Quarter)'!$A:$L,MATCH([1]TBMapping!$C458,'[1]TrialBalance (Quarter)'!A:A,0),MATCH([1]TBMapping!O$3,'[1]TrialBalance (Quarter)'!$7:$7,0)),0)</f>
        <v>0</v>
      </c>
    </row>
    <row r="457" spans="1:14">
      <c r="B457" s="3">
        <v>149999</v>
      </c>
      <c r="C457" s="10" t="s">
        <v>418</v>
      </c>
      <c r="D457" s="10" t="s">
        <v>16</v>
      </c>
      <c r="E457" s="10"/>
      <c r="F457" s="5" t="e">
        <f>IF(DataExtraction="Manual",SUMIF('[1]TrialBalance (YTD)'!$C:$C,B457,'[1]TrialBalance (YTD)'!$E:$E),SUMIF('[1]TrialBalance (YTD)'!$G:$G,B457,'[1]TrialBalance (YTD)'!$I:$I))</f>
        <v>#VALUE!</v>
      </c>
      <c r="G457" s="5">
        <f>IFERROR(INDEX('[1]TrialBalance (YTD)'!$G:$S,MATCH([1]TBMapping!$C459,'[1]TrialBalance (YTD)'!G:G,0),MATCH([1]TBMapping!H$3,'[1]TrialBalance (YTD)'!$G$7:$Z$7,0)),0)</f>
        <v>0</v>
      </c>
      <c r="H457" s="5" t="e">
        <f>SUMIF('[1]TrialBalance (YTD)'!G:G,B457,'[1]TrialBalance (YTD)'!H:H)</f>
        <v>#VALUE!</v>
      </c>
      <c r="I457" s="5">
        <f>IFERROR(INDEX('[1]TrialBalance (YTD)'!$G:$S,MATCH([1]TBMapping!$C459,'[1]TrialBalance (YTD)'!G:G,0),MATCH([1]TBMapping!J$3,'[1]TrialBalance (YTD)'!$G$7:$Z$7,0)),0)</f>
        <v>0</v>
      </c>
      <c r="K457" s="5" t="e">
        <f>SUMIF('[1]TrialBalance (Quarter)'!$A:$A,B457,'[1]TrialBalance (Quarter)'!$B:$B)</f>
        <v>#VALUE!</v>
      </c>
      <c r="L457" s="5">
        <f>IFERROR(INDEX('[1]TrialBalance (Quarter)'!$A:$L,MATCH([1]TBMapping!$C459,'[1]TrialBalance (Quarter)'!A:A,0),MATCH([1]TBMapping!M$3,'[1]TrialBalance (Quarter)'!$7:$7,0)),0)</f>
        <v>0</v>
      </c>
      <c r="M457" s="5">
        <f>IFERROR(INDEX('[1]TrialBalance (Quarter)'!$A:$L,MATCH([1]TBMapping!$C459,'[1]TrialBalance (Quarter)'!A:A,0),MATCH([1]TBMapping!N$3,'[1]TrialBalance (Quarter)'!$7:$7,0)),0)</f>
        <v>0</v>
      </c>
      <c r="N457" s="5">
        <f>IFERROR(INDEX('[1]TrialBalance (Quarter)'!$A:$L,MATCH([1]TBMapping!$C459,'[1]TrialBalance (Quarter)'!A:A,0),MATCH([1]TBMapping!O$3,'[1]TrialBalance (Quarter)'!$7:$7,0)),0)</f>
        <v>0</v>
      </c>
    </row>
    <row r="458" spans="1:14">
      <c r="B458" s="3">
        <v>151000</v>
      </c>
      <c r="C458" s="11" t="s">
        <v>419</v>
      </c>
      <c r="D458" s="11" t="s">
        <v>5</v>
      </c>
      <c r="E458" s="11"/>
      <c r="F458" s="5" t="e">
        <f>IF(DataExtraction="Manual",SUMIF('[1]TrialBalance (YTD)'!$C:$C,B458,'[1]TrialBalance (YTD)'!$E:$E),SUMIF('[1]TrialBalance (YTD)'!$G:$G,B458,'[1]TrialBalance (YTD)'!$I:$I))</f>
        <v>#VALUE!</v>
      </c>
      <c r="G458" s="5">
        <f>IFERROR(INDEX('[1]TrialBalance (YTD)'!$G:$S,MATCH([1]TBMapping!$C460,'[1]TrialBalance (YTD)'!G:G,0),MATCH([1]TBMapping!H$3,'[1]TrialBalance (YTD)'!$G$7:$Z$7,0)),0)</f>
        <v>0</v>
      </c>
      <c r="H458" s="5" t="e">
        <f>SUMIF('[1]TrialBalance (YTD)'!G:G,B458,'[1]TrialBalance (YTD)'!H:H)</f>
        <v>#VALUE!</v>
      </c>
      <c r="I458" s="5">
        <f>IFERROR(INDEX('[1]TrialBalance (YTD)'!$G:$S,MATCH([1]TBMapping!$C460,'[1]TrialBalance (YTD)'!G:G,0),MATCH([1]TBMapping!J$3,'[1]TrialBalance (YTD)'!$G$7:$Z$7,0)),0)</f>
        <v>0</v>
      </c>
      <c r="K458" s="5" t="e">
        <f>SUMIF('[1]TrialBalance (Quarter)'!$A:$A,B458,'[1]TrialBalance (Quarter)'!$B:$B)</f>
        <v>#VALUE!</v>
      </c>
      <c r="L458" s="5">
        <f>IFERROR(INDEX('[1]TrialBalance (Quarter)'!$A:$L,MATCH([1]TBMapping!$C460,'[1]TrialBalance (Quarter)'!A:A,0),MATCH([1]TBMapping!M$3,'[1]TrialBalance (Quarter)'!$7:$7,0)),0)</f>
        <v>0</v>
      </c>
      <c r="M458" s="5">
        <f>IFERROR(INDEX('[1]TrialBalance (Quarter)'!$A:$L,MATCH([1]TBMapping!$C460,'[1]TrialBalance (Quarter)'!A:A,0),MATCH([1]TBMapping!N$3,'[1]TrialBalance (Quarter)'!$7:$7,0)),0)</f>
        <v>0</v>
      </c>
      <c r="N458" s="5">
        <f>IFERROR(INDEX('[1]TrialBalance (Quarter)'!$A:$L,MATCH([1]TBMapping!$C460,'[1]TrialBalance (Quarter)'!A:A,0),MATCH([1]TBMapping!O$3,'[1]TrialBalance (Quarter)'!$7:$7,0)),0)</f>
        <v>0</v>
      </c>
    </row>
    <row r="459" spans="1:14">
      <c r="A459" s="2">
        <v>102</v>
      </c>
      <c r="B459" s="3">
        <v>151110</v>
      </c>
      <c r="C459" s="10" t="s">
        <v>420</v>
      </c>
      <c r="D459" s="10" t="s">
        <v>11</v>
      </c>
      <c r="E459" s="10"/>
      <c r="F459" s="5" t="e">
        <f>IF(DataExtraction="Manual",SUMIF('[1]TrialBalance (YTD)'!$C:$C,B459,'[1]TrialBalance (YTD)'!$E:$E),SUMIF('[1]TrialBalance (YTD)'!$G:$G,B459,'[1]TrialBalance (YTD)'!$I:$I))</f>
        <v>#VALUE!</v>
      </c>
      <c r="G459" s="5">
        <f>IFERROR(INDEX('[1]TrialBalance (YTD)'!$G:$S,MATCH([1]TBMapping!$C461,'[1]TrialBalance (YTD)'!G:G,0),MATCH([1]TBMapping!H$3,'[1]TrialBalance (YTD)'!$G$7:$Z$7,0)),0)</f>
        <v>0</v>
      </c>
      <c r="H459" s="5" t="e">
        <f>SUMIF('[1]TrialBalance (YTD)'!G:G,B459,'[1]TrialBalance (YTD)'!H:H)</f>
        <v>#VALUE!</v>
      </c>
      <c r="I459" s="5">
        <f>IFERROR(INDEX('[1]TrialBalance (YTD)'!$G:$S,MATCH([1]TBMapping!$C461,'[1]TrialBalance (YTD)'!G:G,0),MATCH([1]TBMapping!J$3,'[1]TrialBalance (YTD)'!$G$7:$Z$7,0)),0)</f>
        <v>0</v>
      </c>
      <c r="K459" s="5" t="e">
        <f>SUMIF('[1]TrialBalance (Quarter)'!$A:$A,B459,'[1]TrialBalance (Quarter)'!$B:$B)</f>
        <v>#VALUE!</v>
      </c>
      <c r="L459" s="5">
        <f>IFERROR(INDEX('[1]TrialBalance (Quarter)'!$A:$L,MATCH([1]TBMapping!$C461,'[1]TrialBalance (Quarter)'!A:A,0),MATCH([1]TBMapping!M$3,'[1]TrialBalance (Quarter)'!$7:$7,0)),0)</f>
        <v>0</v>
      </c>
      <c r="M459" s="5">
        <f>IFERROR(INDEX('[1]TrialBalance (Quarter)'!$A:$L,MATCH([1]TBMapping!$C461,'[1]TrialBalance (Quarter)'!A:A,0),MATCH([1]TBMapping!N$3,'[1]TrialBalance (Quarter)'!$7:$7,0)),0)</f>
        <v>0</v>
      </c>
      <c r="N459" s="5">
        <f>IFERROR(INDEX('[1]TrialBalance (Quarter)'!$A:$L,MATCH([1]TBMapping!$C461,'[1]TrialBalance (Quarter)'!A:A,0),MATCH([1]TBMapping!O$3,'[1]TrialBalance (Quarter)'!$7:$7,0)),0)</f>
        <v>0</v>
      </c>
    </row>
    <row r="460" spans="1:14">
      <c r="A460" s="2">
        <v>102</v>
      </c>
      <c r="B460" s="3">
        <v>151120</v>
      </c>
      <c r="C460" s="11" t="s">
        <v>421</v>
      </c>
      <c r="D460" s="11" t="s">
        <v>11</v>
      </c>
      <c r="E460" s="11"/>
      <c r="F460" s="5" t="e">
        <f>IF(DataExtraction="Manual",SUMIF('[1]TrialBalance (YTD)'!$C:$C,B460,'[1]TrialBalance (YTD)'!$E:$E),SUMIF('[1]TrialBalance (YTD)'!$G:$G,B460,'[1]TrialBalance (YTD)'!$I:$I))</f>
        <v>#VALUE!</v>
      </c>
      <c r="G460" s="5">
        <f>IFERROR(INDEX('[1]TrialBalance (YTD)'!$G:$S,MATCH([1]TBMapping!$C462,'[1]TrialBalance (YTD)'!G:G,0),MATCH([1]TBMapping!H$3,'[1]TrialBalance (YTD)'!$G$7:$Z$7,0)),0)</f>
        <v>0</v>
      </c>
      <c r="H460" s="5" t="e">
        <f>SUMIF('[1]TrialBalance (YTD)'!G:G,B460,'[1]TrialBalance (YTD)'!H:H)</f>
        <v>#VALUE!</v>
      </c>
      <c r="I460" s="5">
        <f>IFERROR(INDEX('[1]TrialBalance (YTD)'!$G:$S,MATCH([1]TBMapping!$C462,'[1]TrialBalance (YTD)'!G:G,0),MATCH([1]TBMapping!J$3,'[1]TrialBalance (YTD)'!$G$7:$Z$7,0)),0)</f>
        <v>0</v>
      </c>
      <c r="K460" s="5" t="e">
        <f>SUMIF('[1]TrialBalance (Quarter)'!$A:$A,B460,'[1]TrialBalance (Quarter)'!$B:$B)</f>
        <v>#VALUE!</v>
      </c>
      <c r="L460" s="5">
        <f>IFERROR(INDEX('[1]TrialBalance (Quarter)'!$A:$L,MATCH([1]TBMapping!$C462,'[1]TrialBalance (Quarter)'!A:A,0),MATCH([1]TBMapping!M$3,'[1]TrialBalance (Quarter)'!$7:$7,0)),0)</f>
        <v>0</v>
      </c>
      <c r="M460" s="5">
        <f>IFERROR(INDEX('[1]TrialBalance (Quarter)'!$A:$L,MATCH([1]TBMapping!$C462,'[1]TrialBalance (Quarter)'!A:A,0),MATCH([1]TBMapping!N$3,'[1]TrialBalance (Quarter)'!$7:$7,0)),0)</f>
        <v>0</v>
      </c>
      <c r="N460" s="5">
        <f>IFERROR(INDEX('[1]TrialBalance (Quarter)'!$A:$L,MATCH([1]TBMapping!$C462,'[1]TrialBalance (Quarter)'!A:A,0),MATCH([1]TBMapping!O$3,'[1]TrialBalance (Quarter)'!$7:$7,0)),0)</f>
        <v>0</v>
      </c>
    </row>
    <row r="461" spans="1:14">
      <c r="A461" s="2">
        <v>102</v>
      </c>
      <c r="B461" s="3">
        <v>151130</v>
      </c>
      <c r="C461" s="10" t="s">
        <v>422</v>
      </c>
      <c r="D461" s="10" t="s">
        <v>11</v>
      </c>
      <c r="E461" s="10"/>
      <c r="F461" s="5" t="e">
        <f>IF(DataExtraction="Manual",SUMIF('[1]TrialBalance (YTD)'!$C:$C,B461,'[1]TrialBalance (YTD)'!$E:$E),SUMIF('[1]TrialBalance (YTD)'!$G:$G,B461,'[1]TrialBalance (YTD)'!$I:$I))</f>
        <v>#VALUE!</v>
      </c>
      <c r="G461" s="5">
        <f>IFERROR(INDEX('[1]TrialBalance (YTD)'!$G:$S,MATCH([1]TBMapping!$C463,'[1]TrialBalance (YTD)'!G:G,0),MATCH([1]TBMapping!H$3,'[1]TrialBalance (YTD)'!$G$7:$Z$7,0)),0)</f>
        <v>0</v>
      </c>
      <c r="H461" s="5" t="e">
        <f>SUMIF('[1]TrialBalance (YTD)'!G:G,B461,'[1]TrialBalance (YTD)'!H:H)</f>
        <v>#VALUE!</v>
      </c>
      <c r="I461" s="5">
        <f>IFERROR(INDEX('[1]TrialBalance (YTD)'!$G:$S,MATCH([1]TBMapping!$C463,'[1]TrialBalance (YTD)'!G:G,0),MATCH([1]TBMapping!J$3,'[1]TrialBalance (YTD)'!$G$7:$Z$7,0)),0)</f>
        <v>0</v>
      </c>
      <c r="K461" s="5" t="e">
        <f>SUMIF('[1]TrialBalance (Quarter)'!$A:$A,B461,'[1]TrialBalance (Quarter)'!$B:$B)</f>
        <v>#VALUE!</v>
      </c>
      <c r="L461" s="5">
        <f>IFERROR(INDEX('[1]TrialBalance (Quarter)'!$A:$L,MATCH([1]TBMapping!$C463,'[1]TrialBalance (Quarter)'!A:A,0),MATCH([1]TBMapping!M$3,'[1]TrialBalance (Quarter)'!$7:$7,0)),0)</f>
        <v>0</v>
      </c>
      <c r="M461" s="5">
        <f>IFERROR(INDEX('[1]TrialBalance (Quarter)'!$A:$L,MATCH([1]TBMapping!$C463,'[1]TrialBalance (Quarter)'!A:A,0),MATCH([1]TBMapping!N$3,'[1]TrialBalance (Quarter)'!$7:$7,0)),0)</f>
        <v>0</v>
      </c>
      <c r="N461" s="5">
        <f>IFERROR(INDEX('[1]TrialBalance (Quarter)'!$A:$L,MATCH([1]TBMapping!$C463,'[1]TrialBalance (Quarter)'!A:A,0),MATCH([1]TBMapping!O$3,'[1]TrialBalance (Quarter)'!$7:$7,0)),0)</f>
        <v>0</v>
      </c>
    </row>
    <row r="462" spans="1:14">
      <c r="A462" s="2">
        <v>102</v>
      </c>
      <c r="B462" s="3">
        <v>151140</v>
      </c>
      <c r="C462" s="11" t="s">
        <v>423</v>
      </c>
      <c r="D462" s="11" t="s">
        <v>11</v>
      </c>
      <c r="E462" s="11"/>
      <c r="F462" s="5" t="e">
        <f>IF(DataExtraction="Manual",SUMIF('[1]TrialBalance (YTD)'!$C:$C,B462,'[1]TrialBalance (YTD)'!$E:$E),SUMIF('[1]TrialBalance (YTD)'!$G:$G,B462,'[1]TrialBalance (YTD)'!$I:$I))</f>
        <v>#VALUE!</v>
      </c>
      <c r="G462" s="5">
        <f>IFERROR(INDEX('[1]TrialBalance (YTD)'!$G:$S,MATCH([1]TBMapping!$C464,'[1]TrialBalance (YTD)'!G:G,0),MATCH([1]TBMapping!H$3,'[1]TrialBalance (YTD)'!$G$7:$Z$7,0)),0)</f>
        <v>0</v>
      </c>
      <c r="H462" s="5" t="e">
        <f>SUMIF('[1]TrialBalance (YTD)'!G:G,B462,'[1]TrialBalance (YTD)'!H:H)</f>
        <v>#VALUE!</v>
      </c>
      <c r="I462" s="5">
        <f>IFERROR(INDEX('[1]TrialBalance (YTD)'!$G:$S,MATCH([1]TBMapping!$C464,'[1]TrialBalance (YTD)'!G:G,0),MATCH([1]TBMapping!J$3,'[1]TrialBalance (YTD)'!$G$7:$Z$7,0)),0)</f>
        <v>0</v>
      </c>
      <c r="K462" s="5" t="e">
        <f>SUMIF('[1]TrialBalance (Quarter)'!$A:$A,B462,'[1]TrialBalance (Quarter)'!$B:$B)</f>
        <v>#VALUE!</v>
      </c>
      <c r="L462" s="5">
        <f>IFERROR(INDEX('[1]TrialBalance (Quarter)'!$A:$L,MATCH([1]TBMapping!$C464,'[1]TrialBalance (Quarter)'!A:A,0),MATCH([1]TBMapping!M$3,'[1]TrialBalance (Quarter)'!$7:$7,0)),0)</f>
        <v>0</v>
      </c>
      <c r="M462" s="5">
        <f>IFERROR(INDEX('[1]TrialBalance (Quarter)'!$A:$L,MATCH([1]TBMapping!$C464,'[1]TrialBalance (Quarter)'!A:A,0),MATCH([1]TBMapping!N$3,'[1]TrialBalance (Quarter)'!$7:$7,0)),0)</f>
        <v>0</v>
      </c>
      <c r="N462" s="5">
        <f>IFERROR(INDEX('[1]TrialBalance (Quarter)'!$A:$L,MATCH([1]TBMapping!$C464,'[1]TrialBalance (Quarter)'!A:A,0),MATCH([1]TBMapping!O$3,'[1]TrialBalance (Quarter)'!$7:$7,0)),0)</f>
        <v>0</v>
      </c>
    </row>
    <row r="463" spans="1:14">
      <c r="B463" s="3">
        <v>151999</v>
      </c>
      <c r="C463" s="10" t="s">
        <v>424</v>
      </c>
      <c r="D463" s="10" t="s">
        <v>16</v>
      </c>
      <c r="E463" s="10"/>
      <c r="F463" s="5" t="e">
        <f>IF(DataExtraction="Manual",SUMIF('[1]TrialBalance (YTD)'!$C:$C,B463,'[1]TrialBalance (YTD)'!$E:$E),SUMIF('[1]TrialBalance (YTD)'!$G:$G,B463,'[1]TrialBalance (YTD)'!$I:$I))</f>
        <v>#VALUE!</v>
      </c>
      <c r="G463" s="5">
        <f>IFERROR(INDEX('[1]TrialBalance (YTD)'!$G:$S,MATCH([1]TBMapping!$C465,'[1]TrialBalance (YTD)'!G:G,0),MATCH([1]TBMapping!H$3,'[1]TrialBalance (YTD)'!$G$7:$Z$7,0)),0)</f>
        <v>0</v>
      </c>
      <c r="H463" s="5" t="e">
        <f>SUMIF('[1]TrialBalance (YTD)'!G:G,B463,'[1]TrialBalance (YTD)'!H:H)</f>
        <v>#VALUE!</v>
      </c>
      <c r="I463" s="5">
        <f>IFERROR(INDEX('[1]TrialBalance (YTD)'!$G:$S,MATCH([1]TBMapping!$C465,'[1]TrialBalance (YTD)'!G:G,0),MATCH([1]TBMapping!J$3,'[1]TrialBalance (YTD)'!$G$7:$Z$7,0)),0)</f>
        <v>0</v>
      </c>
      <c r="K463" s="5" t="e">
        <f>SUMIF('[1]TrialBalance (Quarter)'!$A:$A,B463,'[1]TrialBalance (Quarter)'!$B:$B)</f>
        <v>#VALUE!</v>
      </c>
      <c r="L463" s="5">
        <f>IFERROR(INDEX('[1]TrialBalance (Quarter)'!$A:$L,MATCH([1]TBMapping!$C465,'[1]TrialBalance (Quarter)'!A:A,0),MATCH([1]TBMapping!M$3,'[1]TrialBalance (Quarter)'!$7:$7,0)),0)</f>
        <v>0</v>
      </c>
      <c r="M463" s="5">
        <f>IFERROR(INDEX('[1]TrialBalance (Quarter)'!$A:$L,MATCH([1]TBMapping!$C465,'[1]TrialBalance (Quarter)'!A:A,0),MATCH([1]TBMapping!N$3,'[1]TrialBalance (Quarter)'!$7:$7,0)),0)</f>
        <v>0</v>
      </c>
      <c r="N463" s="5">
        <f>IFERROR(INDEX('[1]TrialBalance (Quarter)'!$A:$L,MATCH([1]TBMapping!$C465,'[1]TrialBalance (Quarter)'!A:A,0),MATCH([1]TBMapping!O$3,'[1]TrialBalance (Quarter)'!$7:$7,0)),0)</f>
        <v>0</v>
      </c>
    </row>
    <row r="464" spans="1:14">
      <c r="B464" s="3">
        <v>152000</v>
      </c>
      <c r="C464" s="11" t="s">
        <v>425</v>
      </c>
      <c r="D464" s="11" t="s">
        <v>5</v>
      </c>
      <c r="E464" s="11"/>
      <c r="F464" s="5" t="e">
        <f>IF(DataExtraction="Manual",SUMIF('[1]TrialBalance (YTD)'!$C:$C,B464,'[1]TrialBalance (YTD)'!$E:$E),SUMIF('[1]TrialBalance (YTD)'!$G:$G,B464,'[1]TrialBalance (YTD)'!$I:$I))</f>
        <v>#VALUE!</v>
      </c>
      <c r="G464" s="5">
        <f>IFERROR(INDEX('[1]TrialBalance (YTD)'!$G:$S,MATCH([1]TBMapping!$C466,'[1]TrialBalance (YTD)'!G:G,0),MATCH([1]TBMapping!H$3,'[1]TrialBalance (YTD)'!$G$7:$Z$7,0)),0)</f>
        <v>0</v>
      </c>
      <c r="H464" s="5" t="e">
        <f>SUMIF('[1]TrialBalance (YTD)'!G:G,B464,'[1]TrialBalance (YTD)'!H:H)</f>
        <v>#VALUE!</v>
      </c>
      <c r="I464" s="5">
        <f>IFERROR(INDEX('[1]TrialBalance (YTD)'!$G:$S,MATCH([1]TBMapping!$C466,'[1]TrialBalance (YTD)'!G:G,0),MATCH([1]TBMapping!J$3,'[1]TrialBalance (YTD)'!$G$7:$Z$7,0)),0)</f>
        <v>0</v>
      </c>
      <c r="K464" s="5" t="e">
        <f>SUMIF('[1]TrialBalance (Quarter)'!$A:$A,B464,'[1]TrialBalance (Quarter)'!$B:$B)</f>
        <v>#VALUE!</v>
      </c>
      <c r="L464" s="5">
        <f>IFERROR(INDEX('[1]TrialBalance (Quarter)'!$A:$L,MATCH([1]TBMapping!$C466,'[1]TrialBalance (Quarter)'!A:A,0),MATCH([1]TBMapping!M$3,'[1]TrialBalance (Quarter)'!$7:$7,0)),0)</f>
        <v>0</v>
      </c>
      <c r="M464" s="5">
        <f>IFERROR(INDEX('[1]TrialBalance (Quarter)'!$A:$L,MATCH([1]TBMapping!$C466,'[1]TrialBalance (Quarter)'!A:A,0),MATCH([1]TBMapping!N$3,'[1]TrialBalance (Quarter)'!$7:$7,0)),0)</f>
        <v>0</v>
      </c>
      <c r="N464" s="5">
        <f>IFERROR(INDEX('[1]TrialBalance (Quarter)'!$A:$L,MATCH([1]TBMapping!$C466,'[1]TrialBalance (Quarter)'!A:A,0),MATCH([1]TBMapping!O$3,'[1]TrialBalance (Quarter)'!$7:$7,0)),0)</f>
        <v>0</v>
      </c>
    </row>
    <row r="465" spans="1:14">
      <c r="A465" s="2">
        <v>103</v>
      </c>
      <c r="B465" s="3">
        <v>152110</v>
      </c>
      <c r="C465" s="10" t="s">
        <v>426</v>
      </c>
      <c r="D465" s="10" t="s">
        <v>11</v>
      </c>
      <c r="E465" s="10"/>
      <c r="F465" s="5" t="e">
        <f>IF(DataExtraction="Manual",SUMIF('[1]TrialBalance (YTD)'!$C:$C,B465,'[1]TrialBalance (YTD)'!$E:$E),SUMIF('[1]TrialBalance (YTD)'!$G:$G,B465,'[1]TrialBalance (YTD)'!$I:$I))</f>
        <v>#VALUE!</v>
      </c>
      <c r="G465" s="5">
        <f>IFERROR(INDEX('[1]TrialBalance (YTD)'!$G:$S,MATCH([1]TBMapping!$C467,'[1]TrialBalance (YTD)'!G:G,0),MATCH([1]TBMapping!H$3,'[1]TrialBalance (YTD)'!$G$7:$Z$7,0)),0)</f>
        <v>0</v>
      </c>
      <c r="H465" s="5" t="e">
        <f>SUMIF('[1]TrialBalance (YTD)'!G:G,B465,'[1]TrialBalance (YTD)'!H:H)</f>
        <v>#VALUE!</v>
      </c>
      <c r="I465" s="5">
        <f>IFERROR(INDEX('[1]TrialBalance (YTD)'!$G:$S,MATCH([1]TBMapping!$C467,'[1]TrialBalance (YTD)'!G:G,0),MATCH([1]TBMapping!J$3,'[1]TrialBalance (YTD)'!$G$7:$Z$7,0)),0)</f>
        <v>0</v>
      </c>
      <c r="K465" s="5" t="e">
        <f>SUMIF('[1]TrialBalance (Quarter)'!$A:$A,B465,'[1]TrialBalance (Quarter)'!$B:$B)</f>
        <v>#VALUE!</v>
      </c>
      <c r="L465" s="5">
        <f>IFERROR(INDEX('[1]TrialBalance (Quarter)'!$A:$L,MATCH([1]TBMapping!$C467,'[1]TrialBalance (Quarter)'!A:A,0),MATCH([1]TBMapping!M$3,'[1]TrialBalance (Quarter)'!$7:$7,0)),0)</f>
        <v>0</v>
      </c>
      <c r="M465" s="5">
        <f>IFERROR(INDEX('[1]TrialBalance (Quarter)'!$A:$L,MATCH([1]TBMapping!$C467,'[1]TrialBalance (Quarter)'!A:A,0),MATCH([1]TBMapping!N$3,'[1]TrialBalance (Quarter)'!$7:$7,0)),0)</f>
        <v>0</v>
      </c>
      <c r="N465" s="5">
        <f>IFERROR(INDEX('[1]TrialBalance (Quarter)'!$A:$L,MATCH([1]TBMapping!$C467,'[1]TrialBalance (Quarter)'!A:A,0),MATCH([1]TBMapping!O$3,'[1]TrialBalance (Quarter)'!$7:$7,0)),0)</f>
        <v>0</v>
      </c>
    </row>
    <row r="466" spans="1:14">
      <c r="A466" s="2">
        <v>103</v>
      </c>
      <c r="B466" s="3">
        <v>152120</v>
      </c>
      <c r="C466" s="11" t="s">
        <v>427</v>
      </c>
      <c r="D466" s="11" t="s">
        <v>11</v>
      </c>
      <c r="E466" s="11"/>
      <c r="F466" s="5" t="e">
        <f>IF(DataExtraction="Manual",SUMIF('[1]TrialBalance (YTD)'!$C:$C,B466,'[1]TrialBalance (YTD)'!$E:$E),SUMIF('[1]TrialBalance (YTD)'!$G:$G,B466,'[1]TrialBalance (YTD)'!$I:$I))</f>
        <v>#VALUE!</v>
      </c>
      <c r="G466" s="5">
        <f>IFERROR(INDEX('[1]TrialBalance (YTD)'!$G:$S,MATCH([1]TBMapping!$C468,'[1]TrialBalance (YTD)'!G:G,0),MATCH([1]TBMapping!H$3,'[1]TrialBalance (YTD)'!$G$7:$Z$7,0)),0)</f>
        <v>0</v>
      </c>
      <c r="H466" s="5" t="e">
        <f>SUMIF('[1]TrialBalance (YTD)'!G:G,B466,'[1]TrialBalance (YTD)'!H:H)</f>
        <v>#VALUE!</v>
      </c>
      <c r="I466" s="5">
        <f>IFERROR(INDEX('[1]TrialBalance (YTD)'!$G:$S,MATCH([1]TBMapping!$C468,'[1]TrialBalance (YTD)'!G:G,0),MATCH([1]TBMapping!J$3,'[1]TrialBalance (YTD)'!$G$7:$Z$7,0)),0)</f>
        <v>0</v>
      </c>
      <c r="K466" s="5" t="e">
        <f>SUMIF('[1]TrialBalance (Quarter)'!$A:$A,B466,'[1]TrialBalance (Quarter)'!$B:$B)</f>
        <v>#VALUE!</v>
      </c>
      <c r="L466" s="5">
        <f>IFERROR(INDEX('[1]TrialBalance (Quarter)'!$A:$L,MATCH([1]TBMapping!$C468,'[1]TrialBalance (Quarter)'!A:A,0),MATCH([1]TBMapping!M$3,'[1]TrialBalance (Quarter)'!$7:$7,0)),0)</f>
        <v>0</v>
      </c>
      <c r="M466" s="5">
        <f>IFERROR(INDEX('[1]TrialBalance (Quarter)'!$A:$L,MATCH([1]TBMapping!$C468,'[1]TrialBalance (Quarter)'!A:A,0),MATCH([1]TBMapping!N$3,'[1]TrialBalance (Quarter)'!$7:$7,0)),0)</f>
        <v>0</v>
      </c>
      <c r="N466" s="5">
        <f>IFERROR(INDEX('[1]TrialBalance (Quarter)'!$A:$L,MATCH([1]TBMapping!$C468,'[1]TrialBalance (Quarter)'!A:A,0),MATCH([1]TBMapping!O$3,'[1]TrialBalance (Quarter)'!$7:$7,0)),0)</f>
        <v>0</v>
      </c>
    </row>
    <row r="467" spans="1:14">
      <c r="B467" s="3">
        <v>152999</v>
      </c>
      <c r="C467" s="10" t="s">
        <v>425</v>
      </c>
      <c r="D467" s="10" t="s">
        <v>16</v>
      </c>
      <c r="E467" s="10"/>
      <c r="F467" s="5" t="e">
        <f>IF(DataExtraction="Manual",SUMIF('[1]TrialBalance (YTD)'!$C:$C,B467,'[1]TrialBalance (YTD)'!$E:$E),SUMIF('[1]TrialBalance (YTD)'!$G:$G,B467,'[1]TrialBalance (YTD)'!$I:$I))</f>
        <v>#VALUE!</v>
      </c>
      <c r="G467" s="5">
        <f>IFERROR(INDEX('[1]TrialBalance (YTD)'!$G:$S,MATCH([1]TBMapping!$C469,'[1]TrialBalance (YTD)'!G:G,0),MATCH([1]TBMapping!H$3,'[1]TrialBalance (YTD)'!$G$7:$Z$7,0)),0)</f>
        <v>0</v>
      </c>
      <c r="H467" s="5" t="e">
        <f>SUMIF('[1]TrialBalance (YTD)'!G:G,B467,'[1]TrialBalance (YTD)'!H:H)</f>
        <v>#VALUE!</v>
      </c>
      <c r="I467" s="5">
        <f>IFERROR(INDEX('[1]TrialBalance (YTD)'!$G:$S,MATCH([1]TBMapping!$C469,'[1]TrialBalance (YTD)'!G:G,0),MATCH([1]TBMapping!J$3,'[1]TrialBalance (YTD)'!$G$7:$Z$7,0)),0)</f>
        <v>0</v>
      </c>
      <c r="K467" s="5" t="e">
        <f>SUMIF('[1]TrialBalance (Quarter)'!$A:$A,B467,'[1]TrialBalance (Quarter)'!$B:$B)</f>
        <v>#VALUE!</v>
      </c>
      <c r="L467" s="5">
        <f>IFERROR(INDEX('[1]TrialBalance (Quarter)'!$A:$L,MATCH([1]TBMapping!$C469,'[1]TrialBalance (Quarter)'!A:A,0),MATCH([1]TBMapping!M$3,'[1]TrialBalance (Quarter)'!$7:$7,0)),0)</f>
        <v>0</v>
      </c>
      <c r="M467" s="5">
        <f>IFERROR(INDEX('[1]TrialBalance (Quarter)'!$A:$L,MATCH([1]TBMapping!$C469,'[1]TrialBalance (Quarter)'!A:A,0),MATCH([1]TBMapping!N$3,'[1]TrialBalance (Quarter)'!$7:$7,0)),0)</f>
        <v>0</v>
      </c>
      <c r="N467" s="5">
        <f>IFERROR(INDEX('[1]TrialBalance (Quarter)'!$A:$L,MATCH([1]TBMapping!$C469,'[1]TrialBalance (Quarter)'!A:A,0),MATCH([1]TBMapping!O$3,'[1]TrialBalance (Quarter)'!$7:$7,0)),0)</f>
        <v>0</v>
      </c>
    </row>
    <row r="468" spans="1:14">
      <c r="B468" s="3">
        <v>153000</v>
      </c>
      <c r="C468" s="11" t="s">
        <v>428</v>
      </c>
      <c r="D468" s="11" t="s">
        <v>5</v>
      </c>
      <c r="E468" s="11"/>
      <c r="F468" s="5" t="e">
        <f>IF(DataExtraction="Manual",SUMIF('[1]TrialBalance (YTD)'!$C:$C,B468,'[1]TrialBalance (YTD)'!$E:$E),SUMIF('[1]TrialBalance (YTD)'!$G:$G,B468,'[1]TrialBalance (YTD)'!$I:$I))</f>
        <v>#VALUE!</v>
      </c>
      <c r="G468" s="5">
        <f>IFERROR(INDEX('[1]TrialBalance (YTD)'!$G:$S,MATCH([1]TBMapping!$C470,'[1]TrialBalance (YTD)'!G:G,0),MATCH([1]TBMapping!H$3,'[1]TrialBalance (YTD)'!$G$7:$Z$7,0)),0)</f>
        <v>0</v>
      </c>
      <c r="H468" s="5" t="e">
        <f>SUMIF('[1]TrialBalance (YTD)'!G:G,B468,'[1]TrialBalance (YTD)'!H:H)</f>
        <v>#VALUE!</v>
      </c>
      <c r="I468" s="5">
        <f>IFERROR(INDEX('[1]TrialBalance (YTD)'!$G:$S,MATCH([1]TBMapping!$C470,'[1]TrialBalance (YTD)'!G:G,0),MATCH([1]TBMapping!J$3,'[1]TrialBalance (YTD)'!$G$7:$Z$7,0)),0)</f>
        <v>0</v>
      </c>
      <c r="K468" s="5" t="e">
        <f>SUMIF('[1]TrialBalance (Quarter)'!$A:$A,B468,'[1]TrialBalance (Quarter)'!$B:$B)</f>
        <v>#VALUE!</v>
      </c>
      <c r="L468" s="5">
        <f>IFERROR(INDEX('[1]TrialBalance (Quarter)'!$A:$L,MATCH([1]TBMapping!$C470,'[1]TrialBalance (Quarter)'!A:A,0),MATCH([1]TBMapping!M$3,'[1]TrialBalance (Quarter)'!$7:$7,0)),0)</f>
        <v>0</v>
      </c>
      <c r="M468" s="5">
        <f>IFERROR(INDEX('[1]TrialBalance (Quarter)'!$A:$L,MATCH([1]TBMapping!$C470,'[1]TrialBalance (Quarter)'!A:A,0),MATCH([1]TBMapping!N$3,'[1]TrialBalance (Quarter)'!$7:$7,0)),0)</f>
        <v>0</v>
      </c>
      <c r="N468" s="5">
        <f>IFERROR(INDEX('[1]TrialBalance (Quarter)'!$A:$L,MATCH([1]TBMapping!$C470,'[1]TrialBalance (Quarter)'!A:A,0),MATCH([1]TBMapping!O$3,'[1]TrialBalance (Quarter)'!$7:$7,0)),0)</f>
        <v>0</v>
      </c>
    </row>
    <row r="469" spans="1:14">
      <c r="B469" s="3">
        <v>153100</v>
      </c>
      <c r="C469" s="10" t="s">
        <v>429</v>
      </c>
      <c r="D469" s="10" t="s">
        <v>5</v>
      </c>
      <c r="E469" s="10"/>
      <c r="F469" s="5" t="e">
        <f>IF(DataExtraction="Manual",SUMIF('[1]TrialBalance (YTD)'!$C:$C,B469,'[1]TrialBalance (YTD)'!$E:$E),SUMIF('[1]TrialBalance (YTD)'!$G:$G,B469,'[1]TrialBalance (YTD)'!$I:$I))</f>
        <v>#VALUE!</v>
      </c>
      <c r="G469" s="5">
        <f>IFERROR(INDEX('[1]TrialBalance (YTD)'!$G:$S,MATCH([1]TBMapping!$C471,'[1]TrialBalance (YTD)'!G:G,0),MATCH([1]TBMapping!H$3,'[1]TrialBalance (YTD)'!$G$7:$Z$7,0)),0)</f>
        <v>0</v>
      </c>
      <c r="H469" s="5" t="e">
        <f>SUMIF('[1]TrialBalance (YTD)'!G:G,B469,'[1]TrialBalance (YTD)'!H:H)</f>
        <v>#VALUE!</v>
      </c>
      <c r="I469" s="5">
        <f>IFERROR(INDEX('[1]TrialBalance (YTD)'!$G:$S,MATCH([1]TBMapping!$C471,'[1]TrialBalance (YTD)'!G:G,0),MATCH([1]TBMapping!J$3,'[1]TrialBalance (YTD)'!$G$7:$Z$7,0)),0)</f>
        <v>0</v>
      </c>
      <c r="K469" s="5" t="e">
        <f>SUMIF('[1]TrialBalance (Quarter)'!$A:$A,B469,'[1]TrialBalance (Quarter)'!$B:$B)</f>
        <v>#VALUE!</v>
      </c>
      <c r="L469" s="5">
        <f>IFERROR(INDEX('[1]TrialBalance (Quarter)'!$A:$L,MATCH([1]TBMapping!$C471,'[1]TrialBalance (Quarter)'!A:A,0),MATCH([1]TBMapping!M$3,'[1]TrialBalance (Quarter)'!$7:$7,0)),0)</f>
        <v>0</v>
      </c>
      <c r="M469" s="5">
        <f>IFERROR(INDEX('[1]TrialBalance (Quarter)'!$A:$L,MATCH([1]TBMapping!$C471,'[1]TrialBalance (Quarter)'!A:A,0),MATCH([1]TBMapping!N$3,'[1]TrialBalance (Quarter)'!$7:$7,0)),0)</f>
        <v>0</v>
      </c>
      <c r="N469" s="5">
        <f>IFERROR(INDEX('[1]TrialBalance (Quarter)'!$A:$L,MATCH([1]TBMapping!$C471,'[1]TrialBalance (Quarter)'!A:A,0),MATCH([1]TBMapping!O$3,'[1]TrialBalance (Quarter)'!$7:$7,0)),0)</f>
        <v>0</v>
      </c>
    </row>
    <row r="470" spans="1:14">
      <c r="A470" s="2">
        <v>109</v>
      </c>
      <c r="B470" s="3">
        <v>153110</v>
      </c>
      <c r="C470" s="11" t="s">
        <v>430</v>
      </c>
      <c r="D470" s="11" t="s">
        <v>11</v>
      </c>
      <c r="E470" s="11"/>
      <c r="F470" s="5" t="e">
        <f>IF(DataExtraction="Manual",SUMIF('[1]TrialBalance (YTD)'!$C:$C,B470,'[1]TrialBalance (YTD)'!$E:$E),SUMIF('[1]TrialBalance (YTD)'!$G:$G,B470,'[1]TrialBalance (YTD)'!$I:$I))</f>
        <v>#VALUE!</v>
      </c>
      <c r="G470" s="5">
        <f>IFERROR(INDEX('[1]TrialBalance (YTD)'!$G:$S,MATCH([1]TBMapping!$C472,'[1]TrialBalance (YTD)'!G:G,0),MATCH([1]TBMapping!H$3,'[1]TrialBalance (YTD)'!$G$7:$Z$7,0)),0)</f>
        <v>0</v>
      </c>
      <c r="H470" s="5" t="e">
        <f>SUMIF('[1]TrialBalance (YTD)'!G:G,B470,'[1]TrialBalance (YTD)'!H:H)</f>
        <v>#VALUE!</v>
      </c>
      <c r="I470" s="5">
        <f>IFERROR(INDEX('[1]TrialBalance (YTD)'!$G:$S,MATCH([1]TBMapping!$C472,'[1]TrialBalance (YTD)'!G:G,0),MATCH([1]TBMapping!J$3,'[1]TrialBalance (YTD)'!$G$7:$Z$7,0)),0)</f>
        <v>-2960.58</v>
      </c>
      <c r="K470" s="5" t="e">
        <f>SUMIF('[1]TrialBalance (Quarter)'!$A:$A,B470,'[1]TrialBalance (Quarter)'!$B:$B)</f>
        <v>#VALUE!</v>
      </c>
      <c r="L470" s="5">
        <f>IFERROR(INDEX('[1]TrialBalance (Quarter)'!$A:$L,MATCH([1]TBMapping!$C472,'[1]TrialBalance (Quarter)'!A:A,0),MATCH([1]TBMapping!M$3,'[1]TrialBalance (Quarter)'!$7:$7,0)),0)</f>
        <v>0</v>
      </c>
      <c r="M470" s="5">
        <f>IFERROR(INDEX('[1]TrialBalance (Quarter)'!$A:$L,MATCH([1]TBMapping!$C472,'[1]TrialBalance (Quarter)'!A:A,0),MATCH([1]TBMapping!N$3,'[1]TrialBalance (Quarter)'!$7:$7,0)),0)</f>
        <v>-343.32</v>
      </c>
      <c r="N470" s="5">
        <f>IFERROR(INDEX('[1]TrialBalance (Quarter)'!$A:$L,MATCH([1]TBMapping!$C472,'[1]TrialBalance (Quarter)'!A:A,0),MATCH([1]TBMapping!O$3,'[1]TrialBalance (Quarter)'!$7:$7,0)),0)</f>
        <v>-388.27</v>
      </c>
    </row>
    <row r="471" spans="1:14">
      <c r="A471" s="2">
        <v>109</v>
      </c>
      <c r="B471" s="3">
        <v>153120</v>
      </c>
      <c r="C471" s="10" t="s">
        <v>431</v>
      </c>
      <c r="D471" s="10" t="s">
        <v>11</v>
      </c>
      <c r="E471" s="10"/>
      <c r="F471" s="5" t="e">
        <f>IF(DataExtraction="Manual",SUMIF('[1]TrialBalance (YTD)'!$C:$C,B471,'[1]TrialBalance (YTD)'!$E:$E),SUMIF('[1]TrialBalance (YTD)'!$G:$G,B471,'[1]TrialBalance (YTD)'!$I:$I))</f>
        <v>#VALUE!</v>
      </c>
      <c r="G471" s="5">
        <f>IFERROR(INDEX('[1]TrialBalance (YTD)'!$G:$S,MATCH([1]TBMapping!$C473,'[1]TrialBalance (YTD)'!G:G,0),MATCH([1]TBMapping!H$3,'[1]TrialBalance (YTD)'!$G$7:$Z$7,0)),0)</f>
        <v>0</v>
      </c>
      <c r="H471" s="5" t="e">
        <f>SUMIF('[1]TrialBalance (YTD)'!G:G,B471,'[1]TrialBalance (YTD)'!H:H)</f>
        <v>#VALUE!</v>
      </c>
      <c r="I471" s="5">
        <f>IFERROR(INDEX('[1]TrialBalance (YTD)'!$G:$S,MATCH([1]TBMapping!$C473,'[1]TrialBalance (YTD)'!G:G,0),MATCH([1]TBMapping!J$3,'[1]TrialBalance (YTD)'!$G$7:$Z$7,0)),0)</f>
        <v>0</v>
      </c>
      <c r="K471" s="5" t="e">
        <f>SUMIF('[1]TrialBalance (Quarter)'!$A:$A,B471,'[1]TrialBalance (Quarter)'!$B:$B)</f>
        <v>#VALUE!</v>
      </c>
      <c r="L471" s="5">
        <f>IFERROR(INDEX('[1]TrialBalance (Quarter)'!$A:$L,MATCH([1]TBMapping!$C473,'[1]TrialBalance (Quarter)'!A:A,0),MATCH([1]TBMapping!M$3,'[1]TrialBalance (Quarter)'!$7:$7,0)),0)</f>
        <v>0</v>
      </c>
      <c r="M471" s="5">
        <f>IFERROR(INDEX('[1]TrialBalance (Quarter)'!$A:$L,MATCH([1]TBMapping!$C473,'[1]TrialBalance (Quarter)'!A:A,0),MATCH([1]TBMapping!N$3,'[1]TrialBalance (Quarter)'!$7:$7,0)),0)</f>
        <v>0</v>
      </c>
      <c r="N471" s="5">
        <f>IFERROR(INDEX('[1]TrialBalance (Quarter)'!$A:$L,MATCH([1]TBMapping!$C473,'[1]TrialBalance (Quarter)'!A:A,0),MATCH([1]TBMapping!O$3,'[1]TrialBalance (Quarter)'!$7:$7,0)),0)</f>
        <v>0</v>
      </c>
    </row>
    <row r="472" spans="1:14">
      <c r="A472" s="2">
        <v>109</v>
      </c>
      <c r="B472" s="3">
        <v>153121</v>
      </c>
      <c r="C472" s="11" t="s">
        <v>432</v>
      </c>
      <c r="D472" s="11" t="s">
        <v>11</v>
      </c>
      <c r="E472" s="11"/>
      <c r="F472" s="5" t="e">
        <f>IF(DataExtraction="Manual",SUMIF('[1]TrialBalance (YTD)'!$C:$C,B472,'[1]TrialBalance (YTD)'!$E:$E),SUMIF('[1]TrialBalance (YTD)'!$G:$G,B472,'[1]TrialBalance (YTD)'!$I:$I))</f>
        <v>#VALUE!</v>
      </c>
      <c r="G472" s="5">
        <f>IFERROR(INDEX('[1]TrialBalance (YTD)'!$G:$S,MATCH([1]TBMapping!$C474,'[1]TrialBalance (YTD)'!G:G,0),MATCH([1]TBMapping!H$3,'[1]TrialBalance (YTD)'!$G$7:$Z$7,0)),0)</f>
        <v>0</v>
      </c>
      <c r="H472" s="5" t="e">
        <f>SUMIF('[1]TrialBalance (YTD)'!G:G,B472,'[1]TrialBalance (YTD)'!H:H)</f>
        <v>#VALUE!</v>
      </c>
      <c r="I472" s="5">
        <f>IFERROR(INDEX('[1]TrialBalance (YTD)'!$G:$S,MATCH([1]TBMapping!$C474,'[1]TrialBalance (YTD)'!G:G,0),MATCH([1]TBMapping!J$3,'[1]TrialBalance (YTD)'!$G$7:$Z$7,0)),0)</f>
        <v>0</v>
      </c>
      <c r="K472" s="5" t="e">
        <f>SUMIF('[1]TrialBalance (Quarter)'!$A:$A,B472,'[1]TrialBalance (Quarter)'!$B:$B)</f>
        <v>#VALUE!</v>
      </c>
      <c r="L472" s="5">
        <f>IFERROR(INDEX('[1]TrialBalance (Quarter)'!$A:$L,MATCH([1]TBMapping!$C474,'[1]TrialBalance (Quarter)'!A:A,0),MATCH([1]TBMapping!M$3,'[1]TrialBalance (Quarter)'!$7:$7,0)),0)</f>
        <v>0</v>
      </c>
      <c r="M472" s="5">
        <f>IFERROR(INDEX('[1]TrialBalance (Quarter)'!$A:$L,MATCH([1]TBMapping!$C474,'[1]TrialBalance (Quarter)'!A:A,0),MATCH([1]TBMapping!N$3,'[1]TrialBalance (Quarter)'!$7:$7,0)),0)</f>
        <v>0</v>
      </c>
      <c r="N472" s="5">
        <f>IFERROR(INDEX('[1]TrialBalance (Quarter)'!$A:$L,MATCH([1]TBMapping!$C474,'[1]TrialBalance (Quarter)'!A:A,0),MATCH([1]TBMapping!O$3,'[1]TrialBalance (Quarter)'!$7:$7,0)),0)</f>
        <v>0</v>
      </c>
    </row>
    <row r="473" spans="1:14">
      <c r="A473" s="2">
        <v>109</v>
      </c>
      <c r="B473" s="3">
        <v>153130</v>
      </c>
      <c r="C473" s="10" t="s">
        <v>433</v>
      </c>
      <c r="D473" s="10" t="s">
        <v>11</v>
      </c>
      <c r="E473" s="10"/>
      <c r="F473" s="5" t="e">
        <f>IF(DataExtraction="Manual",SUMIF('[1]TrialBalance (YTD)'!$C:$C,B473,'[1]TrialBalance (YTD)'!$E:$E),SUMIF('[1]TrialBalance (YTD)'!$G:$G,B473,'[1]TrialBalance (YTD)'!$I:$I))</f>
        <v>#VALUE!</v>
      </c>
      <c r="G473" s="5">
        <f>IFERROR(INDEX('[1]TrialBalance (YTD)'!$G:$S,MATCH([1]TBMapping!$C475,'[1]TrialBalance (YTD)'!G:G,0),MATCH([1]TBMapping!H$3,'[1]TrialBalance (YTD)'!$G$7:$Z$7,0)),0)</f>
        <v>0</v>
      </c>
      <c r="H473" s="5" t="e">
        <f>SUMIF('[1]TrialBalance (YTD)'!G:G,B473,'[1]TrialBalance (YTD)'!H:H)</f>
        <v>#VALUE!</v>
      </c>
      <c r="I473" s="5">
        <f>IFERROR(INDEX('[1]TrialBalance (YTD)'!$G:$S,MATCH([1]TBMapping!$C475,'[1]TrialBalance (YTD)'!G:G,0),MATCH([1]TBMapping!J$3,'[1]TrialBalance (YTD)'!$G$7:$Z$7,0)),0)</f>
        <v>0</v>
      </c>
      <c r="K473" s="5" t="e">
        <f>SUMIF('[1]TrialBalance (Quarter)'!$A:$A,B473,'[1]TrialBalance (Quarter)'!$B:$B)</f>
        <v>#VALUE!</v>
      </c>
      <c r="L473" s="5">
        <f>IFERROR(INDEX('[1]TrialBalance (Quarter)'!$A:$L,MATCH([1]TBMapping!$C475,'[1]TrialBalance (Quarter)'!A:A,0),MATCH([1]TBMapping!M$3,'[1]TrialBalance (Quarter)'!$7:$7,0)),0)</f>
        <v>0</v>
      </c>
      <c r="M473" s="5">
        <f>IFERROR(INDEX('[1]TrialBalance (Quarter)'!$A:$L,MATCH([1]TBMapping!$C475,'[1]TrialBalance (Quarter)'!A:A,0),MATCH([1]TBMapping!N$3,'[1]TrialBalance (Quarter)'!$7:$7,0)),0)</f>
        <v>0</v>
      </c>
      <c r="N473" s="5">
        <f>IFERROR(INDEX('[1]TrialBalance (Quarter)'!$A:$L,MATCH([1]TBMapping!$C475,'[1]TrialBalance (Quarter)'!A:A,0),MATCH([1]TBMapping!O$3,'[1]TrialBalance (Quarter)'!$7:$7,0)),0)</f>
        <v>0</v>
      </c>
    </row>
    <row r="474" spans="1:14">
      <c r="A474" s="2">
        <v>109</v>
      </c>
      <c r="B474" s="3">
        <v>153140</v>
      </c>
      <c r="C474" s="11" t="s">
        <v>434</v>
      </c>
      <c r="D474" s="11" t="s">
        <v>11</v>
      </c>
      <c r="E474" s="11"/>
      <c r="F474" s="5" t="e">
        <f>IF(DataExtraction="Manual",SUMIF('[1]TrialBalance (YTD)'!$C:$C,B474,'[1]TrialBalance (YTD)'!$E:$E),SUMIF('[1]TrialBalance (YTD)'!$G:$G,B474,'[1]TrialBalance (YTD)'!$I:$I))</f>
        <v>#VALUE!</v>
      </c>
      <c r="G474" s="5">
        <f>IFERROR(INDEX('[1]TrialBalance (YTD)'!$G:$S,MATCH([1]TBMapping!$C476,'[1]TrialBalance (YTD)'!G:G,0),MATCH([1]TBMapping!H$3,'[1]TrialBalance (YTD)'!$G$7:$Z$7,0)),0)</f>
        <v>0</v>
      </c>
      <c r="H474" s="5" t="e">
        <f>SUMIF('[1]TrialBalance (YTD)'!G:G,B474,'[1]TrialBalance (YTD)'!H:H)</f>
        <v>#VALUE!</v>
      </c>
      <c r="I474" s="5">
        <f>IFERROR(INDEX('[1]TrialBalance (YTD)'!$G:$S,MATCH([1]TBMapping!$C476,'[1]TrialBalance (YTD)'!G:G,0),MATCH([1]TBMapping!J$3,'[1]TrialBalance (YTD)'!$G$7:$Z$7,0)),0)</f>
        <v>-1888</v>
      </c>
      <c r="K474" s="5" t="e">
        <f>SUMIF('[1]TrialBalance (Quarter)'!$A:$A,B474,'[1]TrialBalance (Quarter)'!$B:$B)</f>
        <v>#VALUE!</v>
      </c>
      <c r="L474" s="5">
        <f>IFERROR(INDEX('[1]TrialBalance (Quarter)'!$A:$L,MATCH([1]TBMapping!$C476,'[1]TrialBalance (Quarter)'!A:A,0),MATCH([1]TBMapping!M$3,'[1]TrialBalance (Quarter)'!$7:$7,0)),0)</f>
        <v>0</v>
      </c>
      <c r="M474" s="5">
        <f>IFERROR(INDEX('[1]TrialBalance (Quarter)'!$A:$L,MATCH([1]TBMapping!$C476,'[1]TrialBalance (Quarter)'!A:A,0),MATCH([1]TBMapping!N$3,'[1]TrialBalance (Quarter)'!$7:$7,0)),0)</f>
        <v>-34093</v>
      </c>
      <c r="N474" s="5">
        <f>IFERROR(INDEX('[1]TrialBalance (Quarter)'!$A:$L,MATCH([1]TBMapping!$C476,'[1]TrialBalance (Quarter)'!A:A,0),MATCH([1]TBMapping!O$3,'[1]TrialBalance (Quarter)'!$7:$7,0)),0)</f>
        <v>116</v>
      </c>
    </row>
    <row r="475" spans="1:14">
      <c r="A475" s="2">
        <v>109</v>
      </c>
      <c r="B475" s="3">
        <v>153150</v>
      </c>
      <c r="C475" s="10" t="s">
        <v>435</v>
      </c>
      <c r="D475" s="10" t="s">
        <v>11</v>
      </c>
      <c r="E475" s="10"/>
      <c r="F475" s="5" t="e">
        <f>IF(DataExtraction="Manual",SUMIF('[1]TrialBalance (YTD)'!$C:$C,B475,'[1]TrialBalance (YTD)'!$E:$E),SUMIF('[1]TrialBalance (YTD)'!$G:$G,B475,'[1]TrialBalance (YTD)'!$I:$I))</f>
        <v>#VALUE!</v>
      </c>
      <c r="G475" s="5">
        <f>IFERROR(INDEX('[1]TrialBalance (YTD)'!$G:$S,MATCH([1]TBMapping!$C477,'[1]TrialBalance (YTD)'!G:G,0),MATCH([1]TBMapping!H$3,'[1]TrialBalance (YTD)'!$G$7:$Z$7,0)),0)</f>
        <v>0</v>
      </c>
      <c r="H475" s="5" t="e">
        <f>SUMIF('[1]TrialBalance (YTD)'!G:G,B475,'[1]TrialBalance (YTD)'!H:H)</f>
        <v>#VALUE!</v>
      </c>
      <c r="I475" s="5">
        <f>IFERROR(INDEX('[1]TrialBalance (YTD)'!$G:$S,MATCH([1]TBMapping!$C477,'[1]TrialBalance (YTD)'!G:G,0),MATCH([1]TBMapping!J$3,'[1]TrialBalance (YTD)'!$G$7:$Z$7,0)),0)</f>
        <v>0</v>
      </c>
      <c r="K475" s="5" t="e">
        <f>SUMIF('[1]TrialBalance (Quarter)'!$A:$A,B475,'[1]TrialBalance (Quarter)'!$B:$B)</f>
        <v>#VALUE!</v>
      </c>
      <c r="L475" s="5">
        <f>IFERROR(INDEX('[1]TrialBalance (Quarter)'!$A:$L,MATCH([1]TBMapping!$C477,'[1]TrialBalance (Quarter)'!A:A,0),MATCH([1]TBMapping!M$3,'[1]TrialBalance (Quarter)'!$7:$7,0)),0)</f>
        <v>0</v>
      </c>
      <c r="M475" s="5">
        <f>IFERROR(INDEX('[1]TrialBalance (Quarter)'!$A:$L,MATCH([1]TBMapping!$C477,'[1]TrialBalance (Quarter)'!A:A,0),MATCH([1]TBMapping!N$3,'[1]TrialBalance (Quarter)'!$7:$7,0)),0)</f>
        <v>0</v>
      </c>
      <c r="N475" s="5">
        <f>IFERROR(INDEX('[1]TrialBalance (Quarter)'!$A:$L,MATCH([1]TBMapping!$C477,'[1]TrialBalance (Quarter)'!A:A,0),MATCH([1]TBMapping!O$3,'[1]TrialBalance (Quarter)'!$7:$7,0)),0)</f>
        <v>0</v>
      </c>
    </row>
    <row r="476" spans="1:14">
      <c r="B476" s="3">
        <v>153199</v>
      </c>
      <c r="C476" s="11" t="s">
        <v>436</v>
      </c>
      <c r="D476" s="11" t="s">
        <v>16</v>
      </c>
      <c r="E476" s="11"/>
      <c r="F476" s="5" t="e">
        <f>IF(DataExtraction="Manual",SUMIF('[1]TrialBalance (YTD)'!$C:$C,B476,'[1]TrialBalance (YTD)'!$E:$E),SUMIF('[1]TrialBalance (YTD)'!$G:$G,B476,'[1]TrialBalance (YTD)'!$I:$I))</f>
        <v>#VALUE!</v>
      </c>
      <c r="G476" s="5">
        <f>IFERROR(INDEX('[1]TrialBalance (YTD)'!$G:$S,MATCH([1]TBMapping!$C478,'[1]TrialBalance (YTD)'!G:G,0),MATCH([1]TBMapping!H$3,'[1]TrialBalance (YTD)'!$G$7:$Z$7,0)),0)</f>
        <v>0</v>
      </c>
      <c r="H476" s="5" t="e">
        <f>SUMIF('[1]TrialBalance (YTD)'!G:G,B476,'[1]TrialBalance (YTD)'!H:H)</f>
        <v>#VALUE!</v>
      </c>
      <c r="I476" s="5">
        <f>IFERROR(INDEX('[1]TrialBalance (YTD)'!$G:$S,MATCH([1]TBMapping!$C478,'[1]TrialBalance (YTD)'!G:G,0),MATCH([1]TBMapping!J$3,'[1]TrialBalance (YTD)'!$G$7:$Z$7,0)),0)</f>
        <v>0</v>
      </c>
      <c r="K476" s="5" t="e">
        <f>SUMIF('[1]TrialBalance (Quarter)'!$A:$A,B476,'[1]TrialBalance (Quarter)'!$B:$B)</f>
        <v>#VALUE!</v>
      </c>
      <c r="L476" s="5">
        <f>IFERROR(INDEX('[1]TrialBalance (Quarter)'!$A:$L,MATCH([1]TBMapping!$C478,'[1]TrialBalance (Quarter)'!A:A,0),MATCH([1]TBMapping!M$3,'[1]TrialBalance (Quarter)'!$7:$7,0)),0)</f>
        <v>0</v>
      </c>
      <c r="M476" s="5">
        <f>IFERROR(INDEX('[1]TrialBalance (Quarter)'!$A:$L,MATCH([1]TBMapping!$C478,'[1]TrialBalance (Quarter)'!A:A,0),MATCH([1]TBMapping!N$3,'[1]TrialBalance (Quarter)'!$7:$7,0)),0)</f>
        <v>0</v>
      </c>
      <c r="N476" s="5">
        <f>IFERROR(INDEX('[1]TrialBalance (Quarter)'!$A:$L,MATCH([1]TBMapping!$C478,'[1]TrialBalance (Quarter)'!A:A,0),MATCH([1]TBMapping!O$3,'[1]TrialBalance (Quarter)'!$7:$7,0)),0)</f>
        <v>0</v>
      </c>
    </row>
    <row r="477" spans="1:14">
      <c r="B477" s="3">
        <v>153200</v>
      </c>
      <c r="C477" s="10" t="s">
        <v>437</v>
      </c>
      <c r="D477" s="10" t="s">
        <v>5</v>
      </c>
      <c r="E477" s="10"/>
      <c r="F477" s="5" t="e">
        <f>IF(DataExtraction="Manual",SUMIF('[1]TrialBalance (YTD)'!$C:$C,B477,'[1]TrialBalance (YTD)'!$E:$E),SUMIF('[1]TrialBalance (YTD)'!$G:$G,B477,'[1]TrialBalance (YTD)'!$I:$I))</f>
        <v>#VALUE!</v>
      </c>
      <c r="G477" s="5">
        <f>IFERROR(INDEX('[1]TrialBalance (YTD)'!$G:$S,MATCH([1]TBMapping!$C479,'[1]TrialBalance (YTD)'!G:G,0),MATCH([1]TBMapping!H$3,'[1]TrialBalance (YTD)'!$G$7:$Z$7,0)),0)</f>
        <v>0</v>
      </c>
      <c r="H477" s="5" t="e">
        <f>SUMIF('[1]TrialBalance (YTD)'!G:G,B477,'[1]TrialBalance (YTD)'!H:H)</f>
        <v>#VALUE!</v>
      </c>
      <c r="I477" s="5">
        <f>IFERROR(INDEX('[1]TrialBalance (YTD)'!$G:$S,MATCH([1]TBMapping!$C479,'[1]TrialBalance (YTD)'!G:G,0),MATCH([1]TBMapping!J$3,'[1]TrialBalance (YTD)'!$G$7:$Z$7,0)),0)</f>
        <v>0</v>
      </c>
      <c r="K477" s="5" t="e">
        <f>SUMIF('[1]TrialBalance (Quarter)'!$A:$A,B477,'[1]TrialBalance (Quarter)'!$B:$B)</f>
        <v>#VALUE!</v>
      </c>
      <c r="L477" s="5">
        <f>IFERROR(INDEX('[1]TrialBalance (Quarter)'!$A:$L,MATCH([1]TBMapping!$C479,'[1]TrialBalance (Quarter)'!A:A,0),MATCH([1]TBMapping!M$3,'[1]TrialBalance (Quarter)'!$7:$7,0)),0)</f>
        <v>0</v>
      </c>
      <c r="M477" s="5">
        <f>IFERROR(INDEX('[1]TrialBalance (Quarter)'!$A:$L,MATCH([1]TBMapping!$C479,'[1]TrialBalance (Quarter)'!A:A,0),MATCH([1]TBMapping!N$3,'[1]TrialBalance (Quarter)'!$7:$7,0)),0)</f>
        <v>0</v>
      </c>
      <c r="N477" s="5">
        <f>IFERROR(INDEX('[1]TrialBalance (Quarter)'!$A:$L,MATCH([1]TBMapping!$C479,'[1]TrialBalance (Quarter)'!A:A,0),MATCH([1]TBMapping!O$3,'[1]TrialBalance (Quarter)'!$7:$7,0)),0)</f>
        <v>0</v>
      </c>
    </row>
    <row r="478" spans="1:14">
      <c r="A478" s="2">
        <v>109</v>
      </c>
      <c r="B478" s="3">
        <v>153210</v>
      </c>
      <c r="C478" s="11" t="s">
        <v>438</v>
      </c>
      <c r="D478" s="11" t="s">
        <v>11</v>
      </c>
      <c r="E478" s="11"/>
      <c r="F478" s="5" t="e">
        <f>IF(DataExtraction="Manual",SUMIF('[1]TrialBalance (YTD)'!$C:$C,B478,'[1]TrialBalance (YTD)'!$E:$E),SUMIF('[1]TrialBalance (YTD)'!$G:$G,B478,'[1]TrialBalance (YTD)'!$I:$I))</f>
        <v>#VALUE!</v>
      </c>
      <c r="G478" s="5">
        <f>IFERROR(INDEX('[1]TrialBalance (YTD)'!$G:$S,MATCH([1]TBMapping!$C480,'[1]TrialBalance (YTD)'!G:G,0),MATCH([1]TBMapping!H$3,'[1]TrialBalance (YTD)'!$G$7:$Z$7,0)),0)</f>
        <v>0</v>
      </c>
      <c r="H478" s="5" t="e">
        <f>SUMIF('[1]TrialBalance (YTD)'!G:G,B478,'[1]TrialBalance (YTD)'!H:H)</f>
        <v>#VALUE!</v>
      </c>
      <c r="I478" s="5">
        <f>IFERROR(INDEX('[1]TrialBalance (YTD)'!$G:$S,MATCH([1]TBMapping!$C480,'[1]TrialBalance (YTD)'!G:G,0),MATCH([1]TBMapping!J$3,'[1]TrialBalance (YTD)'!$G$7:$Z$7,0)),0)</f>
        <v>-723662.73</v>
      </c>
      <c r="K478" s="5" t="e">
        <f>SUMIF('[1]TrialBalance (Quarter)'!$A:$A,B478,'[1]TrialBalance (Quarter)'!$B:$B)</f>
        <v>#VALUE!</v>
      </c>
      <c r="L478" s="5">
        <f>IFERROR(INDEX('[1]TrialBalance (Quarter)'!$A:$L,MATCH([1]TBMapping!$C480,'[1]TrialBalance (Quarter)'!A:A,0),MATCH([1]TBMapping!M$3,'[1]TrialBalance (Quarter)'!$7:$7,0)),0)</f>
        <v>0</v>
      </c>
      <c r="M478" s="5">
        <f>IFERROR(INDEX('[1]TrialBalance (Quarter)'!$A:$L,MATCH([1]TBMapping!$C480,'[1]TrialBalance (Quarter)'!A:A,0),MATCH([1]TBMapping!N$3,'[1]TrialBalance (Quarter)'!$7:$7,0)),0)</f>
        <v>0</v>
      </c>
      <c r="N478" s="5">
        <f>IFERROR(INDEX('[1]TrialBalance (Quarter)'!$A:$L,MATCH([1]TBMapping!$C480,'[1]TrialBalance (Quarter)'!A:A,0),MATCH([1]TBMapping!O$3,'[1]TrialBalance (Quarter)'!$7:$7,0)),0)</f>
        <v>0</v>
      </c>
    </row>
    <row r="479" spans="1:14">
      <c r="B479" s="3">
        <v>153299</v>
      </c>
      <c r="C479" s="10" t="s">
        <v>439</v>
      </c>
      <c r="D479" s="10" t="s">
        <v>16</v>
      </c>
      <c r="E479" s="10"/>
      <c r="F479" s="5" t="e">
        <f>IF(DataExtraction="Manual",SUMIF('[1]TrialBalance (YTD)'!$C:$C,B479,'[1]TrialBalance (YTD)'!$E:$E),SUMIF('[1]TrialBalance (YTD)'!$G:$G,B479,'[1]TrialBalance (YTD)'!$I:$I))</f>
        <v>#VALUE!</v>
      </c>
      <c r="G479" s="5">
        <f>IFERROR(INDEX('[1]TrialBalance (YTD)'!$G:$S,MATCH([1]TBMapping!$C481,'[1]TrialBalance (YTD)'!G:G,0),MATCH([1]TBMapping!H$3,'[1]TrialBalance (YTD)'!$G$7:$Z$7,0)),0)</f>
        <v>0</v>
      </c>
      <c r="H479" s="5" t="e">
        <f>SUMIF('[1]TrialBalance (YTD)'!G:G,B479,'[1]TrialBalance (YTD)'!H:H)</f>
        <v>#VALUE!</v>
      </c>
      <c r="I479" s="5">
        <f>IFERROR(INDEX('[1]TrialBalance (YTD)'!$G:$S,MATCH([1]TBMapping!$C481,'[1]TrialBalance (YTD)'!G:G,0),MATCH([1]TBMapping!J$3,'[1]TrialBalance (YTD)'!$G$7:$Z$7,0)),0)</f>
        <v>0</v>
      </c>
      <c r="K479" s="5" t="e">
        <f>SUMIF('[1]TrialBalance (Quarter)'!$A:$A,B479,'[1]TrialBalance (Quarter)'!$B:$B)</f>
        <v>#VALUE!</v>
      </c>
      <c r="L479" s="5">
        <f>IFERROR(INDEX('[1]TrialBalance (Quarter)'!$A:$L,MATCH([1]TBMapping!$C481,'[1]TrialBalance (Quarter)'!A:A,0),MATCH([1]TBMapping!M$3,'[1]TrialBalance (Quarter)'!$7:$7,0)),0)</f>
        <v>0</v>
      </c>
      <c r="M479" s="5">
        <f>IFERROR(INDEX('[1]TrialBalance (Quarter)'!$A:$L,MATCH([1]TBMapping!$C481,'[1]TrialBalance (Quarter)'!A:A,0),MATCH([1]TBMapping!N$3,'[1]TrialBalance (Quarter)'!$7:$7,0)),0)</f>
        <v>0</v>
      </c>
      <c r="N479" s="5">
        <f>IFERROR(INDEX('[1]TrialBalance (Quarter)'!$A:$L,MATCH([1]TBMapping!$C481,'[1]TrialBalance (Quarter)'!A:A,0),MATCH([1]TBMapping!O$3,'[1]TrialBalance (Quarter)'!$7:$7,0)),0)</f>
        <v>0</v>
      </c>
    </row>
    <row r="480" spans="1:14">
      <c r="B480" s="3">
        <v>153300</v>
      </c>
      <c r="C480" s="11" t="s">
        <v>440</v>
      </c>
      <c r="D480" s="11" t="s">
        <v>5</v>
      </c>
      <c r="E480" s="11"/>
      <c r="F480" s="5" t="e">
        <f>IF(DataExtraction="Manual",SUMIF('[1]TrialBalance (YTD)'!$C:$C,B480,'[1]TrialBalance (YTD)'!$E:$E),SUMIF('[1]TrialBalance (YTD)'!$G:$G,B480,'[1]TrialBalance (YTD)'!$I:$I))</f>
        <v>#VALUE!</v>
      </c>
      <c r="G480" s="5">
        <f>IFERROR(INDEX('[1]TrialBalance (YTD)'!$G:$S,MATCH([1]TBMapping!$C482,'[1]TrialBalance (YTD)'!G:G,0),MATCH([1]TBMapping!H$3,'[1]TrialBalance (YTD)'!$G$7:$Z$7,0)),0)</f>
        <v>0</v>
      </c>
      <c r="H480" s="5" t="e">
        <f>SUMIF('[1]TrialBalance (YTD)'!G:G,B480,'[1]TrialBalance (YTD)'!H:H)</f>
        <v>#VALUE!</v>
      </c>
      <c r="I480" s="5">
        <f>IFERROR(INDEX('[1]TrialBalance (YTD)'!$G:$S,MATCH([1]TBMapping!$C482,'[1]TrialBalance (YTD)'!G:G,0),MATCH([1]TBMapping!J$3,'[1]TrialBalance (YTD)'!$G$7:$Z$7,0)),0)</f>
        <v>0</v>
      </c>
      <c r="K480" s="5" t="e">
        <f>SUMIF('[1]TrialBalance (Quarter)'!$A:$A,B480,'[1]TrialBalance (Quarter)'!$B:$B)</f>
        <v>#VALUE!</v>
      </c>
      <c r="L480" s="5">
        <f>IFERROR(INDEX('[1]TrialBalance (Quarter)'!$A:$L,MATCH([1]TBMapping!$C482,'[1]TrialBalance (Quarter)'!A:A,0),MATCH([1]TBMapping!M$3,'[1]TrialBalance (Quarter)'!$7:$7,0)),0)</f>
        <v>0</v>
      </c>
      <c r="M480" s="5">
        <f>IFERROR(INDEX('[1]TrialBalance (Quarter)'!$A:$L,MATCH([1]TBMapping!$C482,'[1]TrialBalance (Quarter)'!A:A,0),MATCH([1]TBMapping!N$3,'[1]TrialBalance (Quarter)'!$7:$7,0)),0)</f>
        <v>0</v>
      </c>
      <c r="N480" s="5">
        <f>IFERROR(INDEX('[1]TrialBalance (Quarter)'!$A:$L,MATCH([1]TBMapping!$C482,'[1]TrialBalance (Quarter)'!A:A,0),MATCH([1]TBMapping!O$3,'[1]TrialBalance (Quarter)'!$7:$7,0)),0)</f>
        <v>0</v>
      </c>
    </row>
    <row r="481" spans="1:14">
      <c r="A481" s="2">
        <v>109</v>
      </c>
      <c r="B481" s="3">
        <v>153310</v>
      </c>
      <c r="C481" s="10" t="s">
        <v>441</v>
      </c>
      <c r="D481" s="10" t="s">
        <v>11</v>
      </c>
      <c r="E481" s="10"/>
      <c r="F481" s="5" t="e">
        <f>IF(DataExtraction="Manual",SUMIF('[1]TrialBalance (YTD)'!$C:$C,B481,'[1]TrialBalance (YTD)'!$E:$E),SUMIF('[1]TrialBalance (YTD)'!$G:$G,B481,'[1]TrialBalance (YTD)'!$I:$I))</f>
        <v>#VALUE!</v>
      </c>
      <c r="G481" s="5">
        <f>IFERROR(INDEX('[1]TrialBalance (YTD)'!$G:$S,MATCH([1]TBMapping!$C483,'[1]TrialBalance (YTD)'!G:G,0),MATCH([1]TBMapping!H$3,'[1]TrialBalance (YTD)'!$G$7:$Z$7,0)),0)</f>
        <v>0</v>
      </c>
      <c r="H481" s="5" t="e">
        <f>SUMIF('[1]TrialBalance (YTD)'!G:G,B481,'[1]TrialBalance (YTD)'!H:H)</f>
        <v>#VALUE!</v>
      </c>
      <c r="I481" s="5">
        <f>IFERROR(INDEX('[1]TrialBalance (YTD)'!$G:$S,MATCH([1]TBMapping!$C483,'[1]TrialBalance (YTD)'!G:G,0),MATCH([1]TBMapping!J$3,'[1]TrialBalance (YTD)'!$G$7:$Z$7,0)),0)</f>
        <v>0</v>
      </c>
      <c r="K481" s="5" t="e">
        <f>SUMIF('[1]TrialBalance (Quarter)'!$A:$A,B481,'[1]TrialBalance (Quarter)'!$B:$B)</f>
        <v>#VALUE!</v>
      </c>
      <c r="L481" s="5">
        <f>IFERROR(INDEX('[1]TrialBalance (Quarter)'!$A:$L,MATCH([1]TBMapping!$C483,'[1]TrialBalance (Quarter)'!A:A,0),MATCH([1]TBMapping!M$3,'[1]TrialBalance (Quarter)'!$7:$7,0)),0)</f>
        <v>0</v>
      </c>
      <c r="M481" s="5">
        <f>IFERROR(INDEX('[1]TrialBalance (Quarter)'!$A:$L,MATCH([1]TBMapping!$C483,'[1]TrialBalance (Quarter)'!A:A,0),MATCH([1]TBMapping!N$3,'[1]TrialBalance (Quarter)'!$7:$7,0)),0)</f>
        <v>0</v>
      </c>
      <c r="N481" s="5">
        <f>IFERROR(INDEX('[1]TrialBalance (Quarter)'!$A:$L,MATCH([1]TBMapping!$C483,'[1]TrialBalance (Quarter)'!A:A,0),MATCH([1]TBMapping!O$3,'[1]TrialBalance (Quarter)'!$7:$7,0)),0)</f>
        <v>0</v>
      </c>
    </row>
    <row r="482" spans="1:14">
      <c r="B482" s="3">
        <v>153399</v>
      </c>
      <c r="C482" s="11" t="s">
        <v>442</v>
      </c>
      <c r="D482" s="11" t="s">
        <v>16</v>
      </c>
      <c r="E482" s="11"/>
      <c r="F482" s="5" t="e">
        <f>IF(DataExtraction="Manual",SUMIF('[1]TrialBalance (YTD)'!$C:$C,B482,'[1]TrialBalance (YTD)'!$E:$E),SUMIF('[1]TrialBalance (YTD)'!$G:$G,B482,'[1]TrialBalance (YTD)'!$I:$I))</f>
        <v>#VALUE!</v>
      </c>
      <c r="G482" s="5">
        <f>IFERROR(INDEX('[1]TrialBalance (YTD)'!$G:$S,MATCH([1]TBMapping!$C484,'[1]TrialBalance (YTD)'!G:G,0),MATCH([1]TBMapping!H$3,'[1]TrialBalance (YTD)'!$G$7:$Z$7,0)),0)</f>
        <v>0</v>
      </c>
      <c r="H482" s="5" t="e">
        <f>SUMIF('[1]TrialBalance (YTD)'!G:G,B482,'[1]TrialBalance (YTD)'!H:H)</f>
        <v>#VALUE!</v>
      </c>
      <c r="I482" s="5">
        <f>IFERROR(INDEX('[1]TrialBalance (YTD)'!$G:$S,MATCH([1]TBMapping!$C484,'[1]TrialBalance (YTD)'!G:G,0),MATCH([1]TBMapping!J$3,'[1]TrialBalance (YTD)'!$G$7:$Z$7,0)),0)</f>
        <v>0</v>
      </c>
      <c r="K482" s="5" t="e">
        <f>SUMIF('[1]TrialBalance (Quarter)'!$A:$A,B482,'[1]TrialBalance (Quarter)'!$B:$B)</f>
        <v>#VALUE!</v>
      </c>
      <c r="L482" s="5">
        <f>IFERROR(INDEX('[1]TrialBalance (Quarter)'!$A:$L,MATCH([1]TBMapping!$C484,'[1]TrialBalance (Quarter)'!A:A,0),MATCH([1]TBMapping!M$3,'[1]TrialBalance (Quarter)'!$7:$7,0)),0)</f>
        <v>0</v>
      </c>
      <c r="M482" s="5">
        <f>IFERROR(INDEX('[1]TrialBalance (Quarter)'!$A:$L,MATCH([1]TBMapping!$C484,'[1]TrialBalance (Quarter)'!A:A,0),MATCH([1]TBMapping!N$3,'[1]TrialBalance (Quarter)'!$7:$7,0)),0)</f>
        <v>0</v>
      </c>
      <c r="N482" s="5">
        <f>IFERROR(INDEX('[1]TrialBalance (Quarter)'!$A:$L,MATCH([1]TBMapping!$C484,'[1]TrialBalance (Quarter)'!A:A,0),MATCH([1]TBMapping!O$3,'[1]TrialBalance (Quarter)'!$7:$7,0)),0)</f>
        <v>0</v>
      </c>
    </row>
    <row r="483" spans="1:14">
      <c r="B483" s="3">
        <v>153400</v>
      </c>
      <c r="C483" s="10" t="s">
        <v>443</v>
      </c>
      <c r="D483" s="10" t="s">
        <v>5</v>
      </c>
      <c r="E483" s="10"/>
      <c r="F483" s="5" t="e">
        <f>IF(DataExtraction="Manual",SUMIF('[1]TrialBalance (YTD)'!$C:$C,B483,'[1]TrialBalance (YTD)'!$E:$E),SUMIF('[1]TrialBalance (YTD)'!$G:$G,B483,'[1]TrialBalance (YTD)'!$I:$I))</f>
        <v>#VALUE!</v>
      </c>
      <c r="G483" s="5">
        <f>IFERROR(INDEX('[1]TrialBalance (YTD)'!$G:$S,MATCH([1]TBMapping!$C485,'[1]TrialBalance (YTD)'!G:G,0),MATCH([1]TBMapping!H$3,'[1]TrialBalance (YTD)'!$G$7:$Z$7,0)),0)</f>
        <v>0</v>
      </c>
      <c r="H483" s="5" t="e">
        <f>SUMIF('[1]TrialBalance (YTD)'!G:G,B483,'[1]TrialBalance (YTD)'!H:H)</f>
        <v>#VALUE!</v>
      </c>
      <c r="I483" s="5">
        <f>IFERROR(INDEX('[1]TrialBalance (YTD)'!$G:$S,MATCH([1]TBMapping!$C485,'[1]TrialBalance (YTD)'!G:G,0),MATCH([1]TBMapping!J$3,'[1]TrialBalance (YTD)'!$G$7:$Z$7,0)),0)</f>
        <v>0</v>
      </c>
      <c r="K483" s="5" t="e">
        <f>SUMIF('[1]TrialBalance (Quarter)'!$A:$A,B483,'[1]TrialBalance (Quarter)'!$B:$B)</f>
        <v>#VALUE!</v>
      </c>
      <c r="L483" s="5">
        <f>IFERROR(INDEX('[1]TrialBalance (Quarter)'!$A:$L,MATCH([1]TBMapping!$C485,'[1]TrialBalance (Quarter)'!A:A,0),MATCH([1]TBMapping!M$3,'[1]TrialBalance (Quarter)'!$7:$7,0)),0)</f>
        <v>0</v>
      </c>
      <c r="M483" s="5">
        <f>IFERROR(INDEX('[1]TrialBalance (Quarter)'!$A:$L,MATCH([1]TBMapping!$C485,'[1]TrialBalance (Quarter)'!A:A,0),MATCH([1]TBMapping!N$3,'[1]TrialBalance (Quarter)'!$7:$7,0)),0)</f>
        <v>0</v>
      </c>
      <c r="N483" s="5">
        <f>IFERROR(INDEX('[1]TrialBalance (Quarter)'!$A:$L,MATCH([1]TBMapping!$C485,'[1]TrialBalance (Quarter)'!A:A,0),MATCH([1]TBMapping!O$3,'[1]TrialBalance (Quarter)'!$7:$7,0)),0)</f>
        <v>0</v>
      </c>
    </row>
    <row r="484" spans="1:14">
      <c r="A484" s="2">
        <v>110</v>
      </c>
      <c r="B484" s="3">
        <v>153410</v>
      </c>
      <c r="C484" s="11" t="s">
        <v>444</v>
      </c>
      <c r="D484" s="11" t="s">
        <v>11</v>
      </c>
      <c r="E484" s="11"/>
      <c r="F484" s="5" t="e">
        <f>IF(DataExtraction="Manual",SUMIF('[1]TrialBalance (YTD)'!$C:$C,B484,'[1]TrialBalance (YTD)'!$E:$E),SUMIF('[1]TrialBalance (YTD)'!$G:$G,B484,'[1]TrialBalance (YTD)'!$I:$I))</f>
        <v>#VALUE!</v>
      </c>
      <c r="G484" s="5">
        <f>IFERROR(INDEX('[1]TrialBalance (YTD)'!$G:$S,MATCH([1]TBMapping!$C486,'[1]TrialBalance (YTD)'!G:G,0),MATCH([1]TBMapping!H$3,'[1]TrialBalance (YTD)'!$G$7:$Z$7,0)),0)</f>
        <v>0</v>
      </c>
      <c r="H484" s="5" t="e">
        <f>SUMIF('[1]TrialBalance (YTD)'!G:G,B484,'[1]TrialBalance (YTD)'!H:H)</f>
        <v>#VALUE!</v>
      </c>
      <c r="I484" s="5">
        <f>IFERROR(INDEX('[1]TrialBalance (YTD)'!$G:$S,MATCH([1]TBMapping!$C486,'[1]TrialBalance (YTD)'!G:G,0),MATCH([1]TBMapping!J$3,'[1]TrialBalance (YTD)'!$G$7:$Z$7,0)),0)</f>
        <v>-276096.92</v>
      </c>
      <c r="K484" s="5" t="e">
        <f>SUMIF('[1]TrialBalance (Quarter)'!$A:$A,B484,'[1]TrialBalance (Quarter)'!$B:$B)</f>
        <v>#VALUE!</v>
      </c>
      <c r="L484" s="5">
        <f>IFERROR(INDEX('[1]TrialBalance (Quarter)'!$A:$L,MATCH([1]TBMapping!$C486,'[1]TrialBalance (Quarter)'!A:A,0),MATCH([1]TBMapping!M$3,'[1]TrialBalance (Quarter)'!$7:$7,0)),0)</f>
        <v>0</v>
      </c>
      <c r="M484" s="5">
        <f>IFERROR(INDEX('[1]TrialBalance (Quarter)'!$A:$L,MATCH([1]TBMapping!$C486,'[1]TrialBalance (Quarter)'!A:A,0),MATCH([1]TBMapping!N$3,'[1]TrialBalance (Quarter)'!$7:$7,0)),0)</f>
        <v>-90047.14</v>
      </c>
      <c r="N484" s="5">
        <f>IFERROR(INDEX('[1]TrialBalance (Quarter)'!$A:$L,MATCH([1]TBMapping!$C486,'[1]TrialBalance (Quarter)'!A:A,0),MATCH([1]TBMapping!O$3,'[1]TrialBalance (Quarter)'!$7:$7,0)),0)</f>
        <v>-150909.64000000001</v>
      </c>
    </row>
    <row r="485" spans="1:14">
      <c r="A485" s="2">
        <v>110</v>
      </c>
      <c r="B485" s="3">
        <v>153411</v>
      </c>
      <c r="C485" s="10" t="s">
        <v>445</v>
      </c>
      <c r="D485" s="10" t="s">
        <v>11</v>
      </c>
      <c r="E485" s="10"/>
      <c r="F485" s="5" t="e">
        <f>IF(DataExtraction="Manual",SUMIF('[1]TrialBalance (YTD)'!$C:$C,B485,'[1]TrialBalance (YTD)'!$E:$E),SUMIF('[1]TrialBalance (YTD)'!$G:$G,B485,'[1]TrialBalance (YTD)'!$I:$I))</f>
        <v>#VALUE!</v>
      </c>
      <c r="G485" s="5">
        <f>IFERROR(INDEX('[1]TrialBalance (YTD)'!$G:$S,MATCH([1]TBMapping!$C487,'[1]TrialBalance (YTD)'!G:G,0),MATCH([1]TBMapping!H$3,'[1]TrialBalance (YTD)'!$G$7:$Z$7,0)),0)</f>
        <v>0</v>
      </c>
      <c r="H485" s="5" t="e">
        <f>SUMIF('[1]TrialBalance (YTD)'!G:G,B485,'[1]TrialBalance (YTD)'!H:H)</f>
        <v>#VALUE!</v>
      </c>
      <c r="I485" s="5">
        <f>IFERROR(INDEX('[1]TrialBalance (YTD)'!$G:$S,MATCH([1]TBMapping!$C487,'[1]TrialBalance (YTD)'!G:G,0),MATCH([1]TBMapping!J$3,'[1]TrialBalance (YTD)'!$G$7:$Z$7,0)),0)</f>
        <v>807937.62</v>
      </c>
      <c r="K485" s="5" t="e">
        <f>SUMIF('[1]TrialBalance (Quarter)'!$A:$A,B485,'[1]TrialBalance (Quarter)'!$B:$B)</f>
        <v>#VALUE!</v>
      </c>
      <c r="L485" s="5">
        <f>IFERROR(INDEX('[1]TrialBalance (Quarter)'!$A:$L,MATCH([1]TBMapping!$C487,'[1]TrialBalance (Quarter)'!A:A,0),MATCH([1]TBMapping!M$3,'[1]TrialBalance (Quarter)'!$7:$7,0)),0)</f>
        <v>0</v>
      </c>
      <c r="M485" s="5">
        <f>IFERROR(INDEX('[1]TrialBalance (Quarter)'!$A:$L,MATCH([1]TBMapping!$C487,'[1]TrialBalance (Quarter)'!A:A,0),MATCH([1]TBMapping!N$3,'[1]TrialBalance (Quarter)'!$7:$7,0)),0)</f>
        <v>-148915.93</v>
      </c>
      <c r="N485" s="5">
        <f>IFERROR(INDEX('[1]TrialBalance (Quarter)'!$A:$L,MATCH([1]TBMapping!$C487,'[1]TrialBalance (Quarter)'!A:A,0),MATCH([1]TBMapping!O$3,'[1]TrialBalance (Quarter)'!$7:$7,0)),0)</f>
        <v>2020678.99</v>
      </c>
    </row>
    <row r="486" spans="1:14">
      <c r="A486" s="2">
        <v>110</v>
      </c>
      <c r="B486" s="3">
        <v>153420</v>
      </c>
      <c r="C486" s="11" t="s">
        <v>446</v>
      </c>
      <c r="D486" s="11" t="s">
        <v>11</v>
      </c>
      <c r="E486" s="11"/>
      <c r="F486" s="5" t="e">
        <f>IF(DataExtraction="Manual",SUMIF('[1]TrialBalance (YTD)'!$C:$C,B486,'[1]TrialBalance (YTD)'!$E:$E),SUMIF('[1]TrialBalance (YTD)'!$G:$G,B486,'[1]TrialBalance (YTD)'!$I:$I))</f>
        <v>#VALUE!</v>
      </c>
      <c r="G486" s="5">
        <f>IFERROR(INDEX('[1]TrialBalance (YTD)'!$G:$S,MATCH([1]TBMapping!$C488,'[1]TrialBalance (YTD)'!G:G,0),MATCH([1]TBMapping!H$3,'[1]TrialBalance (YTD)'!$G$7:$Z$7,0)),0)</f>
        <v>0</v>
      </c>
      <c r="H486" s="5" t="e">
        <f>SUMIF('[1]TrialBalance (YTD)'!G:G,B486,'[1]TrialBalance (YTD)'!H:H)</f>
        <v>#VALUE!</v>
      </c>
      <c r="I486" s="5">
        <f>IFERROR(INDEX('[1]TrialBalance (YTD)'!$G:$S,MATCH([1]TBMapping!$C488,'[1]TrialBalance (YTD)'!G:G,0),MATCH([1]TBMapping!J$3,'[1]TrialBalance (YTD)'!$G$7:$Z$7,0)),0)</f>
        <v>0</v>
      </c>
      <c r="K486" s="5" t="e">
        <f>SUMIF('[1]TrialBalance (Quarter)'!$A:$A,B486,'[1]TrialBalance (Quarter)'!$B:$B)</f>
        <v>#VALUE!</v>
      </c>
      <c r="L486" s="5">
        <f>IFERROR(INDEX('[1]TrialBalance (Quarter)'!$A:$L,MATCH([1]TBMapping!$C488,'[1]TrialBalance (Quarter)'!A:A,0),MATCH([1]TBMapping!M$3,'[1]TrialBalance (Quarter)'!$7:$7,0)),0)</f>
        <v>0</v>
      </c>
      <c r="M486" s="5">
        <f>IFERROR(INDEX('[1]TrialBalance (Quarter)'!$A:$L,MATCH([1]TBMapping!$C488,'[1]TrialBalance (Quarter)'!A:A,0),MATCH([1]TBMapping!N$3,'[1]TrialBalance (Quarter)'!$7:$7,0)),0)</f>
        <v>0</v>
      </c>
      <c r="N486" s="5">
        <f>IFERROR(INDEX('[1]TrialBalance (Quarter)'!$A:$L,MATCH([1]TBMapping!$C488,'[1]TrialBalance (Quarter)'!A:A,0),MATCH([1]TBMapping!O$3,'[1]TrialBalance (Quarter)'!$7:$7,0)),0)</f>
        <v>0</v>
      </c>
    </row>
    <row r="487" spans="1:14">
      <c r="A487" s="2">
        <v>110</v>
      </c>
      <c r="B487" s="3">
        <v>153421</v>
      </c>
      <c r="C487" s="10" t="s">
        <v>447</v>
      </c>
      <c r="D487" s="10" t="s">
        <v>11</v>
      </c>
      <c r="E487" s="10"/>
      <c r="F487" s="5" t="e">
        <f>IF(DataExtraction="Manual",SUMIF('[1]TrialBalance (YTD)'!$C:$C,B487,'[1]TrialBalance (YTD)'!$E:$E),SUMIF('[1]TrialBalance (YTD)'!$G:$G,B487,'[1]TrialBalance (YTD)'!$I:$I))</f>
        <v>#VALUE!</v>
      </c>
      <c r="G487" s="5">
        <f>IFERROR(INDEX('[1]TrialBalance (YTD)'!$G:$S,MATCH([1]TBMapping!$C489,'[1]TrialBalance (YTD)'!G:G,0),MATCH([1]TBMapping!H$3,'[1]TrialBalance (YTD)'!$G$7:$Z$7,0)),0)</f>
        <v>0</v>
      </c>
      <c r="H487" s="5" t="e">
        <f>SUMIF('[1]TrialBalance (YTD)'!G:G,B487,'[1]TrialBalance (YTD)'!H:H)</f>
        <v>#VALUE!</v>
      </c>
      <c r="I487" s="5">
        <f>IFERROR(INDEX('[1]TrialBalance (YTD)'!$G:$S,MATCH([1]TBMapping!$C489,'[1]TrialBalance (YTD)'!G:G,0),MATCH([1]TBMapping!J$3,'[1]TrialBalance (YTD)'!$G$7:$Z$7,0)),0)</f>
        <v>0</v>
      </c>
      <c r="K487" s="5" t="e">
        <f>SUMIF('[1]TrialBalance (Quarter)'!$A:$A,B487,'[1]TrialBalance (Quarter)'!$B:$B)</f>
        <v>#VALUE!</v>
      </c>
      <c r="L487" s="5">
        <f>IFERROR(INDEX('[1]TrialBalance (Quarter)'!$A:$L,MATCH([1]TBMapping!$C489,'[1]TrialBalance (Quarter)'!A:A,0),MATCH([1]TBMapping!M$3,'[1]TrialBalance (Quarter)'!$7:$7,0)),0)</f>
        <v>0</v>
      </c>
      <c r="M487" s="5">
        <f>IFERROR(INDEX('[1]TrialBalance (Quarter)'!$A:$L,MATCH([1]TBMapping!$C489,'[1]TrialBalance (Quarter)'!A:A,0),MATCH([1]TBMapping!N$3,'[1]TrialBalance (Quarter)'!$7:$7,0)),0)</f>
        <v>0</v>
      </c>
      <c r="N487" s="5">
        <f>IFERROR(INDEX('[1]TrialBalance (Quarter)'!$A:$L,MATCH([1]TBMapping!$C489,'[1]TrialBalance (Quarter)'!A:A,0),MATCH([1]TBMapping!O$3,'[1]TrialBalance (Quarter)'!$7:$7,0)),0)</f>
        <v>0</v>
      </c>
    </row>
    <row r="488" spans="1:14">
      <c r="A488" s="2">
        <v>110</v>
      </c>
      <c r="B488" s="3">
        <v>153430</v>
      </c>
      <c r="C488" s="11" t="s">
        <v>448</v>
      </c>
      <c r="D488" s="11" t="s">
        <v>11</v>
      </c>
      <c r="E488" s="11"/>
      <c r="F488" s="5" t="e">
        <f>IF(DataExtraction="Manual",SUMIF('[1]TrialBalance (YTD)'!$C:$C,B488,'[1]TrialBalance (YTD)'!$E:$E),SUMIF('[1]TrialBalance (YTD)'!$G:$G,B488,'[1]TrialBalance (YTD)'!$I:$I))</f>
        <v>#VALUE!</v>
      </c>
      <c r="G488" s="5">
        <f>IFERROR(INDEX('[1]TrialBalance (YTD)'!$G:$S,MATCH([1]TBMapping!$C490,'[1]TrialBalance (YTD)'!G:G,0),MATCH([1]TBMapping!H$3,'[1]TrialBalance (YTD)'!$G$7:$Z$7,0)),0)</f>
        <v>0</v>
      </c>
      <c r="H488" s="5" t="e">
        <f>SUMIF('[1]TrialBalance (YTD)'!G:G,B488,'[1]TrialBalance (YTD)'!H:H)</f>
        <v>#VALUE!</v>
      </c>
      <c r="I488" s="5">
        <f>IFERROR(INDEX('[1]TrialBalance (YTD)'!$G:$S,MATCH([1]TBMapping!$C490,'[1]TrialBalance (YTD)'!G:G,0),MATCH([1]TBMapping!J$3,'[1]TrialBalance (YTD)'!$G$7:$Z$7,0)),0)</f>
        <v>0</v>
      </c>
      <c r="K488" s="5" t="e">
        <f>SUMIF('[1]TrialBalance (Quarter)'!$A:$A,B488,'[1]TrialBalance (Quarter)'!$B:$B)</f>
        <v>#VALUE!</v>
      </c>
      <c r="L488" s="5">
        <f>IFERROR(INDEX('[1]TrialBalance (Quarter)'!$A:$L,MATCH([1]TBMapping!$C490,'[1]TrialBalance (Quarter)'!A:A,0),MATCH([1]TBMapping!M$3,'[1]TrialBalance (Quarter)'!$7:$7,0)),0)</f>
        <v>0</v>
      </c>
      <c r="M488" s="5">
        <f>IFERROR(INDEX('[1]TrialBalance (Quarter)'!$A:$L,MATCH([1]TBMapping!$C490,'[1]TrialBalance (Quarter)'!A:A,0),MATCH([1]TBMapping!N$3,'[1]TrialBalance (Quarter)'!$7:$7,0)),0)</f>
        <v>0</v>
      </c>
      <c r="N488" s="5">
        <f>IFERROR(INDEX('[1]TrialBalance (Quarter)'!$A:$L,MATCH([1]TBMapping!$C490,'[1]TrialBalance (Quarter)'!A:A,0),MATCH([1]TBMapping!O$3,'[1]TrialBalance (Quarter)'!$7:$7,0)),0)</f>
        <v>0</v>
      </c>
    </row>
    <row r="489" spans="1:14">
      <c r="A489" s="2">
        <v>110</v>
      </c>
      <c r="B489" s="3">
        <v>153431</v>
      </c>
      <c r="C489" s="10" t="s">
        <v>449</v>
      </c>
      <c r="D489" s="10" t="s">
        <v>11</v>
      </c>
      <c r="E489" s="10"/>
      <c r="F489" s="5" t="e">
        <f>IF(DataExtraction="Manual",SUMIF('[1]TrialBalance (YTD)'!$C:$C,B489,'[1]TrialBalance (YTD)'!$E:$E),SUMIF('[1]TrialBalance (YTD)'!$G:$G,B489,'[1]TrialBalance (YTD)'!$I:$I))</f>
        <v>#VALUE!</v>
      </c>
      <c r="G489" s="5">
        <f>IFERROR(INDEX('[1]TrialBalance (YTD)'!$G:$S,MATCH([1]TBMapping!$C491,'[1]TrialBalance (YTD)'!G:G,0),MATCH([1]TBMapping!H$3,'[1]TrialBalance (YTD)'!$G$7:$Z$7,0)),0)</f>
        <v>0</v>
      </c>
      <c r="H489" s="5" t="e">
        <f>SUMIF('[1]TrialBalance (YTD)'!G:G,B489,'[1]TrialBalance (YTD)'!H:H)</f>
        <v>#VALUE!</v>
      </c>
      <c r="I489" s="5">
        <f>IFERROR(INDEX('[1]TrialBalance (YTD)'!$G:$S,MATCH([1]TBMapping!$C491,'[1]TrialBalance (YTD)'!G:G,0),MATCH([1]TBMapping!J$3,'[1]TrialBalance (YTD)'!$G$7:$Z$7,0)),0)</f>
        <v>0</v>
      </c>
      <c r="K489" s="5" t="e">
        <f>SUMIF('[1]TrialBalance (Quarter)'!$A:$A,B489,'[1]TrialBalance (Quarter)'!$B:$B)</f>
        <v>#VALUE!</v>
      </c>
      <c r="L489" s="5">
        <f>IFERROR(INDEX('[1]TrialBalance (Quarter)'!$A:$L,MATCH([1]TBMapping!$C491,'[1]TrialBalance (Quarter)'!A:A,0),MATCH([1]TBMapping!M$3,'[1]TrialBalance (Quarter)'!$7:$7,0)),0)</f>
        <v>0</v>
      </c>
      <c r="M489" s="5">
        <f>IFERROR(INDEX('[1]TrialBalance (Quarter)'!$A:$L,MATCH([1]TBMapping!$C491,'[1]TrialBalance (Quarter)'!A:A,0),MATCH([1]TBMapping!N$3,'[1]TrialBalance (Quarter)'!$7:$7,0)),0)</f>
        <v>0</v>
      </c>
      <c r="N489" s="5">
        <f>IFERROR(INDEX('[1]TrialBalance (Quarter)'!$A:$L,MATCH([1]TBMapping!$C491,'[1]TrialBalance (Quarter)'!A:A,0),MATCH([1]TBMapping!O$3,'[1]TrialBalance (Quarter)'!$7:$7,0)),0)</f>
        <v>0</v>
      </c>
    </row>
    <row r="490" spans="1:14">
      <c r="A490" s="2">
        <v>110</v>
      </c>
      <c r="B490" s="3">
        <v>153432</v>
      </c>
      <c r="C490" s="11" t="s">
        <v>450</v>
      </c>
      <c r="D490" s="11" t="s">
        <v>11</v>
      </c>
      <c r="E490" s="11"/>
      <c r="F490" s="5" t="e">
        <f>IF(DataExtraction="Manual",SUMIF('[1]TrialBalance (YTD)'!$C:$C,B490,'[1]TrialBalance (YTD)'!$E:$E),SUMIF('[1]TrialBalance (YTD)'!$G:$G,B490,'[1]TrialBalance (YTD)'!$I:$I))</f>
        <v>#VALUE!</v>
      </c>
      <c r="G490" s="5">
        <f>IFERROR(INDEX('[1]TrialBalance (YTD)'!$G:$S,MATCH([1]TBMapping!$C492,'[1]TrialBalance (YTD)'!G:G,0),MATCH([1]TBMapping!H$3,'[1]TrialBalance (YTD)'!$G$7:$Z$7,0)),0)</f>
        <v>0</v>
      </c>
      <c r="H490" s="5" t="e">
        <f>SUMIF('[1]TrialBalance (YTD)'!G:G,B490,'[1]TrialBalance (YTD)'!H:H)</f>
        <v>#VALUE!</v>
      </c>
      <c r="I490" s="5">
        <f>IFERROR(INDEX('[1]TrialBalance (YTD)'!$G:$S,MATCH([1]TBMapping!$C492,'[1]TrialBalance (YTD)'!G:G,0),MATCH([1]TBMapping!J$3,'[1]TrialBalance (YTD)'!$G$7:$Z$7,0)),0)</f>
        <v>0</v>
      </c>
      <c r="K490" s="5" t="e">
        <f>SUMIF('[1]TrialBalance (Quarter)'!$A:$A,B490,'[1]TrialBalance (Quarter)'!$B:$B)</f>
        <v>#VALUE!</v>
      </c>
      <c r="L490" s="5">
        <f>IFERROR(INDEX('[1]TrialBalance (Quarter)'!$A:$L,MATCH([1]TBMapping!$C492,'[1]TrialBalance (Quarter)'!A:A,0),MATCH([1]TBMapping!M$3,'[1]TrialBalance (Quarter)'!$7:$7,0)),0)</f>
        <v>0</v>
      </c>
      <c r="M490" s="5">
        <f>IFERROR(INDEX('[1]TrialBalance (Quarter)'!$A:$L,MATCH([1]TBMapping!$C492,'[1]TrialBalance (Quarter)'!A:A,0),MATCH([1]TBMapping!N$3,'[1]TrialBalance (Quarter)'!$7:$7,0)),0)</f>
        <v>0</v>
      </c>
      <c r="N490" s="5">
        <f>IFERROR(INDEX('[1]TrialBalance (Quarter)'!$A:$L,MATCH([1]TBMapping!$C492,'[1]TrialBalance (Quarter)'!A:A,0),MATCH([1]TBMapping!O$3,'[1]TrialBalance (Quarter)'!$7:$7,0)),0)</f>
        <v>0</v>
      </c>
    </row>
    <row r="491" spans="1:14">
      <c r="B491" s="3">
        <v>153499</v>
      </c>
      <c r="C491" s="10" t="s">
        <v>451</v>
      </c>
      <c r="D491" s="10" t="s">
        <v>16</v>
      </c>
      <c r="E491" s="10"/>
      <c r="F491" s="5" t="e">
        <f>IF(DataExtraction="Manual",SUMIF('[1]TrialBalance (YTD)'!$C:$C,B491,'[1]TrialBalance (YTD)'!$E:$E),SUMIF('[1]TrialBalance (YTD)'!$G:$G,B491,'[1]TrialBalance (YTD)'!$I:$I))</f>
        <v>#VALUE!</v>
      </c>
      <c r="G491" s="5">
        <f>IFERROR(INDEX('[1]TrialBalance (YTD)'!$G:$S,MATCH([1]TBMapping!$C493,'[1]TrialBalance (YTD)'!G:G,0),MATCH([1]TBMapping!H$3,'[1]TrialBalance (YTD)'!$G$7:$Z$7,0)),0)</f>
        <v>0</v>
      </c>
      <c r="H491" s="5" t="e">
        <f>SUMIF('[1]TrialBalance (YTD)'!G:G,B491,'[1]TrialBalance (YTD)'!H:H)</f>
        <v>#VALUE!</v>
      </c>
      <c r="I491" s="5">
        <f>IFERROR(INDEX('[1]TrialBalance (YTD)'!$G:$S,MATCH([1]TBMapping!$C493,'[1]TrialBalance (YTD)'!G:G,0),MATCH([1]TBMapping!J$3,'[1]TrialBalance (YTD)'!$G$7:$Z$7,0)),0)</f>
        <v>0</v>
      </c>
      <c r="K491" s="5" t="e">
        <f>SUMIF('[1]TrialBalance (Quarter)'!$A:$A,B491,'[1]TrialBalance (Quarter)'!$B:$B)</f>
        <v>#VALUE!</v>
      </c>
      <c r="L491" s="5">
        <f>IFERROR(INDEX('[1]TrialBalance (Quarter)'!$A:$L,MATCH([1]TBMapping!$C493,'[1]TrialBalance (Quarter)'!A:A,0),MATCH([1]TBMapping!M$3,'[1]TrialBalance (Quarter)'!$7:$7,0)),0)</f>
        <v>0</v>
      </c>
      <c r="M491" s="5">
        <f>IFERROR(INDEX('[1]TrialBalance (Quarter)'!$A:$L,MATCH([1]TBMapping!$C493,'[1]TrialBalance (Quarter)'!A:A,0),MATCH([1]TBMapping!N$3,'[1]TrialBalance (Quarter)'!$7:$7,0)),0)</f>
        <v>0</v>
      </c>
      <c r="N491" s="5">
        <f>IFERROR(INDEX('[1]TrialBalance (Quarter)'!$A:$L,MATCH([1]TBMapping!$C493,'[1]TrialBalance (Quarter)'!A:A,0),MATCH([1]TBMapping!O$3,'[1]TrialBalance (Quarter)'!$7:$7,0)),0)</f>
        <v>0</v>
      </c>
    </row>
    <row r="492" spans="1:14">
      <c r="B492" s="3">
        <v>153999</v>
      </c>
      <c r="C492" s="11" t="s">
        <v>452</v>
      </c>
      <c r="D492" s="11" t="s">
        <v>16</v>
      </c>
      <c r="E492" s="11"/>
      <c r="F492" s="5" t="e">
        <f>IF(DataExtraction="Manual",SUMIF('[1]TrialBalance (YTD)'!$C:$C,B492,'[1]TrialBalance (YTD)'!$E:$E),SUMIF('[1]TrialBalance (YTD)'!$G:$G,B492,'[1]TrialBalance (YTD)'!$I:$I))</f>
        <v>#VALUE!</v>
      </c>
      <c r="G492" s="5">
        <f>IFERROR(INDEX('[1]TrialBalance (YTD)'!$G:$S,MATCH([1]TBMapping!$C494,'[1]TrialBalance (YTD)'!G:G,0),MATCH([1]TBMapping!H$3,'[1]TrialBalance (YTD)'!$G$7:$Z$7,0)),0)</f>
        <v>0</v>
      </c>
      <c r="H492" s="5" t="e">
        <f>SUMIF('[1]TrialBalance (YTD)'!G:G,B492,'[1]TrialBalance (YTD)'!H:H)</f>
        <v>#VALUE!</v>
      </c>
      <c r="I492" s="5">
        <f>IFERROR(INDEX('[1]TrialBalance (YTD)'!$G:$S,MATCH([1]TBMapping!$C494,'[1]TrialBalance (YTD)'!G:G,0),MATCH([1]TBMapping!J$3,'[1]TrialBalance (YTD)'!$G$7:$Z$7,0)),0)</f>
        <v>0</v>
      </c>
      <c r="K492" s="5" t="e">
        <f>SUMIF('[1]TrialBalance (Quarter)'!$A:$A,B492,'[1]TrialBalance (Quarter)'!$B:$B)</f>
        <v>#VALUE!</v>
      </c>
      <c r="L492" s="5">
        <f>IFERROR(INDEX('[1]TrialBalance (Quarter)'!$A:$L,MATCH([1]TBMapping!$C494,'[1]TrialBalance (Quarter)'!A:A,0),MATCH([1]TBMapping!M$3,'[1]TrialBalance (Quarter)'!$7:$7,0)),0)</f>
        <v>0</v>
      </c>
      <c r="M492" s="5">
        <f>IFERROR(INDEX('[1]TrialBalance (Quarter)'!$A:$L,MATCH([1]TBMapping!$C494,'[1]TrialBalance (Quarter)'!A:A,0),MATCH([1]TBMapping!N$3,'[1]TrialBalance (Quarter)'!$7:$7,0)),0)</f>
        <v>0</v>
      </c>
      <c r="N492" s="5">
        <f>IFERROR(INDEX('[1]TrialBalance (Quarter)'!$A:$L,MATCH([1]TBMapping!$C494,'[1]TrialBalance (Quarter)'!A:A,0),MATCH([1]TBMapping!O$3,'[1]TrialBalance (Quarter)'!$7:$7,0)),0)</f>
        <v>0</v>
      </c>
    </row>
    <row r="493" spans="1:14">
      <c r="B493" s="3">
        <v>154000</v>
      </c>
      <c r="C493" s="10" t="s">
        <v>453</v>
      </c>
      <c r="D493" s="10" t="s">
        <v>5</v>
      </c>
      <c r="E493" s="10"/>
      <c r="F493" s="5" t="e">
        <f>IF(DataExtraction="Manual",SUMIF('[1]TrialBalance (YTD)'!$C:$C,B493,'[1]TrialBalance (YTD)'!$E:$E),SUMIF('[1]TrialBalance (YTD)'!$G:$G,B493,'[1]TrialBalance (YTD)'!$I:$I))</f>
        <v>#VALUE!</v>
      </c>
      <c r="G493" s="5">
        <f>IFERROR(INDEX('[1]TrialBalance (YTD)'!$G:$S,MATCH([1]TBMapping!$C495,'[1]TrialBalance (YTD)'!G:G,0),MATCH([1]TBMapping!H$3,'[1]TrialBalance (YTD)'!$G$7:$Z$7,0)),0)</f>
        <v>0</v>
      </c>
      <c r="H493" s="5" t="e">
        <f>SUMIF('[1]TrialBalance (YTD)'!G:G,B493,'[1]TrialBalance (YTD)'!H:H)</f>
        <v>#VALUE!</v>
      </c>
      <c r="I493" s="5">
        <f>IFERROR(INDEX('[1]TrialBalance (YTD)'!$G:$S,MATCH([1]TBMapping!$C495,'[1]TrialBalance (YTD)'!G:G,0),MATCH([1]TBMapping!J$3,'[1]TrialBalance (YTD)'!$G$7:$Z$7,0)),0)</f>
        <v>0</v>
      </c>
      <c r="K493" s="5" t="e">
        <f>SUMIF('[1]TrialBalance (Quarter)'!$A:$A,B493,'[1]TrialBalance (Quarter)'!$B:$B)</f>
        <v>#VALUE!</v>
      </c>
      <c r="L493" s="5">
        <f>IFERROR(INDEX('[1]TrialBalance (Quarter)'!$A:$L,MATCH([1]TBMapping!$C495,'[1]TrialBalance (Quarter)'!A:A,0),MATCH([1]TBMapping!M$3,'[1]TrialBalance (Quarter)'!$7:$7,0)),0)</f>
        <v>0</v>
      </c>
      <c r="M493" s="5">
        <f>IFERROR(INDEX('[1]TrialBalance (Quarter)'!$A:$L,MATCH([1]TBMapping!$C495,'[1]TrialBalance (Quarter)'!A:A,0),MATCH([1]TBMapping!N$3,'[1]TrialBalance (Quarter)'!$7:$7,0)),0)</f>
        <v>0</v>
      </c>
      <c r="N493" s="5">
        <f>IFERROR(INDEX('[1]TrialBalance (Quarter)'!$A:$L,MATCH([1]TBMapping!$C495,'[1]TrialBalance (Quarter)'!A:A,0),MATCH([1]TBMapping!O$3,'[1]TrialBalance (Quarter)'!$7:$7,0)),0)</f>
        <v>0</v>
      </c>
    </row>
    <row r="494" spans="1:14">
      <c r="B494" s="3">
        <v>154100</v>
      </c>
      <c r="C494" s="11" t="s">
        <v>454</v>
      </c>
      <c r="D494" s="11" t="s">
        <v>5</v>
      </c>
      <c r="E494" s="11"/>
      <c r="F494" s="5" t="e">
        <f>IF(DataExtraction="Manual",SUMIF('[1]TrialBalance (YTD)'!$C:$C,B494,'[1]TrialBalance (YTD)'!$E:$E),SUMIF('[1]TrialBalance (YTD)'!$G:$G,B494,'[1]TrialBalance (YTD)'!$I:$I))</f>
        <v>#VALUE!</v>
      </c>
      <c r="G494" s="5">
        <f>IFERROR(INDEX('[1]TrialBalance (YTD)'!$G:$S,MATCH([1]TBMapping!$C496,'[1]TrialBalance (YTD)'!G:G,0),MATCH([1]TBMapping!H$3,'[1]TrialBalance (YTD)'!$G$7:$Z$7,0)),0)</f>
        <v>0</v>
      </c>
      <c r="H494" s="5" t="e">
        <f>SUMIF('[1]TrialBalance (YTD)'!G:G,B494,'[1]TrialBalance (YTD)'!H:H)</f>
        <v>#VALUE!</v>
      </c>
      <c r="I494" s="5">
        <f>IFERROR(INDEX('[1]TrialBalance (YTD)'!$G:$S,MATCH([1]TBMapping!$C496,'[1]TrialBalance (YTD)'!G:G,0),MATCH([1]TBMapping!J$3,'[1]TrialBalance (YTD)'!$G$7:$Z$7,0)),0)</f>
        <v>0</v>
      </c>
      <c r="K494" s="5" t="e">
        <f>SUMIF('[1]TrialBalance (Quarter)'!$A:$A,B494,'[1]TrialBalance (Quarter)'!$B:$B)</f>
        <v>#VALUE!</v>
      </c>
      <c r="L494" s="5">
        <f>IFERROR(INDEX('[1]TrialBalance (Quarter)'!$A:$L,MATCH([1]TBMapping!$C496,'[1]TrialBalance (Quarter)'!A:A,0),MATCH([1]TBMapping!M$3,'[1]TrialBalance (Quarter)'!$7:$7,0)),0)</f>
        <v>0</v>
      </c>
      <c r="M494" s="5">
        <f>IFERROR(INDEX('[1]TrialBalance (Quarter)'!$A:$L,MATCH([1]TBMapping!$C496,'[1]TrialBalance (Quarter)'!A:A,0),MATCH([1]TBMapping!N$3,'[1]TrialBalance (Quarter)'!$7:$7,0)),0)</f>
        <v>0</v>
      </c>
      <c r="N494" s="5">
        <f>IFERROR(INDEX('[1]TrialBalance (Quarter)'!$A:$L,MATCH([1]TBMapping!$C496,'[1]TrialBalance (Quarter)'!A:A,0),MATCH([1]TBMapping!O$3,'[1]TrialBalance (Quarter)'!$7:$7,0)),0)</f>
        <v>0</v>
      </c>
    </row>
    <row r="495" spans="1:14">
      <c r="A495" s="2">
        <v>110</v>
      </c>
      <c r="B495" s="3">
        <v>154110</v>
      </c>
      <c r="C495" s="10" t="s">
        <v>455</v>
      </c>
      <c r="D495" s="10" t="s">
        <v>11</v>
      </c>
      <c r="E495" s="10"/>
      <c r="F495" s="5" t="e">
        <f>IF(DataExtraction="Manual",SUMIF('[1]TrialBalance (YTD)'!$C:$C,B495,'[1]TrialBalance (YTD)'!$E:$E),SUMIF('[1]TrialBalance (YTD)'!$G:$G,B495,'[1]TrialBalance (YTD)'!$I:$I))</f>
        <v>#VALUE!</v>
      </c>
      <c r="G495" s="5">
        <f>IFERROR(INDEX('[1]TrialBalance (YTD)'!$G:$S,MATCH([1]TBMapping!$C497,'[1]TrialBalance (YTD)'!G:G,0),MATCH([1]TBMapping!H$3,'[1]TrialBalance (YTD)'!$G$7:$Z$7,0)),0)</f>
        <v>0</v>
      </c>
      <c r="H495" s="5" t="e">
        <f>SUMIF('[1]TrialBalance (YTD)'!G:G,B495,'[1]TrialBalance (YTD)'!H:H)</f>
        <v>#VALUE!</v>
      </c>
      <c r="I495" s="5">
        <f>IFERROR(INDEX('[1]TrialBalance (YTD)'!$G:$S,MATCH([1]TBMapping!$C497,'[1]TrialBalance (YTD)'!G:G,0),MATCH([1]TBMapping!J$3,'[1]TrialBalance (YTD)'!$G$7:$Z$7,0)),0)</f>
        <v>0</v>
      </c>
      <c r="K495" s="5" t="e">
        <f>SUMIF('[1]TrialBalance (Quarter)'!$A:$A,B495,'[1]TrialBalance (Quarter)'!$B:$B)</f>
        <v>#VALUE!</v>
      </c>
      <c r="L495" s="5">
        <f>IFERROR(INDEX('[1]TrialBalance (Quarter)'!$A:$L,MATCH([1]TBMapping!$C497,'[1]TrialBalance (Quarter)'!A:A,0),MATCH([1]TBMapping!M$3,'[1]TrialBalance (Quarter)'!$7:$7,0)),0)</f>
        <v>0</v>
      </c>
      <c r="M495" s="5">
        <f>IFERROR(INDEX('[1]TrialBalance (Quarter)'!$A:$L,MATCH([1]TBMapping!$C497,'[1]TrialBalance (Quarter)'!A:A,0),MATCH([1]TBMapping!N$3,'[1]TrialBalance (Quarter)'!$7:$7,0)),0)</f>
        <v>0</v>
      </c>
      <c r="N495" s="5">
        <f>IFERROR(INDEX('[1]TrialBalance (Quarter)'!$A:$L,MATCH([1]TBMapping!$C497,'[1]TrialBalance (Quarter)'!A:A,0),MATCH([1]TBMapping!O$3,'[1]TrialBalance (Quarter)'!$7:$7,0)),0)</f>
        <v>0</v>
      </c>
    </row>
    <row r="496" spans="1:14">
      <c r="A496" s="2">
        <v>110</v>
      </c>
      <c r="B496" s="3">
        <v>154111</v>
      </c>
      <c r="C496" s="11" t="s">
        <v>456</v>
      </c>
      <c r="D496" s="11" t="s">
        <v>11</v>
      </c>
      <c r="E496" s="11"/>
      <c r="F496" s="5" t="e">
        <f>IF(DataExtraction="Manual",SUMIF('[1]TrialBalance (YTD)'!$C:$C,B496,'[1]TrialBalance (YTD)'!$E:$E),SUMIF('[1]TrialBalance (YTD)'!$G:$G,B496,'[1]TrialBalance (YTD)'!$I:$I))</f>
        <v>#VALUE!</v>
      </c>
      <c r="G496" s="5">
        <f>IFERROR(INDEX('[1]TrialBalance (YTD)'!$G:$S,MATCH([1]TBMapping!$C498,'[1]TrialBalance (YTD)'!G:G,0),MATCH([1]TBMapping!H$3,'[1]TrialBalance (YTD)'!$G$7:$Z$7,0)),0)</f>
        <v>0</v>
      </c>
      <c r="H496" s="5" t="e">
        <f>SUMIF('[1]TrialBalance (YTD)'!G:G,B496,'[1]TrialBalance (YTD)'!H:H)</f>
        <v>#VALUE!</v>
      </c>
      <c r="I496" s="5">
        <f>IFERROR(INDEX('[1]TrialBalance (YTD)'!$G:$S,MATCH([1]TBMapping!$C498,'[1]TrialBalance (YTD)'!G:G,0),MATCH([1]TBMapping!J$3,'[1]TrialBalance (YTD)'!$G$7:$Z$7,0)),0)</f>
        <v>0</v>
      </c>
      <c r="K496" s="5" t="e">
        <f>SUMIF('[1]TrialBalance (Quarter)'!$A:$A,B496,'[1]TrialBalance (Quarter)'!$B:$B)</f>
        <v>#VALUE!</v>
      </c>
      <c r="L496" s="5">
        <f>IFERROR(INDEX('[1]TrialBalance (Quarter)'!$A:$L,MATCH([1]TBMapping!$C498,'[1]TrialBalance (Quarter)'!A:A,0),MATCH([1]TBMapping!M$3,'[1]TrialBalance (Quarter)'!$7:$7,0)),0)</f>
        <v>0</v>
      </c>
      <c r="M496" s="5">
        <f>IFERROR(INDEX('[1]TrialBalance (Quarter)'!$A:$L,MATCH([1]TBMapping!$C498,'[1]TrialBalance (Quarter)'!A:A,0),MATCH([1]TBMapping!N$3,'[1]TrialBalance (Quarter)'!$7:$7,0)),0)</f>
        <v>0</v>
      </c>
      <c r="N496" s="5">
        <f>IFERROR(INDEX('[1]TrialBalance (Quarter)'!$A:$L,MATCH([1]TBMapping!$C498,'[1]TrialBalance (Quarter)'!A:A,0),MATCH([1]TBMapping!O$3,'[1]TrialBalance (Quarter)'!$7:$7,0)),0)</f>
        <v>0</v>
      </c>
    </row>
    <row r="497" spans="1:14">
      <c r="A497" s="2">
        <v>110</v>
      </c>
      <c r="B497" s="3">
        <v>154112</v>
      </c>
      <c r="C497" s="10" t="s">
        <v>457</v>
      </c>
      <c r="D497" s="10" t="s">
        <v>11</v>
      </c>
      <c r="E497" s="10"/>
      <c r="F497" s="5" t="e">
        <f>IF(DataExtraction="Manual",SUMIF('[1]TrialBalance (YTD)'!$C:$C,B497,'[1]TrialBalance (YTD)'!$E:$E),SUMIF('[1]TrialBalance (YTD)'!$G:$G,B497,'[1]TrialBalance (YTD)'!$I:$I))</f>
        <v>#VALUE!</v>
      </c>
      <c r="G497" s="5">
        <f>IFERROR(INDEX('[1]TrialBalance (YTD)'!$G:$S,MATCH([1]TBMapping!$C499,'[1]TrialBalance (YTD)'!G:G,0),MATCH([1]TBMapping!H$3,'[1]TrialBalance (YTD)'!$G$7:$Z$7,0)),0)</f>
        <v>0</v>
      </c>
      <c r="H497" s="5" t="e">
        <f>SUMIF('[1]TrialBalance (YTD)'!G:G,B497,'[1]TrialBalance (YTD)'!H:H)</f>
        <v>#VALUE!</v>
      </c>
      <c r="I497" s="5">
        <f>IFERROR(INDEX('[1]TrialBalance (YTD)'!$G:$S,MATCH([1]TBMapping!$C499,'[1]TrialBalance (YTD)'!G:G,0),MATCH([1]TBMapping!J$3,'[1]TrialBalance (YTD)'!$G$7:$Z$7,0)),0)</f>
        <v>0</v>
      </c>
      <c r="K497" s="5" t="e">
        <f>SUMIF('[1]TrialBalance (Quarter)'!$A:$A,B497,'[1]TrialBalance (Quarter)'!$B:$B)</f>
        <v>#VALUE!</v>
      </c>
      <c r="L497" s="5">
        <f>IFERROR(INDEX('[1]TrialBalance (Quarter)'!$A:$L,MATCH([1]TBMapping!$C499,'[1]TrialBalance (Quarter)'!A:A,0),MATCH([1]TBMapping!M$3,'[1]TrialBalance (Quarter)'!$7:$7,0)),0)</f>
        <v>0</v>
      </c>
      <c r="M497" s="5">
        <f>IFERROR(INDEX('[1]TrialBalance (Quarter)'!$A:$L,MATCH([1]TBMapping!$C499,'[1]TrialBalance (Quarter)'!A:A,0),MATCH([1]TBMapping!N$3,'[1]TrialBalance (Quarter)'!$7:$7,0)),0)</f>
        <v>0</v>
      </c>
      <c r="N497" s="5">
        <f>IFERROR(INDEX('[1]TrialBalance (Quarter)'!$A:$L,MATCH([1]TBMapping!$C499,'[1]TrialBalance (Quarter)'!A:A,0),MATCH([1]TBMapping!O$3,'[1]TrialBalance (Quarter)'!$7:$7,0)),0)</f>
        <v>0</v>
      </c>
    </row>
    <row r="498" spans="1:14">
      <c r="A498" s="2">
        <v>110</v>
      </c>
      <c r="B498" s="3">
        <v>154113</v>
      </c>
      <c r="C498" s="11" t="s">
        <v>458</v>
      </c>
      <c r="D498" s="11" t="s">
        <v>11</v>
      </c>
      <c r="E498" s="11"/>
      <c r="F498" s="5" t="e">
        <f>IF(DataExtraction="Manual",SUMIF('[1]TrialBalance (YTD)'!$C:$C,B498,'[1]TrialBalance (YTD)'!$E:$E),SUMIF('[1]TrialBalance (YTD)'!$G:$G,B498,'[1]TrialBalance (YTD)'!$I:$I))</f>
        <v>#VALUE!</v>
      </c>
      <c r="G498" s="5">
        <f>IFERROR(INDEX('[1]TrialBalance (YTD)'!$G:$S,MATCH([1]TBMapping!$C500,'[1]TrialBalance (YTD)'!G:G,0),MATCH([1]TBMapping!H$3,'[1]TrialBalance (YTD)'!$G$7:$Z$7,0)),0)</f>
        <v>0</v>
      </c>
      <c r="H498" s="5" t="e">
        <f>SUMIF('[1]TrialBalance (YTD)'!G:G,B498,'[1]TrialBalance (YTD)'!H:H)</f>
        <v>#VALUE!</v>
      </c>
      <c r="I498" s="5">
        <f>IFERROR(INDEX('[1]TrialBalance (YTD)'!$G:$S,MATCH([1]TBMapping!$C500,'[1]TrialBalance (YTD)'!G:G,0),MATCH([1]TBMapping!J$3,'[1]TrialBalance (YTD)'!$G$7:$Z$7,0)),0)</f>
        <v>0</v>
      </c>
      <c r="K498" s="5" t="e">
        <f>SUMIF('[1]TrialBalance (Quarter)'!$A:$A,B498,'[1]TrialBalance (Quarter)'!$B:$B)</f>
        <v>#VALUE!</v>
      </c>
      <c r="L498" s="5">
        <f>IFERROR(INDEX('[1]TrialBalance (Quarter)'!$A:$L,MATCH([1]TBMapping!$C500,'[1]TrialBalance (Quarter)'!A:A,0),MATCH([1]TBMapping!M$3,'[1]TrialBalance (Quarter)'!$7:$7,0)),0)</f>
        <v>0</v>
      </c>
      <c r="M498" s="5">
        <f>IFERROR(INDEX('[1]TrialBalance (Quarter)'!$A:$L,MATCH([1]TBMapping!$C500,'[1]TrialBalance (Quarter)'!A:A,0),MATCH([1]TBMapping!N$3,'[1]TrialBalance (Quarter)'!$7:$7,0)),0)</f>
        <v>0</v>
      </c>
      <c r="N498" s="5">
        <f>IFERROR(INDEX('[1]TrialBalance (Quarter)'!$A:$L,MATCH([1]TBMapping!$C500,'[1]TrialBalance (Quarter)'!A:A,0),MATCH([1]TBMapping!O$3,'[1]TrialBalance (Quarter)'!$7:$7,0)),0)</f>
        <v>0</v>
      </c>
    </row>
    <row r="499" spans="1:14">
      <c r="A499" s="2">
        <v>110</v>
      </c>
      <c r="B499" s="3">
        <v>154120</v>
      </c>
      <c r="C499" s="10" t="s">
        <v>459</v>
      </c>
      <c r="D499" s="10" t="s">
        <v>11</v>
      </c>
      <c r="E499" s="10"/>
      <c r="F499" s="5" t="e">
        <f>IF(DataExtraction="Manual",SUMIF('[1]TrialBalance (YTD)'!$C:$C,B499,'[1]TrialBalance (YTD)'!$E:$E),SUMIF('[1]TrialBalance (YTD)'!$G:$G,B499,'[1]TrialBalance (YTD)'!$I:$I))</f>
        <v>#VALUE!</v>
      </c>
      <c r="G499" s="5">
        <f>IFERROR(INDEX('[1]TrialBalance (YTD)'!$G:$S,MATCH([1]TBMapping!$C501,'[1]TrialBalance (YTD)'!G:G,0),MATCH([1]TBMapping!H$3,'[1]TrialBalance (YTD)'!$G$7:$Z$7,0)),0)</f>
        <v>0</v>
      </c>
      <c r="H499" s="5" t="e">
        <f>SUMIF('[1]TrialBalance (YTD)'!G:G,B499,'[1]TrialBalance (YTD)'!H:H)</f>
        <v>#VALUE!</v>
      </c>
      <c r="I499" s="5">
        <f>IFERROR(INDEX('[1]TrialBalance (YTD)'!$G:$S,MATCH([1]TBMapping!$C501,'[1]TrialBalance (YTD)'!G:G,0),MATCH([1]TBMapping!J$3,'[1]TrialBalance (YTD)'!$G$7:$Z$7,0)),0)</f>
        <v>10901783.890000001</v>
      </c>
      <c r="K499" s="5" t="e">
        <f>SUMIF('[1]TrialBalance (Quarter)'!$A:$A,B499,'[1]TrialBalance (Quarter)'!$B:$B)</f>
        <v>#VALUE!</v>
      </c>
      <c r="L499" s="5">
        <f>IFERROR(INDEX('[1]TrialBalance (Quarter)'!$A:$L,MATCH([1]TBMapping!$C501,'[1]TrialBalance (Quarter)'!A:A,0),MATCH([1]TBMapping!M$3,'[1]TrialBalance (Quarter)'!$7:$7,0)),0)</f>
        <v>0</v>
      </c>
      <c r="M499" s="5">
        <f>IFERROR(INDEX('[1]TrialBalance (Quarter)'!$A:$L,MATCH([1]TBMapping!$C501,'[1]TrialBalance (Quarter)'!A:A,0),MATCH([1]TBMapping!N$3,'[1]TrialBalance (Quarter)'!$7:$7,0)),0)</f>
        <v>5261211.5999999996</v>
      </c>
      <c r="N499" s="5">
        <f>IFERROR(INDEX('[1]TrialBalance (Quarter)'!$A:$L,MATCH([1]TBMapping!$C501,'[1]TrialBalance (Quarter)'!A:A,0),MATCH([1]TBMapping!O$3,'[1]TrialBalance (Quarter)'!$7:$7,0)),0)</f>
        <v>5612769.7199999997</v>
      </c>
    </row>
    <row r="500" spans="1:14">
      <c r="A500" s="2">
        <v>110</v>
      </c>
      <c r="B500" s="3">
        <v>154130</v>
      </c>
      <c r="C500" s="11" t="s">
        <v>460</v>
      </c>
      <c r="D500" s="11" t="s">
        <v>11</v>
      </c>
      <c r="E500" s="11"/>
      <c r="F500" s="5" t="e">
        <f>IF(DataExtraction="Manual",SUMIF('[1]TrialBalance (YTD)'!$C:$C,B500,'[1]TrialBalance (YTD)'!$E:$E),SUMIF('[1]TrialBalance (YTD)'!$G:$G,B500,'[1]TrialBalance (YTD)'!$I:$I))</f>
        <v>#VALUE!</v>
      </c>
      <c r="G500" s="5">
        <f>IFERROR(INDEX('[1]TrialBalance (YTD)'!$G:$S,MATCH([1]TBMapping!$C502,'[1]TrialBalance (YTD)'!G:G,0),MATCH([1]TBMapping!H$3,'[1]TrialBalance (YTD)'!$G$7:$Z$7,0)),0)</f>
        <v>0</v>
      </c>
      <c r="H500" s="5" t="e">
        <f>SUMIF('[1]TrialBalance (YTD)'!G:G,B500,'[1]TrialBalance (YTD)'!H:H)</f>
        <v>#VALUE!</v>
      </c>
      <c r="I500" s="5">
        <f>IFERROR(INDEX('[1]TrialBalance (YTD)'!$G:$S,MATCH([1]TBMapping!$C502,'[1]TrialBalance (YTD)'!G:G,0),MATCH([1]TBMapping!J$3,'[1]TrialBalance (YTD)'!$G$7:$Z$7,0)),0)</f>
        <v>0</v>
      </c>
      <c r="K500" s="5" t="e">
        <f>SUMIF('[1]TrialBalance (Quarter)'!$A:$A,B500,'[1]TrialBalance (Quarter)'!$B:$B)</f>
        <v>#VALUE!</v>
      </c>
      <c r="L500" s="5">
        <f>IFERROR(INDEX('[1]TrialBalance (Quarter)'!$A:$L,MATCH([1]TBMapping!$C502,'[1]TrialBalance (Quarter)'!A:A,0),MATCH([1]TBMapping!M$3,'[1]TrialBalance (Quarter)'!$7:$7,0)),0)</f>
        <v>0</v>
      </c>
      <c r="M500" s="5">
        <f>IFERROR(INDEX('[1]TrialBalance (Quarter)'!$A:$L,MATCH([1]TBMapping!$C502,'[1]TrialBalance (Quarter)'!A:A,0),MATCH([1]TBMapping!N$3,'[1]TrialBalance (Quarter)'!$7:$7,0)),0)</f>
        <v>0</v>
      </c>
      <c r="N500" s="5">
        <f>IFERROR(INDEX('[1]TrialBalance (Quarter)'!$A:$L,MATCH([1]TBMapping!$C502,'[1]TrialBalance (Quarter)'!A:A,0),MATCH([1]TBMapping!O$3,'[1]TrialBalance (Quarter)'!$7:$7,0)),0)</f>
        <v>0</v>
      </c>
    </row>
    <row r="501" spans="1:14">
      <c r="A501" s="2">
        <v>110</v>
      </c>
      <c r="B501" s="3">
        <v>154131</v>
      </c>
      <c r="C501" s="10" t="s">
        <v>461</v>
      </c>
      <c r="D501" s="10" t="s">
        <v>11</v>
      </c>
      <c r="E501" s="10"/>
      <c r="F501" s="5" t="e">
        <f>IF(DataExtraction="Manual",SUMIF('[1]TrialBalance (YTD)'!$C:$C,B501,'[1]TrialBalance (YTD)'!$E:$E),SUMIF('[1]TrialBalance (YTD)'!$G:$G,B501,'[1]TrialBalance (YTD)'!$I:$I))</f>
        <v>#VALUE!</v>
      </c>
      <c r="G501" s="5">
        <f>IFERROR(INDEX('[1]TrialBalance (YTD)'!$G:$S,MATCH([1]TBMapping!$C503,'[1]TrialBalance (YTD)'!G:G,0),MATCH([1]TBMapping!H$3,'[1]TrialBalance (YTD)'!$G$7:$Z$7,0)),0)</f>
        <v>0</v>
      </c>
      <c r="H501" s="5" t="e">
        <f>SUMIF('[1]TrialBalance (YTD)'!G:G,B501,'[1]TrialBalance (YTD)'!H:H)</f>
        <v>#VALUE!</v>
      </c>
      <c r="I501" s="5">
        <f>IFERROR(INDEX('[1]TrialBalance (YTD)'!$G:$S,MATCH([1]TBMapping!$C503,'[1]TrialBalance (YTD)'!G:G,0),MATCH([1]TBMapping!J$3,'[1]TrialBalance (YTD)'!$G$7:$Z$7,0)),0)</f>
        <v>0</v>
      </c>
      <c r="K501" s="5" t="e">
        <f>SUMIF('[1]TrialBalance (Quarter)'!$A:$A,B501,'[1]TrialBalance (Quarter)'!$B:$B)</f>
        <v>#VALUE!</v>
      </c>
      <c r="L501" s="5">
        <f>IFERROR(INDEX('[1]TrialBalance (Quarter)'!$A:$L,MATCH([1]TBMapping!$C503,'[1]TrialBalance (Quarter)'!A:A,0),MATCH([1]TBMapping!M$3,'[1]TrialBalance (Quarter)'!$7:$7,0)),0)</f>
        <v>0</v>
      </c>
      <c r="M501" s="5">
        <f>IFERROR(INDEX('[1]TrialBalance (Quarter)'!$A:$L,MATCH([1]TBMapping!$C503,'[1]TrialBalance (Quarter)'!A:A,0),MATCH([1]TBMapping!N$3,'[1]TrialBalance (Quarter)'!$7:$7,0)),0)</f>
        <v>0</v>
      </c>
      <c r="N501" s="5">
        <f>IFERROR(INDEX('[1]TrialBalance (Quarter)'!$A:$L,MATCH([1]TBMapping!$C503,'[1]TrialBalance (Quarter)'!A:A,0),MATCH([1]TBMapping!O$3,'[1]TrialBalance (Quarter)'!$7:$7,0)),0)</f>
        <v>0</v>
      </c>
    </row>
    <row r="502" spans="1:14">
      <c r="A502" s="2">
        <v>110</v>
      </c>
      <c r="B502" s="3">
        <v>154132</v>
      </c>
      <c r="C502" s="11" t="s">
        <v>462</v>
      </c>
      <c r="D502" s="11" t="s">
        <v>11</v>
      </c>
      <c r="E502" s="11"/>
      <c r="F502" s="5" t="e">
        <f>IF(DataExtraction="Manual",SUMIF('[1]TrialBalance (YTD)'!$C:$C,B502,'[1]TrialBalance (YTD)'!$E:$E),SUMIF('[1]TrialBalance (YTD)'!$G:$G,B502,'[1]TrialBalance (YTD)'!$I:$I))</f>
        <v>#VALUE!</v>
      </c>
      <c r="G502" s="5">
        <f>IFERROR(INDEX('[1]TrialBalance (YTD)'!$G:$S,MATCH([1]TBMapping!$C504,'[1]TrialBalance (YTD)'!G:G,0),MATCH([1]TBMapping!H$3,'[1]TrialBalance (YTD)'!$G$7:$Z$7,0)),0)</f>
        <v>0</v>
      </c>
      <c r="H502" s="5" t="e">
        <f>SUMIF('[1]TrialBalance (YTD)'!G:G,B502,'[1]TrialBalance (YTD)'!H:H)</f>
        <v>#VALUE!</v>
      </c>
      <c r="I502" s="5">
        <f>IFERROR(INDEX('[1]TrialBalance (YTD)'!$G:$S,MATCH([1]TBMapping!$C504,'[1]TrialBalance (YTD)'!G:G,0),MATCH([1]TBMapping!J$3,'[1]TrialBalance (YTD)'!$G$7:$Z$7,0)),0)</f>
        <v>0</v>
      </c>
      <c r="K502" s="5" t="e">
        <f>SUMIF('[1]TrialBalance (Quarter)'!$A:$A,B502,'[1]TrialBalance (Quarter)'!$B:$B)</f>
        <v>#VALUE!</v>
      </c>
      <c r="L502" s="5">
        <f>IFERROR(INDEX('[1]TrialBalance (Quarter)'!$A:$L,MATCH([1]TBMapping!$C504,'[1]TrialBalance (Quarter)'!A:A,0),MATCH([1]TBMapping!M$3,'[1]TrialBalance (Quarter)'!$7:$7,0)),0)</f>
        <v>0</v>
      </c>
      <c r="M502" s="5">
        <f>IFERROR(INDEX('[1]TrialBalance (Quarter)'!$A:$L,MATCH([1]TBMapping!$C504,'[1]TrialBalance (Quarter)'!A:A,0),MATCH([1]TBMapping!N$3,'[1]TrialBalance (Quarter)'!$7:$7,0)),0)</f>
        <v>0</v>
      </c>
      <c r="N502" s="5">
        <f>IFERROR(INDEX('[1]TrialBalance (Quarter)'!$A:$L,MATCH([1]TBMapping!$C504,'[1]TrialBalance (Quarter)'!A:A,0),MATCH([1]TBMapping!O$3,'[1]TrialBalance (Quarter)'!$7:$7,0)),0)</f>
        <v>0</v>
      </c>
    </row>
    <row r="503" spans="1:14">
      <c r="A503" s="2">
        <v>110</v>
      </c>
      <c r="B503" s="3">
        <v>154140</v>
      </c>
      <c r="C503" s="10" t="s">
        <v>463</v>
      </c>
      <c r="D503" s="10" t="s">
        <v>11</v>
      </c>
      <c r="E503" s="10"/>
      <c r="F503" s="5" t="e">
        <f>IF(DataExtraction="Manual",SUMIF('[1]TrialBalance (YTD)'!$C:$C,B503,'[1]TrialBalance (YTD)'!$E:$E),SUMIF('[1]TrialBalance (YTD)'!$G:$G,B503,'[1]TrialBalance (YTD)'!$I:$I))</f>
        <v>#VALUE!</v>
      </c>
      <c r="G503" s="5">
        <f>IFERROR(INDEX('[1]TrialBalance (YTD)'!$G:$S,MATCH([1]TBMapping!$C505,'[1]TrialBalance (YTD)'!G:G,0),MATCH([1]TBMapping!H$3,'[1]TrialBalance (YTD)'!$G$7:$Z$7,0)),0)</f>
        <v>0</v>
      </c>
      <c r="H503" s="5" t="e">
        <f>SUMIF('[1]TrialBalance (YTD)'!G:G,B503,'[1]TrialBalance (YTD)'!H:H)</f>
        <v>#VALUE!</v>
      </c>
      <c r="I503" s="5">
        <f>IFERROR(INDEX('[1]TrialBalance (YTD)'!$G:$S,MATCH([1]TBMapping!$C505,'[1]TrialBalance (YTD)'!G:G,0),MATCH([1]TBMapping!J$3,'[1]TrialBalance (YTD)'!$G$7:$Z$7,0)),0)</f>
        <v>318192.45</v>
      </c>
      <c r="K503" s="5" t="e">
        <f>SUMIF('[1]TrialBalance (Quarter)'!$A:$A,B503,'[1]TrialBalance (Quarter)'!$B:$B)</f>
        <v>#VALUE!</v>
      </c>
      <c r="L503" s="5">
        <f>IFERROR(INDEX('[1]TrialBalance (Quarter)'!$A:$L,MATCH([1]TBMapping!$C505,'[1]TrialBalance (Quarter)'!A:A,0),MATCH([1]TBMapping!M$3,'[1]TrialBalance (Quarter)'!$7:$7,0)),0)</f>
        <v>0</v>
      </c>
      <c r="M503" s="5">
        <f>IFERROR(INDEX('[1]TrialBalance (Quarter)'!$A:$L,MATCH([1]TBMapping!$C505,'[1]TrialBalance (Quarter)'!A:A,0),MATCH([1]TBMapping!N$3,'[1]TrialBalance (Quarter)'!$7:$7,0)),0)</f>
        <v>0</v>
      </c>
      <c r="N503" s="5">
        <f>IFERROR(INDEX('[1]TrialBalance (Quarter)'!$A:$L,MATCH([1]TBMapping!$C505,'[1]TrialBalance (Quarter)'!A:A,0),MATCH([1]TBMapping!O$3,'[1]TrialBalance (Quarter)'!$7:$7,0)),0)</f>
        <v>161366.26999999999</v>
      </c>
    </row>
    <row r="504" spans="1:14">
      <c r="A504" s="2">
        <v>110</v>
      </c>
      <c r="B504" s="3">
        <v>154141</v>
      </c>
      <c r="C504" s="11" t="s">
        <v>464</v>
      </c>
      <c r="D504" s="11" t="s">
        <v>11</v>
      </c>
      <c r="E504" s="11"/>
      <c r="F504" s="5" t="e">
        <f>IF(DataExtraction="Manual",SUMIF('[1]TrialBalance (YTD)'!$C:$C,B504,'[1]TrialBalance (YTD)'!$E:$E),SUMIF('[1]TrialBalance (YTD)'!$G:$G,B504,'[1]TrialBalance (YTD)'!$I:$I))</f>
        <v>#VALUE!</v>
      </c>
      <c r="G504" s="5">
        <f>IFERROR(INDEX('[1]TrialBalance (YTD)'!$G:$S,MATCH([1]TBMapping!$C506,'[1]TrialBalance (YTD)'!G:G,0),MATCH([1]TBMapping!H$3,'[1]TrialBalance (YTD)'!$G$7:$Z$7,0)),0)</f>
        <v>0</v>
      </c>
      <c r="H504" s="5" t="e">
        <f>SUMIF('[1]TrialBalance (YTD)'!G:G,B504,'[1]TrialBalance (YTD)'!H:H)</f>
        <v>#VALUE!</v>
      </c>
      <c r="I504" s="5">
        <f>IFERROR(INDEX('[1]TrialBalance (YTD)'!$G:$S,MATCH([1]TBMapping!$C506,'[1]TrialBalance (YTD)'!G:G,0),MATCH([1]TBMapping!J$3,'[1]TrialBalance (YTD)'!$G$7:$Z$7,0)),0)</f>
        <v>671302.64</v>
      </c>
      <c r="K504" s="5" t="e">
        <f>SUMIF('[1]TrialBalance (Quarter)'!$A:$A,B504,'[1]TrialBalance (Quarter)'!$B:$B)</f>
        <v>#VALUE!</v>
      </c>
      <c r="L504" s="5">
        <f>IFERROR(INDEX('[1]TrialBalance (Quarter)'!$A:$L,MATCH([1]TBMapping!$C506,'[1]TrialBalance (Quarter)'!A:A,0),MATCH([1]TBMapping!M$3,'[1]TrialBalance (Quarter)'!$7:$7,0)),0)</f>
        <v>0</v>
      </c>
      <c r="M504" s="5">
        <f>IFERROR(INDEX('[1]TrialBalance (Quarter)'!$A:$L,MATCH([1]TBMapping!$C506,'[1]TrialBalance (Quarter)'!A:A,0),MATCH([1]TBMapping!N$3,'[1]TrialBalance (Quarter)'!$7:$7,0)),0)</f>
        <v>666210.88</v>
      </c>
      <c r="N504" s="5">
        <f>IFERROR(INDEX('[1]TrialBalance (Quarter)'!$A:$L,MATCH([1]TBMapping!$C506,'[1]TrialBalance (Quarter)'!A:A,0),MATCH([1]TBMapping!O$3,'[1]TrialBalance (Quarter)'!$7:$7,0)),0)</f>
        <v>671302.64</v>
      </c>
    </row>
    <row r="505" spans="1:14">
      <c r="A505" s="2">
        <v>110</v>
      </c>
      <c r="B505" s="3">
        <v>154142</v>
      </c>
      <c r="C505" s="10" t="s">
        <v>465</v>
      </c>
      <c r="D505" s="10" t="s">
        <v>11</v>
      </c>
      <c r="E505" s="10"/>
      <c r="F505" s="5" t="e">
        <f>IF(DataExtraction="Manual",SUMIF('[1]TrialBalance (YTD)'!$C:$C,B505,'[1]TrialBalance (YTD)'!$E:$E),SUMIF('[1]TrialBalance (YTD)'!$G:$G,B505,'[1]TrialBalance (YTD)'!$I:$I))</f>
        <v>#VALUE!</v>
      </c>
      <c r="G505" s="5">
        <f>IFERROR(INDEX('[1]TrialBalance (YTD)'!$G:$S,MATCH([1]TBMapping!$C507,'[1]TrialBalance (YTD)'!G:G,0),MATCH([1]TBMapping!H$3,'[1]TrialBalance (YTD)'!$G$7:$Z$7,0)),0)</f>
        <v>0</v>
      </c>
      <c r="H505" s="5" t="e">
        <f>SUMIF('[1]TrialBalance (YTD)'!G:G,B505,'[1]TrialBalance (YTD)'!H:H)</f>
        <v>#VALUE!</v>
      </c>
      <c r="I505" s="5">
        <f>IFERROR(INDEX('[1]TrialBalance (YTD)'!$G:$S,MATCH([1]TBMapping!$C507,'[1]TrialBalance (YTD)'!G:G,0),MATCH([1]TBMapping!J$3,'[1]TrialBalance (YTD)'!$G$7:$Z$7,0)),0)</f>
        <v>0</v>
      </c>
      <c r="K505" s="5" t="e">
        <f>SUMIF('[1]TrialBalance (Quarter)'!$A:$A,B505,'[1]TrialBalance (Quarter)'!$B:$B)</f>
        <v>#VALUE!</v>
      </c>
      <c r="L505" s="5">
        <f>IFERROR(INDEX('[1]TrialBalance (Quarter)'!$A:$L,MATCH([1]TBMapping!$C507,'[1]TrialBalance (Quarter)'!A:A,0),MATCH([1]TBMapping!M$3,'[1]TrialBalance (Quarter)'!$7:$7,0)),0)</f>
        <v>0</v>
      </c>
      <c r="M505" s="5">
        <f>IFERROR(INDEX('[1]TrialBalance (Quarter)'!$A:$L,MATCH([1]TBMapping!$C507,'[1]TrialBalance (Quarter)'!A:A,0),MATCH([1]TBMapping!N$3,'[1]TrialBalance (Quarter)'!$7:$7,0)),0)</f>
        <v>0</v>
      </c>
      <c r="N505" s="5">
        <f>IFERROR(INDEX('[1]TrialBalance (Quarter)'!$A:$L,MATCH([1]TBMapping!$C507,'[1]TrialBalance (Quarter)'!A:A,0),MATCH([1]TBMapping!O$3,'[1]TrialBalance (Quarter)'!$7:$7,0)),0)</f>
        <v>0</v>
      </c>
    </row>
    <row r="506" spans="1:14">
      <c r="A506" s="2">
        <v>110</v>
      </c>
      <c r="B506" s="3">
        <v>154150</v>
      </c>
      <c r="C506" s="11" t="s">
        <v>466</v>
      </c>
      <c r="D506" s="11" t="s">
        <v>11</v>
      </c>
      <c r="E506" s="11"/>
      <c r="F506" s="5" t="e">
        <f>IF(DataExtraction="Manual",SUMIF('[1]TrialBalance (YTD)'!$C:$C,B506,'[1]TrialBalance (YTD)'!$E:$E),SUMIF('[1]TrialBalance (YTD)'!$G:$G,B506,'[1]TrialBalance (YTD)'!$I:$I))</f>
        <v>#VALUE!</v>
      </c>
      <c r="G506" s="5">
        <f>IFERROR(INDEX('[1]TrialBalance (YTD)'!$G:$S,MATCH([1]TBMapping!$C508,'[1]TrialBalance (YTD)'!G:G,0),MATCH([1]TBMapping!H$3,'[1]TrialBalance (YTD)'!$G$7:$Z$7,0)),0)</f>
        <v>0</v>
      </c>
      <c r="H506" s="5" t="e">
        <f>SUMIF('[1]TrialBalance (YTD)'!G:G,B506,'[1]TrialBalance (YTD)'!H:H)</f>
        <v>#VALUE!</v>
      </c>
      <c r="I506" s="5">
        <f>IFERROR(INDEX('[1]TrialBalance (YTD)'!$G:$S,MATCH([1]TBMapping!$C508,'[1]TrialBalance (YTD)'!G:G,0),MATCH([1]TBMapping!J$3,'[1]TrialBalance (YTD)'!$G$7:$Z$7,0)),0)</f>
        <v>2365.0500000000002</v>
      </c>
      <c r="K506" s="5" t="e">
        <f>SUMIF('[1]TrialBalance (Quarter)'!$A:$A,B506,'[1]TrialBalance (Quarter)'!$B:$B)</f>
        <v>#VALUE!</v>
      </c>
      <c r="L506" s="5">
        <f>IFERROR(INDEX('[1]TrialBalance (Quarter)'!$A:$L,MATCH([1]TBMapping!$C508,'[1]TrialBalance (Quarter)'!A:A,0),MATCH([1]TBMapping!M$3,'[1]TrialBalance (Quarter)'!$7:$7,0)),0)</f>
        <v>0</v>
      </c>
      <c r="M506" s="5">
        <f>IFERROR(INDEX('[1]TrialBalance (Quarter)'!$A:$L,MATCH([1]TBMapping!$C508,'[1]TrialBalance (Quarter)'!A:A,0),MATCH([1]TBMapping!N$3,'[1]TrialBalance (Quarter)'!$7:$7,0)),0)</f>
        <v>0</v>
      </c>
      <c r="N506" s="5">
        <f>IFERROR(INDEX('[1]TrialBalance (Quarter)'!$A:$L,MATCH([1]TBMapping!$C508,'[1]TrialBalance (Quarter)'!A:A,0),MATCH([1]TBMapping!O$3,'[1]TrialBalance (Quarter)'!$7:$7,0)),0)</f>
        <v>1250</v>
      </c>
    </row>
    <row r="507" spans="1:14">
      <c r="A507" s="2">
        <v>110</v>
      </c>
      <c r="B507" s="3">
        <v>154160</v>
      </c>
      <c r="C507" s="10" t="s">
        <v>467</v>
      </c>
      <c r="D507" s="10" t="s">
        <v>11</v>
      </c>
      <c r="E507" s="10"/>
      <c r="F507" s="5" t="e">
        <f>IF(DataExtraction="Manual",SUMIF('[1]TrialBalance (YTD)'!$C:$C,B507,'[1]TrialBalance (YTD)'!$E:$E),SUMIF('[1]TrialBalance (YTD)'!$G:$G,B507,'[1]TrialBalance (YTD)'!$I:$I))</f>
        <v>#VALUE!</v>
      </c>
      <c r="G507" s="5">
        <f>IFERROR(INDEX('[1]TrialBalance (YTD)'!$G:$S,MATCH([1]TBMapping!$C509,'[1]TrialBalance (YTD)'!G:G,0),MATCH([1]TBMapping!H$3,'[1]TrialBalance (YTD)'!$G$7:$Z$7,0)),0)</f>
        <v>0</v>
      </c>
      <c r="H507" s="5" t="e">
        <f>SUMIF('[1]TrialBalance (YTD)'!G:G,B507,'[1]TrialBalance (YTD)'!H:H)</f>
        <v>#VALUE!</v>
      </c>
      <c r="I507" s="5">
        <f>IFERROR(INDEX('[1]TrialBalance (YTD)'!$G:$S,MATCH([1]TBMapping!$C509,'[1]TrialBalance (YTD)'!G:G,0),MATCH([1]TBMapping!J$3,'[1]TrialBalance (YTD)'!$G$7:$Z$7,0)),0)</f>
        <v>628</v>
      </c>
      <c r="K507" s="5" t="e">
        <f>SUMIF('[1]TrialBalance (Quarter)'!$A:$A,B507,'[1]TrialBalance (Quarter)'!$B:$B)</f>
        <v>#VALUE!</v>
      </c>
      <c r="L507" s="5">
        <f>IFERROR(INDEX('[1]TrialBalance (Quarter)'!$A:$L,MATCH([1]TBMapping!$C509,'[1]TrialBalance (Quarter)'!A:A,0),MATCH([1]TBMapping!M$3,'[1]TrialBalance (Quarter)'!$7:$7,0)),0)</f>
        <v>0</v>
      </c>
      <c r="M507" s="5">
        <f>IFERROR(INDEX('[1]TrialBalance (Quarter)'!$A:$L,MATCH([1]TBMapping!$C509,'[1]TrialBalance (Quarter)'!A:A,0),MATCH([1]TBMapping!N$3,'[1]TrialBalance (Quarter)'!$7:$7,0)),0)</f>
        <v>-523</v>
      </c>
      <c r="N507" s="5">
        <f>IFERROR(INDEX('[1]TrialBalance (Quarter)'!$A:$L,MATCH([1]TBMapping!$C509,'[1]TrialBalance (Quarter)'!A:A,0),MATCH([1]TBMapping!O$3,'[1]TrialBalance (Quarter)'!$7:$7,0)),0)</f>
        <v>628</v>
      </c>
    </row>
    <row r="508" spans="1:14">
      <c r="A508" s="2">
        <v>110</v>
      </c>
      <c r="B508" s="3">
        <v>154170</v>
      </c>
      <c r="C508" s="11" t="s">
        <v>468</v>
      </c>
      <c r="D508" s="11" t="s">
        <v>11</v>
      </c>
      <c r="E508" s="11"/>
      <c r="F508" s="5" t="e">
        <f>IF(DataExtraction="Manual",SUMIF('[1]TrialBalance (YTD)'!$C:$C,B508,'[1]TrialBalance (YTD)'!$E:$E),SUMIF('[1]TrialBalance (YTD)'!$G:$G,B508,'[1]TrialBalance (YTD)'!$I:$I))</f>
        <v>#VALUE!</v>
      </c>
      <c r="G508" s="5">
        <f>IFERROR(INDEX('[1]TrialBalance (YTD)'!$G:$S,MATCH([1]TBMapping!$C510,'[1]TrialBalance (YTD)'!G:G,0),MATCH([1]TBMapping!H$3,'[1]TrialBalance (YTD)'!$G$7:$Z$7,0)),0)</f>
        <v>0</v>
      </c>
      <c r="H508" s="5" t="e">
        <f>SUMIF('[1]TrialBalance (YTD)'!G:G,B508,'[1]TrialBalance (YTD)'!H:H)</f>
        <v>#VALUE!</v>
      </c>
      <c r="I508" s="5">
        <f>IFERROR(INDEX('[1]TrialBalance (YTD)'!$G:$S,MATCH([1]TBMapping!$C510,'[1]TrialBalance (YTD)'!G:G,0),MATCH([1]TBMapping!J$3,'[1]TrialBalance (YTD)'!$G$7:$Z$7,0)),0)</f>
        <v>0</v>
      </c>
      <c r="K508" s="5" t="e">
        <f>SUMIF('[1]TrialBalance (Quarter)'!$A:$A,B508,'[1]TrialBalance (Quarter)'!$B:$B)</f>
        <v>#VALUE!</v>
      </c>
      <c r="L508" s="5">
        <f>IFERROR(INDEX('[1]TrialBalance (Quarter)'!$A:$L,MATCH([1]TBMapping!$C510,'[1]TrialBalance (Quarter)'!A:A,0),MATCH([1]TBMapping!M$3,'[1]TrialBalance (Quarter)'!$7:$7,0)),0)</f>
        <v>0</v>
      </c>
      <c r="M508" s="5">
        <f>IFERROR(INDEX('[1]TrialBalance (Quarter)'!$A:$L,MATCH([1]TBMapping!$C510,'[1]TrialBalance (Quarter)'!A:A,0),MATCH([1]TBMapping!N$3,'[1]TrialBalance (Quarter)'!$7:$7,0)),0)</f>
        <v>0</v>
      </c>
      <c r="N508" s="5">
        <f>IFERROR(INDEX('[1]TrialBalance (Quarter)'!$A:$L,MATCH([1]TBMapping!$C510,'[1]TrialBalance (Quarter)'!A:A,0),MATCH([1]TBMapping!O$3,'[1]TrialBalance (Quarter)'!$7:$7,0)),0)</f>
        <v>0</v>
      </c>
    </row>
    <row r="509" spans="1:14">
      <c r="B509" s="3">
        <v>154199</v>
      </c>
      <c r="C509" s="10" t="s">
        <v>469</v>
      </c>
      <c r="D509" s="10" t="s">
        <v>16</v>
      </c>
      <c r="E509" s="10"/>
      <c r="F509" s="5" t="e">
        <f>IF(DataExtraction="Manual",SUMIF('[1]TrialBalance (YTD)'!$C:$C,B509,'[1]TrialBalance (YTD)'!$E:$E),SUMIF('[1]TrialBalance (YTD)'!$G:$G,B509,'[1]TrialBalance (YTD)'!$I:$I))</f>
        <v>#VALUE!</v>
      </c>
      <c r="G509" s="5">
        <f>IFERROR(INDEX('[1]TrialBalance (YTD)'!$G:$S,MATCH([1]TBMapping!$C511,'[1]TrialBalance (YTD)'!G:G,0),MATCH([1]TBMapping!H$3,'[1]TrialBalance (YTD)'!$G$7:$Z$7,0)),0)</f>
        <v>0</v>
      </c>
      <c r="H509" s="5" t="e">
        <f>SUMIF('[1]TrialBalance (YTD)'!G:G,B509,'[1]TrialBalance (YTD)'!H:H)</f>
        <v>#VALUE!</v>
      </c>
      <c r="I509" s="5">
        <f>IFERROR(INDEX('[1]TrialBalance (YTD)'!$G:$S,MATCH([1]TBMapping!$C511,'[1]TrialBalance (YTD)'!G:G,0),MATCH([1]TBMapping!J$3,'[1]TrialBalance (YTD)'!$G$7:$Z$7,0)),0)</f>
        <v>0</v>
      </c>
      <c r="K509" s="5" t="e">
        <f>SUMIF('[1]TrialBalance (Quarter)'!$A:$A,B509,'[1]TrialBalance (Quarter)'!$B:$B)</f>
        <v>#VALUE!</v>
      </c>
      <c r="L509" s="5">
        <f>IFERROR(INDEX('[1]TrialBalance (Quarter)'!$A:$L,MATCH([1]TBMapping!$C511,'[1]TrialBalance (Quarter)'!A:A,0),MATCH([1]TBMapping!M$3,'[1]TrialBalance (Quarter)'!$7:$7,0)),0)</f>
        <v>0</v>
      </c>
      <c r="M509" s="5">
        <f>IFERROR(INDEX('[1]TrialBalance (Quarter)'!$A:$L,MATCH([1]TBMapping!$C511,'[1]TrialBalance (Quarter)'!A:A,0),MATCH([1]TBMapping!N$3,'[1]TrialBalance (Quarter)'!$7:$7,0)),0)</f>
        <v>0</v>
      </c>
      <c r="N509" s="5">
        <f>IFERROR(INDEX('[1]TrialBalance (Quarter)'!$A:$L,MATCH([1]TBMapping!$C511,'[1]TrialBalance (Quarter)'!A:A,0),MATCH([1]TBMapping!O$3,'[1]TrialBalance (Quarter)'!$7:$7,0)),0)</f>
        <v>0</v>
      </c>
    </row>
    <row r="510" spans="1:14">
      <c r="B510" s="3">
        <v>154200</v>
      </c>
      <c r="C510" s="11" t="s">
        <v>470</v>
      </c>
      <c r="D510" s="11" t="s">
        <v>5</v>
      </c>
      <c r="E510" s="11"/>
      <c r="F510" s="5" t="e">
        <f>IF(DataExtraction="Manual",SUMIF('[1]TrialBalance (YTD)'!$C:$C,B510,'[1]TrialBalance (YTD)'!$E:$E),SUMIF('[1]TrialBalance (YTD)'!$G:$G,B510,'[1]TrialBalance (YTD)'!$I:$I))</f>
        <v>#VALUE!</v>
      </c>
      <c r="G510" s="5">
        <f>IFERROR(INDEX('[1]TrialBalance (YTD)'!$G:$S,MATCH([1]TBMapping!$C512,'[1]TrialBalance (YTD)'!G:G,0),MATCH([1]TBMapping!H$3,'[1]TrialBalance (YTD)'!$G$7:$Z$7,0)),0)</f>
        <v>0</v>
      </c>
      <c r="H510" s="5" t="e">
        <f>SUMIF('[1]TrialBalance (YTD)'!G:G,B510,'[1]TrialBalance (YTD)'!H:H)</f>
        <v>#VALUE!</v>
      </c>
      <c r="I510" s="5">
        <f>IFERROR(INDEX('[1]TrialBalance (YTD)'!$G:$S,MATCH([1]TBMapping!$C512,'[1]TrialBalance (YTD)'!G:G,0),MATCH([1]TBMapping!J$3,'[1]TrialBalance (YTD)'!$G$7:$Z$7,0)),0)</f>
        <v>0</v>
      </c>
      <c r="K510" s="5" t="e">
        <f>SUMIF('[1]TrialBalance (Quarter)'!$A:$A,B510,'[1]TrialBalance (Quarter)'!$B:$B)</f>
        <v>#VALUE!</v>
      </c>
      <c r="L510" s="5">
        <f>IFERROR(INDEX('[1]TrialBalance (Quarter)'!$A:$L,MATCH([1]TBMapping!$C512,'[1]TrialBalance (Quarter)'!A:A,0),MATCH([1]TBMapping!M$3,'[1]TrialBalance (Quarter)'!$7:$7,0)),0)</f>
        <v>0</v>
      </c>
      <c r="M510" s="5">
        <f>IFERROR(INDEX('[1]TrialBalance (Quarter)'!$A:$L,MATCH([1]TBMapping!$C512,'[1]TrialBalance (Quarter)'!A:A,0),MATCH([1]TBMapping!N$3,'[1]TrialBalance (Quarter)'!$7:$7,0)),0)</f>
        <v>0</v>
      </c>
      <c r="N510" s="5">
        <f>IFERROR(INDEX('[1]TrialBalance (Quarter)'!$A:$L,MATCH([1]TBMapping!$C512,'[1]TrialBalance (Quarter)'!A:A,0),MATCH([1]TBMapping!O$3,'[1]TrialBalance (Quarter)'!$7:$7,0)),0)</f>
        <v>0</v>
      </c>
    </row>
    <row r="511" spans="1:14">
      <c r="A511" s="2">
        <v>110</v>
      </c>
      <c r="B511" s="3">
        <v>154210</v>
      </c>
      <c r="C511" s="10" t="s">
        <v>471</v>
      </c>
      <c r="D511" s="10" t="s">
        <v>11</v>
      </c>
      <c r="E511" s="10"/>
      <c r="F511" s="5" t="e">
        <f>IF(DataExtraction="Manual",SUMIF('[1]TrialBalance (YTD)'!$C:$C,B511,'[1]TrialBalance (YTD)'!$E:$E),SUMIF('[1]TrialBalance (YTD)'!$G:$G,B511,'[1]TrialBalance (YTD)'!$I:$I))</f>
        <v>#VALUE!</v>
      </c>
      <c r="G511" s="5">
        <f>IFERROR(INDEX('[1]TrialBalance (YTD)'!$G:$S,MATCH([1]TBMapping!$C513,'[1]TrialBalance (YTD)'!G:G,0),MATCH([1]TBMapping!H$3,'[1]TrialBalance (YTD)'!$G$7:$Z$7,0)),0)</f>
        <v>0</v>
      </c>
      <c r="H511" s="5" t="e">
        <f>SUMIF('[1]TrialBalance (YTD)'!G:G,B511,'[1]TrialBalance (YTD)'!H:H)</f>
        <v>#VALUE!</v>
      </c>
      <c r="I511" s="5">
        <f>IFERROR(INDEX('[1]TrialBalance (YTD)'!$G:$S,MATCH([1]TBMapping!$C513,'[1]TrialBalance (YTD)'!G:G,0),MATCH([1]TBMapping!J$3,'[1]TrialBalance (YTD)'!$G$7:$Z$7,0)),0)</f>
        <v>4279951.6900000004</v>
      </c>
      <c r="K511" s="5" t="e">
        <f>SUMIF('[1]TrialBalance (Quarter)'!$A:$A,B511,'[1]TrialBalance (Quarter)'!$B:$B)</f>
        <v>#VALUE!</v>
      </c>
      <c r="L511" s="5">
        <f>IFERROR(INDEX('[1]TrialBalance (Quarter)'!$A:$L,MATCH([1]TBMapping!$C513,'[1]TrialBalance (Quarter)'!A:A,0),MATCH([1]TBMapping!M$3,'[1]TrialBalance (Quarter)'!$7:$7,0)),0)</f>
        <v>0</v>
      </c>
      <c r="M511" s="5">
        <f>IFERROR(INDEX('[1]TrialBalance (Quarter)'!$A:$L,MATCH([1]TBMapping!$C513,'[1]TrialBalance (Quarter)'!A:A,0),MATCH([1]TBMapping!N$3,'[1]TrialBalance (Quarter)'!$7:$7,0)),0)</f>
        <v>1804671.46</v>
      </c>
      <c r="N511" s="5">
        <f>IFERROR(INDEX('[1]TrialBalance (Quarter)'!$A:$L,MATCH([1]TBMapping!$C513,'[1]TrialBalance (Quarter)'!A:A,0),MATCH([1]TBMapping!O$3,'[1]TrialBalance (Quarter)'!$7:$7,0)),0)</f>
        <v>1880207.39</v>
      </c>
    </row>
    <row r="512" spans="1:14">
      <c r="B512" s="3">
        <v>154299</v>
      </c>
      <c r="C512" s="11" t="s">
        <v>472</v>
      </c>
      <c r="D512" s="11" t="s">
        <v>16</v>
      </c>
      <c r="E512" s="11"/>
      <c r="F512" s="5" t="e">
        <f>IF(DataExtraction="Manual",SUMIF('[1]TrialBalance (YTD)'!$C:$C,B512,'[1]TrialBalance (YTD)'!$E:$E),SUMIF('[1]TrialBalance (YTD)'!$G:$G,B512,'[1]TrialBalance (YTD)'!$I:$I))</f>
        <v>#VALUE!</v>
      </c>
      <c r="G512" s="5">
        <f>IFERROR(INDEX('[1]TrialBalance (YTD)'!$G:$S,MATCH([1]TBMapping!$C514,'[1]TrialBalance (YTD)'!G:G,0),MATCH([1]TBMapping!H$3,'[1]TrialBalance (YTD)'!$G$7:$Z$7,0)),0)</f>
        <v>0</v>
      </c>
      <c r="H512" s="5" t="e">
        <f>SUMIF('[1]TrialBalance (YTD)'!G:G,B512,'[1]TrialBalance (YTD)'!H:H)</f>
        <v>#VALUE!</v>
      </c>
      <c r="I512" s="5">
        <f>IFERROR(INDEX('[1]TrialBalance (YTD)'!$G:$S,MATCH([1]TBMapping!$C514,'[1]TrialBalance (YTD)'!G:G,0),MATCH([1]TBMapping!J$3,'[1]TrialBalance (YTD)'!$G$7:$Z$7,0)),0)</f>
        <v>0</v>
      </c>
      <c r="K512" s="5" t="e">
        <f>SUMIF('[1]TrialBalance (Quarter)'!$A:$A,B512,'[1]TrialBalance (Quarter)'!$B:$B)</f>
        <v>#VALUE!</v>
      </c>
      <c r="L512" s="5">
        <f>IFERROR(INDEX('[1]TrialBalance (Quarter)'!$A:$L,MATCH([1]TBMapping!$C514,'[1]TrialBalance (Quarter)'!A:A,0),MATCH([1]TBMapping!M$3,'[1]TrialBalance (Quarter)'!$7:$7,0)),0)</f>
        <v>0</v>
      </c>
      <c r="M512" s="5">
        <f>IFERROR(INDEX('[1]TrialBalance (Quarter)'!$A:$L,MATCH([1]TBMapping!$C514,'[1]TrialBalance (Quarter)'!A:A,0),MATCH([1]TBMapping!N$3,'[1]TrialBalance (Quarter)'!$7:$7,0)),0)</f>
        <v>0</v>
      </c>
      <c r="N512" s="5">
        <f>IFERROR(INDEX('[1]TrialBalance (Quarter)'!$A:$L,MATCH([1]TBMapping!$C514,'[1]TrialBalance (Quarter)'!A:A,0),MATCH([1]TBMapping!O$3,'[1]TrialBalance (Quarter)'!$7:$7,0)),0)</f>
        <v>0</v>
      </c>
    </row>
    <row r="513" spans="1:14">
      <c r="B513" s="3">
        <v>154300</v>
      </c>
      <c r="C513" s="10" t="s">
        <v>473</v>
      </c>
      <c r="D513" s="10" t="s">
        <v>5</v>
      </c>
      <c r="E513" s="10"/>
      <c r="F513" s="5" t="e">
        <f>IF(DataExtraction="Manual",SUMIF('[1]TrialBalance (YTD)'!$C:$C,B513,'[1]TrialBalance (YTD)'!$E:$E),SUMIF('[1]TrialBalance (YTD)'!$G:$G,B513,'[1]TrialBalance (YTD)'!$I:$I))</f>
        <v>#VALUE!</v>
      </c>
      <c r="G513" s="5">
        <f>IFERROR(INDEX('[1]TrialBalance (YTD)'!$G:$S,MATCH([1]TBMapping!$C515,'[1]TrialBalance (YTD)'!G:G,0),MATCH([1]TBMapping!H$3,'[1]TrialBalance (YTD)'!$G$7:$Z$7,0)),0)</f>
        <v>0</v>
      </c>
      <c r="H513" s="5" t="e">
        <f>SUMIF('[1]TrialBalance (YTD)'!G:G,B513,'[1]TrialBalance (YTD)'!H:H)</f>
        <v>#VALUE!</v>
      </c>
      <c r="I513" s="5">
        <f>IFERROR(INDEX('[1]TrialBalance (YTD)'!$G:$S,MATCH([1]TBMapping!$C515,'[1]TrialBalance (YTD)'!G:G,0),MATCH([1]TBMapping!J$3,'[1]TrialBalance (YTD)'!$G$7:$Z$7,0)),0)</f>
        <v>0</v>
      </c>
      <c r="K513" s="5" t="e">
        <f>SUMIF('[1]TrialBalance (Quarter)'!$A:$A,B513,'[1]TrialBalance (Quarter)'!$B:$B)</f>
        <v>#VALUE!</v>
      </c>
      <c r="L513" s="5">
        <f>IFERROR(INDEX('[1]TrialBalance (Quarter)'!$A:$L,MATCH([1]TBMapping!$C515,'[1]TrialBalance (Quarter)'!A:A,0),MATCH([1]TBMapping!M$3,'[1]TrialBalance (Quarter)'!$7:$7,0)),0)</f>
        <v>0</v>
      </c>
      <c r="M513" s="5">
        <f>IFERROR(INDEX('[1]TrialBalance (Quarter)'!$A:$L,MATCH([1]TBMapping!$C515,'[1]TrialBalance (Quarter)'!A:A,0),MATCH([1]TBMapping!N$3,'[1]TrialBalance (Quarter)'!$7:$7,0)),0)</f>
        <v>0</v>
      </c>
      <c r="N513" s="5">
        <f>IFERROR(INDEX('[1]TrialBalance (Quarter)'!$A:$L,MATCH([1]TBMapping!$C515,'[1]TrialBalance (Quarter)'!A:A,0),MATCH([1]TBMapping!O$3,'[1]TrialBalance (Quarter)'!$7:$7,0)),0)</f>
        <v>0</v>
      </c>
    </row>
    <row r="514" spans="1:14">
      <c r="A514" s="2">
        <v>110</v>
      </c>
      <c r="B514" s="3">
        <v>154310</v>
      </c>
      <c r="C514" s="11" t="s">
        <v>474</v>
      </c>
      <c r="D514" s="11" t="s">
        <v>11</v>
      </c>
      <c r="E514" s="11"/>
      <c r="F514" s="5" t="e">
        <f>IF(DataExtraction="Manual",SUMIF('[1]TrialBalance (YTD)'!$C:$C,B514,'[1]TrialBalance (YTD)'!$E:$E),SUMIF('[1]TrialBalance (YTD)'!$G:$G,B514,'[1]TrialBalance (YTD)'!$I:$I))</f>
        <v>#VALUE!</v>
      </c>
      <c r="G514" s="5">
        <f>IFERROR(INDEX('[1]TrialBalance (YTD)'!$G:$S,MATCH([1]TBMapping!$C516,'[1]TrialBalance (YTD)'!G:G,0),MATCH([1]TBMapping!H$3,'[1]TrialBalance (YTD)'!$G$7:$Z$7,0)),0)</f>
        <v>0</v>
      </c>
      <c r="H514" s="5" t="e">
        <f>SUMIF('[1]TrialBalance (YTD)'!G:G,B514,'[1]TrialBalance (YTD)'!H:H)</f>
        <v>#VALUE!</v>
      </c>
      <c r="I514" s="5">
        <f>IFERROR(INDEX('[1]TrialBalance (YTD)'!$G:$S,MATCH([1]TBMapping!$C516,'[1]TrialBalance (YTD)'!G:G,0),MATCH([1]TBMapping!J$3,'[1]TrialBalance (YTD)'!$G$7:$Z$7,0)),0)</f>
        <v>128027.9</v>
      </c>
      <c r="K514" s="5" t="e">
        <f>SUMIF('[1]TrialBalance (Quarter)'!$A:$A,B514,'[1]TrialBalance (Quarter)'!$B:$B)</f>
        <v>#VALUE!</v>
      </c>
      <c r="L514" s="5">
        <f>IFERROR(INDEX('[1]TrialBalance (Quarter)'!$A:$L,MATCH([1]TBMapping!$C516,'[1]TrialBalance (Quarter)'!A:A,0),MATCH([1]TBMapping!M$3,'[1]TrialBalance (Quarter)'!$7:$7,0)),0)</f>
        <v>0</v>
      </c>
      <c r="M514" s="5">
        <f>IFERROR(INDEX('[1]TrialBalance (Quarter)'!$A:$L,MATCH([1]TBMapping!$C516,'[1]TrialBalance (Quarter)'!A:A,0),MATCH([1]TBMapping!N$3,'[1]TrialBalance (Quarter)'!$7:$7,0)),0)</f>
        <v>25802</v>
      </c>
      <c r="N514" s="5">
        <f>IFERROR(INDEX('[1]TrialBalance (Quarter)'!$A:$L,MATCH([1]TBMapping!$C516,'[1]TrialBalance (Quarter)'!A:A,0),MATCH([1]TBMapping!O$3,'[1]TrialBalance (Quarter)'!$7:$7,0)),0)</f>
        <v>90930.07</v>
      </c>
    </row>
    <row r="515" spans="1:14">
      <c r="A515" s="2">
        <v>110</v>
      </c>
      <c r="B515" s="3">
        <v>154311</v>
      </c>
      <c r="C515" s="10" t="s">
        <v>475</v>
      </c>
      <c r="D515" s="10" t="s">
        <v>11</v>
      </c>
      <c r="E515" s="10"/>
      <c r="F515" s="5" t="e">
        <f>IF(DataExtraction="Manual",SUMIF('[1]TrialBalance (YTD)'!$C:$C,B515,'[1]TrialBalance (YTD)'!$E:$E),SUMIF('[1]TrialBalance (YTD)'!$G:$G,B515,'[1]TrialBalance (YTD)'!$I:$I))</f>
        <v>#VALUE!</v>
      </c>
      <c r="G515" s="5">
        <f>IFERROR(INDEX('[1]TrialBalance (YTD)'!$G:$S,MATCH([1]TBMapping!$C517,'[1]TrialBalance (YTD)'!G:G,0),MATCH([1]TBMapping!H$3,'[1]TrialBalance (YTD)'!$G$7:$Z$7,0)),0)</f>
        <v>0</v>
      </c>
      <c r="H515" s="5" t="e">
        <f>SUMIF('[1]TrialBalance (YTD)'!G:G,B515,'[1]TrialBalance (YTD)'!H:H)</f>
        <v>#VALUE!</v>
      </c>
      <c r="I515" s="5">
        <f>IFERROR(INDEX('[1]TrialBalance (YTD)'!$G:$S,MATCH([1]TBMapping!$C517,'[1]TrialBalance (YTD)'!G:G,0),MATCH([1]TBMapping!J$3,'[1]TrialBalance (YTD)'!$G$7:$Z$7,0)),0)</f>
        <v>-448094.65</v>
      </c>
      <c r="K515" s="5" t="e">
        <f>SUMIF('[1]TrialBalance (Quarter)'!$A:$A,B515,'[1]TrialBalance (Quarter)'!$B:$B)</f>
        <v>#VALUE!</v>
      </c>
      <c r="L515" s="5">
        <f>IFERROR(INDEX('[1]TrialBalance (Quarter)'!$A:$L,MATCH([1]TBMapping!$C517,'[1]TrialBalance (Quarter)'!A:A,0),MATCH([1]TBMapping!M$3,'[1]TrialBalance (Quarter)'!$7:$7,0)),0)</f>
        <v>0</v>
      </c>
      <c r="M515" s="5">
        <f>IFERROR(INDEX('[1]TrialBalance (Quarter)'!$A:$L,MATCH([1]TBMapping!$C517,'[1]TrialBalance (Quarter)'!A:A,0),MATCH([1]TBMapping!N$3,'[1]TrialBalance (Quarter)'!$7:$7,0)),0)</f>
        <v>304.52</v>
      </c>
      <c r="N515" s="5">
        <f>IFERROR(INDEX('[1]TrialBalance (Quarter)'!$A:$L,MATCH([1]TBMapping!$C517,'[1]TrialBalance (Quarter)'!A:A,0),MATCH([1]TBMapping!O$3,'[1]TrialBalance (Quarter)'!$7:$7,0)),0)</f>
        <v>282211.11</v>
      </c>
    </row>
    <row r="516" spans="1:14">
      <c r="A516" s="2">
        <v>110</v>
      </c>
      <c r="B516" s="3">
        <v>154320</v>
      </c>
      <c r="C516" s="11" t="s">
        <v>476</v>
      </c>
      <c r="D516" s="11" t="s">
        <v>11</v>
      </c>
      <c r="E516" s="11"/>
      <c r="F516" s="5" t="e">
        <f>IF(DataExtraction="Manual",SUMIF('[1]TrialBalance (YTD)'!$C:$C,B516,'[1]TrialBalance (YTD)'!$E:$E),SUMIF('[1]TrialBalance (YTD)'!$G:$G,B516,'[1]TrialBalance (YTD)'!$I:$I))</f>
        <v>#VALUE!</v>
      </c>
      <c r="G516" s="5">
        <f>IFERROR(INDEX('[1]TrialBalance (YTD)'!$G:$S,MATCH([1]TBMapping!$C518,'[1]TrialBalance (YTD)'!G:G,0),MATCH([1]TBMapping!H$3,'[1]TrialBalance (YTD)'!$G$7:$Z$7,0)),0)</f>
        <v>0</v>
      </c>
      <c r="H516" s="5" t="e">
        <f>SUMIF('[1]TrialBalance (YTD)'!G:G,B516,'[1]TrialBalance (YTD)'!H:H)</f>
        <v>#VALUE!</v>
      </c>
      <c r="I516" s="5">
        <f>IFERROR(INDEX('[1]TrialBalance (YTD)'!$G:$S,MATCH([1]TBMapping!$C518,'[1]TrialBalance (YTD)'!G:G,0),MATCH([1]TBMapping!J$3,'[1]TrialBalance (YTD)'!$G$7:$Z$7,0)),0)</f>
        <v>0</v>
      </c>
      <c r="K516" s="5" t="e">
        <f>SUMIF('[1]TrialBalance (Quarter)'!$A:$A,B516,'[1]TrialBalance (Quarter)'!$B:$B)</f>
        <v>#VALUE!</v>
      </c>
      <c r="L516" s="5">
        <f>IFERROR(INDEX('[1]TrialBalance (Quarter)'!$A:$L,MATCH([1]TBMapping!$C518,'[1]TrialBalance (Quarter)'!A:A,0),MATCH([1]TBMapping!M$3,'[1]TrialBalance (Quarter)'!$7:$7,0)),0)</f>
        <v>0</v>
      </c>
      <c r="M516" s="5">
        <f>IFERROR(INDEX('[1]TrialBalance (Quarter)'!$A:$L,MATCH([1]TBMapping!$C518,'[1]TrialBalance (Quarter)'!A:A,0),MATCH([1]TBMapping!N$3,'[1]TrialBalance (Quarter)'!$7:$7,0)),0)</f>
        <v>0</v>
      </c>
      <c r="N516" s="5">
        <f>IFERROR(INDEX('[1]TrialBalance (Quarter)'!$A:$L,MATCH([1]TBMapping!$C518,'[1]TrialBalance (Quarter)'!A:A,0),MATCH([1]TBMapping!O$3,'[1]TrialBalance (Quarter)'!$7:$7,0)),0)</f>
        <v>0</v>
      </c>
    </row>
    <row r="517" spans="1:14">
      <c r="A517" s="2">
        <v>110</v>
      </c>
      <c r="B517" s="3">
        <v>154321</v>
      </c>
      <c r="C517" s="10" t="s">
        <v>477</v>
      </c>
      <c r="D517" s="10" t="s">
        <v>11</v>
      </c>
      <c r="E517" s="10"/>
      <c r="F517" s="5" t="e">
        <f>IF(DataExtraction="Manual",SUMIF('[1]TrialBalance (YTD)'!$C:$C,B517,'[1]TrialBalance (YTD)'!$E:$E),SUMIF('[1]TrialBalance (YTD)'!$G:$G,B517,'[1]TrialBalance (YTD)'!$I:$I))</f>
        <v>#VALUE!</v>
      </c>
      <c r="G517" s="5">
        <f>IFERROR(INDEX('[1]TrialBalance (YTD)'!$G:$S,MATCH([1]TBMapping!$C519,'[1]TrialBalance (YTD)'!G:G,0),MATCH([1]TBMapping!H$3,'[1]TrialBalance (YTD)'!$G$7:$Z$7,0)),0)</f>
        <v>0</v>
      </c>
      <c r="H517" s="5" t="e">
        <f>SUMIF('[1]TrialBalance (YTD)'!G:G,B517,'[1]TrialBalance (YTD)'!H:H)</f>
        <v>#VALUE!</v>
      </c>
      <c r="I517" s="5">
        <f>IFERROR(INDEX('[1]TrialBalance (YTD)'!$G:$S,MATCH([1]TBMapping!$C519,'[1]TrialBalance (YTD)'!G:G,0),MATCH([1]TBMapping!J$3,'[1]TrialBalance (YTD)'!$G$7:$Z$7,0)),0)</f>
        <v>0</v>
      </c>
      <c r="K517" s="5" t="e">
        <f>SUMIF('[1]TrialBalance (Quarter)'!$A:$A,B517,'[1]TrialBalance (Quarter)'!$B:$B)</f>
        <v>#VALUE!</v>
      </c>
      <c r="L517" s="5">
        <f>IFERROR(INDEX('[1]TrialBalance (Quarter)'!$A:$L,MATCH([1]TBMapping!$C519,'[1]TrialBalance (Quarter)'!A:A,0),MATCH([1]TBMapping!M$3,'[1]TrialBalance (Quarter)'!$7:$7,0)),0)</f>
        <v>0</v>
      </c>
      <c r="M517" s="5">
        <f>IFERROR(INDEX('[1]TrialBalance (Quarter)'!$A:$L,MATCH([1]TBMapping!$C519,'[1]TrialBalance (Quarter)'!A:A,0),MATCH([1]TBMapping!N$3,'[1]TrialBalance (Quarter)'!$7:$7,0)),0)</f>
        <v>0</v>
      </c>
      <c r="N517" s="5">
        <f>IFERROR(INDEX('[1]TrialBalance (Quarter)'!$A:$L,MATCH([1]TBMapping!$C519,'[1]TrialBalance (Quarter)'!A:A,0),MATCH([1]TBMapping!O$3,'[1]TrialBalance (Quarter)'!$7:$7,0)),0)</f>
        <v>0</v>
      </c>
    </row>
    <row r="518" spans="1:14">
      <c r="A518" s="2">
        <v>110</v>
      </c>
      <c r="B518" s="3">
        <v>154322</v>
      </c>
      <c r="C518" s="11" t="s">
        <v>478</v>
      </c>
      <c r="D518" s="11" t="s">
        <v>11</v>
      </c>
      <c r="E518" s="11"/>
      <c r="F518" s="5" t="e">
        <f>IF(DataExtraction="Manual",SUMIF('[1]TrialBalance (YTD)'!$C:$C,B518,'[1]TrialBalance (YTD)'!$E:$E),SUMIF('[1]TrialBalance (YTD)'!$G:$G,B518,'[1]TrialBalance (YTD)'!$I:$I))</f>
        <v>#VALUE!</v>
      </c>
      <c r="G518" s="5">
        <f>IFERROR(INDEX('[1]TrialBalance (YTD)'!$G:$S,MATCH([1]TBMapping!$C520,'[1]TrialBalance (YTD)'!G:G,0),MATCH([1]TBMapping!H$3,'[1]TrialBalance (YTD)'!$G$7:$Z$7,0)),0)</f>
        <v>0</v>
      </c>
      <c r="H518" s="5" t="e">
        <f>SUMIF('[1]TrialBalance (YTD)'!G:G,B518,'[1]TrialBalance (YTD)'!H:H)</f>
        <v>#VALUE!</v>
      </c>
      <c r="I518" s="5">
        <f>IFERROR(INDEX('[1]TrialBalance (YTD)'!$G:$S,MATCH([1]TBMapping!$C520,'[1]TrialBalance (YTD)'!G:G,0),MATCH([1]TBMapping!J$3,'[1]TrialBalance (YTD)'!$G$7:$Z$7,0)),0)</f>
        <v>0</v>
      </c>
      <c r="K518" s="5" t="e">
        <f>SUMIF('[1]TrialBalance (Quarter)'!$A:$A,B518,'[1]TrialBalance (Quarter)'!$B:$B)</f>
        <v>#VALUE!</v>
      </c>
      <c r="L518" s="5">
        <f>IFERROR(INDEX('[1]TrialBalance (Quarter)'!$A:$L,MATCH([1]TBMapping!$C520,'[1]TrialBalance (Quarter)'!A:A,0),MATCH([1]TBMapping!M$3,'[1]TrialBalance (Quarter)'!$7:$7,0)),0)</f>
        <v>0</v>
      </c>
      <c r="M518" s="5">
        <f>IFERROR(INDEX('[1]TrialBalance (Quarter)'!$A:$L,MATCH([1]TBMapping!$C520,'[1]TrialBalance (Quarter)'!A:A,0),MATCH([1]TBMapping!N$3,'[1]TrialBalance (Quarter)'!$7:$7,0)),0)</f>
        <v>0</v>
      </c>
      <c r="N518" s="5">
        <f>IFERROR(INDEX('[1]TrialBalance (Quarter)'!$A:$L,MATCH([1]TBMapping!$C520,'[1]TrialBalance (Quarter)'!A:A,0),MATCH([1]TBMapping!O$3,'[1]TrialBalance (Quarter)'!$7:$7,0)),0)</f>
        <v>0</v>
      </c>
    </row>
    <row r="519" spans="1:14">
      <c r="A519" s="2">
        <v>110</v>
      </c>
      <c r="B519" s="3">
        <v>154330</v>
      </c>
      <c r="C519" s="10" t="s">
        <v>479</v>
      </c>
      <c r="D519" s="10" t="s">
        <v>11</v>
      </c>
      <c r="E519" s="10"/>
      <c r="F519" s="5" t="e">
        <f>IF(DataExtraction="Manual",SUMIF('[1]TrialBalance (YTD)'!$C:$C,B519,'[1]TrialBalance (YTD)'!$E:$E),SUMIF('[1]TrialBalance (YTD)'!$G:$G,B519,'[1]TrialBalance (YTD)'!$I:$I))</f>
        <v>#VALUE!</v>
      </c>
      <c r="G519" s="5">
        <f>IFERROR(INDEX('[1]TrialBalance (YTD)'!$G:$S,MATCH([1]TBMapping!$C521,'[1]TrialBalance (YTD)'!G:G,0),MATCH([1]TBMapping!H$3,'[1]TrialBalance (YTD)'!$G$7:$Z$7,0)),0)</f>
        <v>0</v>
      </c>
      <c r="H519" s="5" t="e">
        <f>SUMIF('[1]TrialBalance (YTD)'!G:G,B519,'[1]TrialBalance (YTD)'!H:H)</f>
        <v>#VALUE!</v>
      </c>
      <c r="I519" s="5">
        <f>IFERROR(INDEX('[1]TrialBalance (YTD)'!$G:$S,MATCH([1]TBMapping!$C521,'[1]TrialBalance (YTD)'!G:G,0),MATCH([1]TBMapping!J$3,'[1]TrialBalance (YTD)'!$G$7:$Z$7,0)),0)</f>
        <v>0</v>
      </c>
      <c r="K519" s="5" t="e">
        <f>SUMIF('[1]TrialBalance (Quarter)'!$A:$A,B519,'[1]TrialBalance (Quarter)'!$B:$B)</f>
        <v>#VALUE!</v>
      </c>
      <c r="L519" s="5">
        <f>IFERROR(INDEX('[1]TrialBalance (Quarter)'!$A:$L,MATCH([1]TBMapping!$C521,'[1]TrialBalance (Quarter)'!A:A,0),MATCH([1]TBMapping!M$3,'[1]TrialBalance (Quarter)'!$7:$7,0)),0)</f>
        <v>0</v>
      </c>
      <c r="M519" s="5">
        <f>IFERROR(INDEX('[1]TrialBalance (Quarter)'!$A:$L,MATCH([1]TBMapping!$C521,'[1]TrialBalance (Quarter)'!A:A,0),MATCH([1]TBMapping!N$3,'[1]TrialBalance (Quarter)'!$7:$7,0)),0)</f>
        <v>0</v>
      </c>
      <c r="N519" s="5">
        <f>IFERROR(INDEX('[1]TrialBalance (Quarter)'!$A:$L,MATCH([1]TBMapping!$C521,'[1]TrialBalance (Quarter)'!A:A,0),MATCH([1]TBMapping!O$3,'[1]TrialBalance (Quarter)'!$7:$7,0)),0)</f>
        <v>0</v>
      </c>
    </row>
    <row r="520" spans="1:14">
      <c r="A520" s="2">
        <v>110</v>
      </c>
      <c r="B520" s="3">
        <v>154331</v>
      </c>
      <c r="C520" s="11" t="s">
        <v>449</v>
      </c>
      <c r="D520" s="11" t="s">
        <v>11</v>
      </c>
      <c r="E520" s="11"/>
      <c r="F520" s="5" t="e">
        <f>IF(DataExtraction="Manual",SUMIF('[1]TrialBalance (YTD)'!$C:$C,B520,'[1]TrialBalance (YTD)'!$E:$E),SUMIF('[1]TrialBalance (YTD)'!$G:$G,B520,'[1]TrialBalance (YTD)'!$I:$I))</f>
        <v>#VALUE!</v>
      </c>
      <c r="G520" s="5">
        <f>IFERROR(INDEX('[1]TrialBalance (YTD)'!$G:$S,MATCH([1]TBMapping!$C522,'[1]TrialBalance (YTD)'!G:G,0),MATCH([1]TBMapping!H$3,'[1]TrialBalance (YTD)'!$G$7:$Z$7,0)),0)</f>
        <v>0</v>
      </c>
      <c r="H520" s="5" t="e">
        <f>SUMIF('[1]TrialBalance (YTD)'!G:G,B520,'[1]TrialBalance (YTD)'!H:H)</f>
        <v>#VALUE!</v>
      </c>
      <c r="I520" s="5">
        <f>IFERROR(INDEX('[1]TrialBalance (YTD)'!$G:$S,MATCH([1]TBMapping!$C522,'[1]TrialBalance (YTD)'!G:G,0),MATCH([1]TBMapping!J$3,'[1]TrialBalance (YTD)'!$G$7:$Z$7,0)),0)</f>
        <v>0</v>
      </c>
      <c r="K520" s="5" t="e">
        <f>SUMIF('[1]TrialBalance (Quarter)'!$A:$A,B520,'[1]TrialBalance (Quarter)'!$B:$B)</f>
        <v>#VALUE!</v>
      </c>
      <c r="L520" s="5">
        <f>IFERROR(INDEX('[1]TrialBalance (Quarter)'!$A:$L,MATCH([1]TBMapping!$C522,'[1]TrialBalance (Quarter)'!A:A,0),MATCH([1]TBMapping!M$3,'[1]TrialBalance (Quarter)'!$7:$7,0)),0)</f>
        <v>0</v>
      </c>
      <c r="M520" s="5">
        <f>IFERROR(INDEX('[1]TrialBalance (Quarter)'!$A:$L,MATCH([1]TBMapping!$C522,'[1]TrialBalance (Quarter)'!A:A,0),MATCH([1]TBMapping!N$3,'[1]TrialBalance (Quarter)'!$7:$7,0)),0)</f>
        <v>0</v>
      </c>
      <c r="N520" s="5">
        <f>IFERROR(INDEX('[1]TrialBalance (Quarter)'!$A:$L,MATCH([1]TBMapping!$C522,'[1]TrialBalance (Quarter)'!A:A,0),MATCH([1]TBMapping!O$3,'[1]TrialBalance (Quarter)'!$7:$7,0)),0)</f>
        <v>0</v>
      </c>
    </row>
    <row r="521" spans="1:14">
      <c r="A521" s="2">
        <v>110</v>
      </c>
      <c r="B521" s="3">
        <v>154332</v>
      </c>
      <c r="C521" s="10" t="s">
        <v>450</v>
      </c>
      <c r="D521" s="10" t="s">
        <v>11</v>
      </c>
      <c r="E521" s="10"/>
      <c r="F521" s="5" t="e">
        <f>IF(DataExtraction="Manual",SUMIF('[1]TrialBalance (YTD)'!$C:$C,B521,'[1]TrialBalance (YTD)'!$E:$E),SUMIF('[1]TrialBalance (YTD)'!$G:$G,B521,'[1]TrialBalance (YTD)'!$I:$I))</f>
        <v>#VALUE!</v>
      </c>
      <c r="G521" s="5">
        <f>IFERROR(INDEX('[1]TrialBalance (YTD)'!$G:$S,MATCH([1]TBMapping!$C523,'[1]TrialBalance (YTD)'!G:G,0),MATCH([1]TBMapping!H$3,'[1]TrialBalance (YTD)'!$G$7:$Z$7,0)),0)</f>
        <v>0</v>
      </c>
      <c r="H521" s="5" t="e">
        <f>SUMIF('[1]TrialBalance (YTD)'!G:G,B521,'[1]TrialBalance (YTD)'!H:H)</f>
        <v>#VALUE!</v>
      </c>
      <c r="I521" s="5">
        <f>IFERROR(INDEX('[1]TrialBalance (YTD)'!$G:$S,MATCH([1]TBMapping!$C523,'[1]TrialBalance (YTD)'!G:G,0),MATCH([1]TBMapping!J$3,'[1]TrialBalance (YTD)'!$G$7:$Z$7,0)),0)</f>
        <v>0</v>
      </c>
      <c r="K521" s="5" t="e">
        <f>SUMIF('[1]TrialBalance (Quarter)'!$A:$A,B521,'[1]TrialBalance (Quarter)'!$B:$B)</f>
        <v>#VALUE!</v>
      </c>
      <c r="L521" s="5">
        <f>IFERROR(INDEX('[1]TrialBalance (Quarter)'!$A:$L,MATCH([1]TBMapping!$C523,'[1]TrialBalance (Quarter)'!A:A,0),MATCH([1]TBMapping!M$3,'[1]TrialBalance (Quarter)'!$7:$7,0)),0)</f>
        <v>0</v>
      </c>
      <c r="M521" s="5">
        <f>IFERROR(INDEX('[1]TrialBalance (Quarter)'!$A:$L,MATCH([1]TBMapping!$C523,'[1]TrialBalance (Quarter)'!A:A,0),MATCH([1]TBMapping!N$3,'[1]TrialBalance (Quarter)'!$7:$7,0)),0)</f>
        <v>0</v>
      </c>
      <c r="N521" s="5">
        <f>IFERROR(INDEX('[1]TrialBalance (Quarter)'!$A:$L,MATCH([1]TBMapping!$C523,'[1]TrialBalance (Quarter)'!A:A,0),MATCH([1]TBMapping!O$3,'[1]TrialBalance (Quarter)'!$7:$7,0)),0)</f>
        <v>0</v>
      </c>
    </row>
    <row r="522" spans="1:14">
      <c r="B522" s="3">
        <v>154399</v>
      </c>
      <c r="C522" s="11" t="s">
        <v>480</v>
      </c>
      <c r="D522" s="11" t="s">
        <v>16</v>
      </c>
      <c r="E522" s="11"/>
      <c r="F522" s="5" t="e">
        <f>IF(DataExtraction="Manual",SUMIF('[1]TrialBalance (YTD)'!$C:$C,B522,'[1]TrialBalance (YTD)'!$E:$E),SUMIF('[1]TrialBalance (YTD)'!$G:$G,B522,'[1]TrialBalance (YTD)'!$I:$I))</f>
        <v>#VALUE!</v>
      </c>
      <c r="G522" s="5">
        <f>IFERROR(INDEX('[1]TrialBalance (YTD)'!$G:$S,MATCH([1]TBMapping!$C524,'[1]TrialBalance (YTD)'!G:G,0),MATCH([1]TBMapping!H$3,'[1]TrialBalance (YTD)'!$G$7:$Z$7,0)),0)</f>
        <v>0</v>
      </c>
      <c r="H522" s="5" t="e">
        <f>SUMIF('[1]TrialBalance (YTD)'!G:G,B522,'[1]TrialBalance (YTD)'!H:H)</f>
        <v>#VALUE!</v>
      </c>
      <c r="I522" s="5">
        <f>IFERROR(INDEX('[1]TrialBalance (YTD)'!$G:$S,MATCH([1]TBMapping!$C524,'[1]TrialBalance (YTD)'!G:G,0),MATCH([1]TBMapping!J$3,'[1]TrialBalance (YTD)'!$G$7:$Z$7,0)),0)</f>
        <v>0</v>
      </c>
      <c r="K522" s="5" t="e">
        <f>SUMIF('[1]TrialBalance (Quarter)'!$A:$A,B522,'[1]TrialBalance (Quarter)'!$B:$B)</f>
        <v>#VALUE!</v>
      </c>
      <c r="L522" s="5">
        <f>IFERROR(INDEX('[1]TrialBalance (Quarter)'!$A:$L,MATCH([1]TBMapping!$C524,'[1]TrialBalance (Quarter)'!A:A,0),MATCH([1]TBMapping!M$3,'[1]TrialBalance (Quarter)'!$7:$7,0)),0)</f>
        <v>0</v>
      </c>
      <c r="M522" s="5">
        <f>IFERROR(INDEX('[1]TrialBalance (Quarter)'!$A:$L,MATCH([1]TBMapping!$C524,'[1]TrialBalance (Quarter)'!A:A,0),MATCH([1]TBMapping!N$3,'[1]TrialBalance (Quarter)'!$7:$7,0)),0)</f>
        <v>0</v>
      </c>
      <c r="N522" s="5">
        <f>IFERROR(INDEX('[1]TrialBalance (Quarter)'!$A:$L,MATCH([1]TBMapping!$C524,'[1]TrialBalance (Quarter)'!A:A,0),MATCH([1]TBMapping!O$3,'[1]TrialBalance (Quarter)'!$7:$7,0)),0)</f>
        <v>0</v>
      </c>
    </row>
    <row r="523" spans="1:14">
      <c r="B523" s="3">
        <v>154999</v>
      </c>
      <c r="C523" s="10" t="s">
        <v>481</v>
      </c>
      <c r="D523" s="10" t="s">
        <v>16</v>
      </c>
      <c r="E523" s="10"/>
      <c r="F523" s="5" t="e">
        <f>IF(DataExtraction="Manual",SUMIF('[1]TrialBalance (YTD)'!$C:$C,B523,'[1]TrialBalance (YTD)'!$E:$E),SUMIF('[1]TrialBalance (YTD)'!$G:$G,B523,'[1]TrialBalance (YTD)'!$I:$I))</f>
        <v>#VALUE!</v>
      </c>
      <c r="G523" s="5">
        <f>IFERROR(INDEX('[1]TrialBalance (YTD)'!$G:$S,MATCH([1]TBMapping!$C525,'[1]TrialBalance (YTD)'!G:G,0),MATCH([1]TBMapping!H$3,'[1]TrialBalance (YTD)'!$G$7:$Z$7,0)),0)</f>
        <v>0</v>
      </c>
      <c r="H523" s="5" t="e">
        <f>SUMIF('[1]TrialBalance (YTD)'!G:G,B523,'[1]TrialBalance (YTD)'!H:H)</f>
        <v>#VALUE!</v>
      </c>
      <c r="I523" s="5">
        <f>IFERROR(INDEX('[1]TrialBalance (YTD)'!$G:$S,MATCH([1]TBMapping!$C525,'[1]TrialBalance (YTD)'!G:G,0),MATCH([1]TBMapping!J$3,'[1]TrialBalance (YTD)'!$G$7:$Z$7,0)),0)</f>
        <v>0</v>
      </c>
      <c r="K523" s="5" t="e">
        <f>SUMIF('[1]TrialBalance (Quarter)'!$A:$A,B523,'[1]TrialBalance (Quarter)'!$B:$B)</f>
        <v>#VALUE!</v>
      </c>
      <c r="L523" s="5">
        <f>IFERROR(INDEX('[1]TrialBalance (Quarter)'!$A:$L,MATCH([1]TBMapping!$C525,'[1]TrialBalance (Quarter)'!A:A,0),MATCH([1]TBMapping!M$3,'[1]TrialBalance (Quarter)'!$7:$7,0)),0)</f>
        <v>0</v>
      </c>
      <c r="M523" s="5">
        <f>IFERROR(INDEX('[1]TrialBalance (Quarter)'!$A:$L,MATCH([1]TBMapping!$C525,'[1]TrialBalance (Quarter)'!A:A,0),MATCH([1]TBMapping!N$3,'[1]TrialBalance (Quarter)'!$7:$7,0)),0)</f>
        <v>0</v>
      </c>
      <c r="N523" s="5">
        <f>IFERROR(INDEX('[1]TrialBalance (Quarter)'!$A:$L,MATCH([1]TBMapping!$C525,'[1]TrialBalance (Quarter)'!A:A,0),MATCH([1]TBMapping!O$3,'[1]TrialBalance (Quarter)'!$7:$7,0)),0)</f>
        <v>0</v>
      </c>
    </row>
    <row r="524" spans="1:14">
      <c r="B524" s="3">
        <v>159999</v>
      </c>
      <c r="C524" s="11" t="s">
        <v>482</v>
      </c>
      <c r="D524" s="11" t="s">
        <v>16</v>
      </c>
      <c r="E524" s="11"/>
      <c r="F524" s="5" t="e">
        <f>IF(DataExtraction="Manual",SUMIF('[1]TrialBalance (YTD)'!$C:$C,B524,'[1]TrialBalance (YTD)'!$E:$E),SUMIF('[1]TrialBalance (YTD)'!$G:$G,B524,'[1]TrialBalance (YTD)'!$I:$I))</f>
        <v>#VALUE!</v>
      </c>
      <c r="G524" s="5">
        <f>IFERROR(INDEX('[1]TrialBalance (YTD)'!$G:$S,MATCH([1]TBMapping!$C526,'[1]TrialBalance (YTD)'!G:G,0),MATCH([1]TBMapping!H$3,'[1]TrialBalance (YTD)'!$G$7:$Z$7,0)),0)</f>
        <v>0</v>
      </c>
      <c r="H524" s="5" t="e">
        <f>SUMIF('[1]TrialBalance (YTD)'!G:G,B524,'[1]TrialBalance (YTD)'!H:H)</f>
        <v>#VALUE!</v>
      </c>
      <c r="I524" s="5">
        <f>IFERROR(INDEX('[1]TrialBalance (YTD)'!$G:$S,MATCH([1]TBMapping!$C526,'[1]TrialBalance (YTD)'!G:G,0),MATCH([1]TBMapping!J$3,'[1]TrialBalance (YTD)'!$G$7:$Z$7,0)),0)</f>
        <v>0</v>
      </c>
      <c r="K524" s="5" t="e">
        <f>SUMIF('[1]TrialBalance (Quarter)'!$A:$A,B524,'[1]TrialBalance (Quarter)'!$B:$B)</f>
        <v>#VALUE!</v>
      </c>
      <c r="L524" s="5">
        <f>IFERROR(INDEX('[1]TrialBalance (Quarter)'!$A:$L,MATCH([1]TBMapping!$C526,'[1]TrialBalance (Quarter)'!A:A,0),MATCH([1]TBMapping!M$3,'[1]TrialBalance (Quarter)'!$7:$7,0)),0)</f>
        <v>0</v>
      </c>
      <c r="M524" s="5">
        <f>IFERROR(INDEX('[1]TrialBalance (Quarter)'!$A:$L,MATCH([1]TBMapping!$C526,'[1]TrialBalance (Quarter)'!A:A,0),MATCH([1]TBMapping!N$3,'[1]TrialBalance (Quarter)'!$7:$7,0)),0)</f>
        <v>0</v>
      </c>
      <c r="N524" s="5">
        <f>IFERROR(INDEX('[1]TrialBalance (Quarter)'!$A:$L,MATCH([1]TBMapping!$C526,'[1]TrialBalance (Quarter)'!A:A,0),MATCH([1]TBMapping!O$3,'[1]TrialBalance (Quarter)'!$7:$7,0)),0)</f>
        <v>0</v>
      </c>
    </row>
    <row r="525" spans="1:14">
      <c r="B525" s="3">
        <v>160000</v>
      </c>
      <c r="C525" s="10" t="s">
        <v>483</v>
      </c>
      <c r="D525" s="10" t="s">
        <v>5</v>
      </c>
      <c r="E525" s="10"/>
      <c r="F525" s="5" t="e">
        <f>IF(DataExtraction="Manual",SUMIF('[1]TrialBalance (YTD)'!$C:$C,B525,'[1]TrialBalance (YTD)'!$E:$E),SUMIF('[1]TrialBalance (YTD)'!$G:$G,B525,'[1]TrialBalance (YTD)'!$I:$I))</f>
        <v>#VALUE!</v>
      </c>
      <c r="G525" s="5">
        <f>IFERROR(INDEX('[1]TrialBalance (YTD)'!$G:$S,MATCH([1]TBMapping!$C527,'[1]TrialBalance (YTD)'!G:G,0),MATCH([1]TBMapping!H$3,'[1]TrialBalance (YTD)'!$G$7:$Z$7,0)),0)</f>
        <v>0</v>
      </c>
      <c r="H525" s="5" t="e">
        <f>SUMIF('[1]TrialBalance (YTD)'!G:G,B525,'[1]TrialBalance (YTD)'!H:H)</f>
        <v>#VALUE!</v>
      </c>
      <c r="I525" s="5">
        <f>IFERROR(INDEX('[1]TrialBalance (YTD)'!$G:$S,MATCH([1]TBMapping!$C527,'[1]TrialBalance (YTD)'!G:G,0),MATCH([1]TBMapping!J$3,'[1]TrialBalance (YTD)'!$G$7:$Z$7,0)),0)</f>
        <v>0</v>
      </c>
      <c r="K525" s="5" t="e">
        <f>SUMIF('[1]TrialBalance (Quarter)'!$A:$A,B525,'[1]TrialBalance (Quarter)'!$B:$B)</f>
        <v>#VALUE!</v>
      </c>
      <c r="L525" s="5">
        <f>IFERROR(INDEX('[1]TrialBalance (Quarter)'!$A:$L,MATCH([1]TBMapping!$C527,'[1]TrialBalance (Quarter)'!A:A,0),MATCH([1]TBMapping!M$3,'[1]TrialBalance (Quarter)'!$7:$7,0)),0)</f>
        <v>0</v>
      </c>
      <c r="M525" s="5">
        <f>IFERROR(INDEX('[1]TrialBalance (Quarter)'!$A:$L,MATCH([1]TBMapping!$C527,'[1]TrialBalance (Quarter)'!A:A,0),MATCH([1]TBMapping!N$3,'[1]TrialBalance (Quarter)'!$7:$7,0)),0)</f>
        <v>0</v>
      </c>
      <c r="N525" s="5">
        <f>IFERROR(INDEX('[1]TrialBalance (Quarter)'!$A:$L,MATCH([1]TBMapping!$C527,'[1]TrialBalance (Quarter)'!A:A,0),MATCH([1]TBMapping!O$3,'[1]TrialBalance (Quarter)'!$7:$7,0)),0)</f>
        <v>0</v>
      </c>
    </row>
    <row r="526" spans="1:14">
      <c r="B526" s="3">
        <v>161100</v>
      </c>
      <c r="C526" s="11" t="s">
        <v>484</v>
      </c>
      <c r="D526" s="11" t="s">
        <v>5</v>
      </c>
      <c r="E526" s="11"/>
      <c r="F526" s="5" t="e">
        <f>IF(DataExtraction="Manual",SUMIF('[1]TrialBalance (YTD)'!$C:$C,B526,'[1]TrialBalance (YTD)'!$E:$E),SUMIF('[1]TrialBalance (YTD)'!$G:$G,B526,'[1]TrialBalance (YTD)'!$I:$I))</f>
        <v>#VALUE!</v>
      </c>
      <c r="G526" s="5">
        <f>IFERROR(INDEX('[1]TrialBalance (YTD)'!$G:$S,MATCH([1]TBMapping!$C528,'[1]TrialBalance (YTD)'!G:G,0),MATCH([1]TBMapping!H$3,'[1]TrialBalance (YTD)'!$G$7:$Z$7,0)),0)</f>
        <v>0</v>
      </c>
      <c r="H526" s="5" t="e">
        <f>SUMIF('[1]TrialBalance (YTD)'!G:G,B526,'[1]TrialBalance (YTD)'!H:H)</f>
        <v>#VALUE!</v>
      </c>
      <c r="I526" s="5">
        <f>IFERROR(INDEX('[1]TrialBalance (YTD)'!$G:$S,MATCH([1]TBMapping!$C528,'[1]TrialBalance (YTD)'!G:G,0),MATCH([1]TBMapping!J$3,'[1]TrialBalance (YTD)'!$G$7:$Z$7,0)),0)</f>
        <v>0</v>
      </c>
      <c r="K526" s="5" t="e">
        <f>SUMIF('[1]TrialBalance (Quarter)'!$A:$A,B526,'[1]TrialBalance (Quarter)'!$B:$B)</f>
        <v>#VALUE!</v>
      </c>
      <c r="L526" s="5">
        <f>IFERROR(INDEX('[1]TrialBalance (Quarter)'!$A:$L,MATCH([1]TBMapping!$C528,'[1]TrialBalance (Quarter)'!A:A,0),MATCH([1]TBMapping!M$3,'[1]TrialBalance (Quarter)'!$7:$7,0)),0)</f>
        <v>0</v>
      </c>
      <c r="M526" s="5">
        <f>IFERROR(INDEX('[1]TrialBalance (Quarter)'!$A:$L,MATCH([1]TBMapping!$C528,'[1]TrialBalance (Quarter)'!A:A,0),MATCH([1]TBMapping!N$3,'[1]TrialBalance (Quarter)'!$7:$7,0)),0)</f>
        <v>0</v>
      </c>
      <c r="N526" s="5">
        <f>IFERROR(INDEX('[1]TrialBalance (Quarter)'!$A:$L,MATCH([1]TBMapping!$C528,'[1]TrialBalance (Quarter)'!A:A,0),MATCH([1]TBMapping!O$3,'[1]TrialBalance (Quarter)'!$7:$7,0)),0)</f>
        <v>0</v>
      </c>
    </row>
    <row r="527" spans="1:14">
      <c r="A527" s="2">
        <v>111</v>
      </c>
      <c r="B527" s="3">
        <v>161110</v>
      </c>
      <c r="C527" s="10" t="s">
        <v>485</v>
      </c>
      <c r="D527" s="10" t="s">
        <v>11</v>
      </c>
      <c r="E527" s="10"/>
      <c r="F527" s="5" t="e">
        <f>IF(DataExtraction="Manual",SUMIF('[1]TrialBalance (YTD)'!$C:$C,B527,'[1]TrialBalance (YTD)'!$E:$E),SUMIF('[1]TrialBalance (YTD)'!$G:$G,B527,'[1]TrialBalance (YTD)'!$I:$I))</f>
        <v>#VALUE!</v>
      </c>
      <c r="G527" s="5">
        <f>IFERROR(INDEX('[1]TrialBalance (YTD)'!$G:$S,MATCH([1]TBMapping!$C529,'[1]TrialBalance (YTD)'!G:G,0),MATCH([1]TBMapping!H$3,'[1]TrialBalance (YTD)'!$G$7:$Z$7,0)),0)</f>
        <v>0</v>
      </c>
      <c r="H527" s="5" t="e">
        <f>SUMIF('[1]TrialBalance (YTD)'!G:G,B527,'[1]TrialBalance (YTD)'!H:H)</f>
        <v>#VALUE!</v>
      </c>
      <c r="I527" s="5">
        <f>IFERROR(INDEX('[1]TrialBalance (YTD)'!$G:$S,MATCH([1]TBMapping!$C529,'[1]TrialBalance (YTD)'!G:G,0),MATCH([1]TBMapping!J$3,'[1]TrialBalance (YTD)'!$G$7:$Z$7,0)),0)</f>
        <v>0</v>
      </c>
      <c r="K527" s="5" t="e">
        <f>SUMIF('[1]TrialBalance (Quarter)'!$A:$A,B527,'[1]TrialBalance (Quarter)'!$B:$B)</f>
        <v>#VALUE!</v>
      </c>
      <c r="L527" s="5">
        <f>IFERROR(INDEX('[1]TrialBalance (Quarter)'!$A:$L,MATCH([1]TBMapping!$C529,'[1]TrialBalance (Quarter)'!A:A,0),MATCH([1]TBMapping!M$3,'[1]TrialBalance (Quarter)'!$7:$7,0)),0)</f>
        <v>0</v>
      </c>
      <c r="M527" s="5">
        <f>IFERROR(INDEX('[1]TrialBalance (Quarter)'!$A:$L,MATCH([1]TBMapping!$C529,'[1]TrialBalance (Quarter)'!A:A,0),MATCH([1]TBMapping!N$3,'[1]TrialBalance (Quarter)'!$7:$7,0)),0)</f>
        <v>0</v>
      </c>
      <c r="N527" s="5">
        <f>IFERROR(INDEX('[1]TrialBalance (Quarter)'!$A:$L,MATCH([1]TBMapping!$C529,'[1]TrialBalance (Quarter)'!A:A,0),MATCH([1]TBMapping!O$3,'[1]TrialBalance (Quarter)'!$7:$7,0)),0)</f>
        <v>0</v>
      </c>
    </row>
    <row r="528" spans="1:14">
      <c r="A528" s="2">
        <v>111</v>
      </c>
      <c r="B528" s="3">
        <v>161111</v>
      </c>
      <c r="C528" s="11" t="s">
        <v>486</v>
      </c>
      <c r="D528" s="11" t="s">
        <v>11</v>
      </c>
      <c r="E528" s="11"/>
      <c r="F528" s="5" t="e">
        <f>IF(DataExtraction="Manual",SUMIF('[1]TrialBalance (YTD)'!$C:$C,B528,'[1]TrialBalance (YTD)'!$E:$E),SUMIF('[1]TrialBalance (YTD)'!$G:$G,B528,'[1]TrialBalance (YTD)'!$I:$I))</f>
        <v>#VALUE!</v>
      </c>
      <c r="G528" s="5">
        <f>IFERROR(INDEX('[1]TrialBalance (YTD)'!$G:$S,MATCH([1]TBMapping!$C530,'[1]TrialBalance (YTD)'!G:G,0),MATCH([1]TBMapping!H$3,'[1]TrialBalance (YTD)'!$G$7:$Z$7,0)),0)</f>
        <v>0</v>
      </c>
      <c r="H528" s="5" t="e">
        <f>SUMIF('[1]TrialBalance (YTD)'!G:G,B528,'[1]TrialBalance (YTD)'!H:H)</f>
        <v>#VALUE!</v>
      </c>
      <c r="I528" s="5">
        <f>IFERROR(INDEX('[1]TrialBalance (YTD)'!$G:$S,MATCH([1]TBMapping!$C530,'[1]TrialBalance (YTD)'!G:G,0),MATCH([1]TBMapping!J$3,'[1]TrialBalance (YTD)'!$G$7:$Z$7,0)),0)</f>
        <v>0</v>
      </c>
      <c r="K528" s="5" t="e">
        <f>SUMIF('[1]TrialBalance (Quarter)'!$A:$A,B528,'[1]TrialBalance (Quarter)'!$B:$B)</f>
        <v>#VALUE!</v>
      </c>
      <c r="L528" s="5">
        <f>IFERROR(INDEX('[1]TrialBalance (Quarter)'!$A:$L,MATCH([1]TBMapping!$C530,'[1]TrialBalance (Quarter)'!A:A,0),MATCH([1]TBMapping!M$3,'[1]TrialBalance (Quarter)'!$7:$7,0)),0)</f>
        <v>0</v>
      </c>
      <c r="M528" s="5">
        <f>IFERROR(INDEX('[1]TrialBalance (Quarter)'!$A:$L,MATCH([1]TBMapping!$C530,'[1]TrialBalance (Quarter)'!A:A,0),MATCH([1]TBMapping!N$3,'[1]TrialBalance (Quarter)'!$7:$7,0)),0)</f>
        <v>0</v>
      </c>
      <c r="N528" s="5">
        <f>IFERROR(INDEX('[1]TrialBalance (Quarter)'!$A:$L,MATCH([1]TBMapping!$C530,'[1]TrialBalance (Quarter)'!A:A,0),MATCH([1]TBMapping!O$3,'[1]TrialBalance (Quarter)'!$7:$7,0)),0)</f>
        <v>0</v>
      </c>
    </row>
    <row r="529" spans="1:14">
      <c r="A529" s="2">
        <v>111</v>
      </c>
      <c r="B529" s="3">
        <v>161120</v>
      </c>
      <c r="C529" s="10" t="s">
        <v>487</v>
      </c>
      <c r="D529" s="10" t="s">
        <v>11</v>
      </c>
      <c r="E529" s="10"/>
      <c r="F529" s="5" t="e">
        <f>IF(DataExtraction="Manual",SUMIF('[1]TrialBalance (YTD)'!$C:$C,B529,'[1]TrialBalance (YTD)'!$E:$E),SUMIF('[1]TrialBalance (YTD)'!$G:$G,B529,'[1]TrialBalance (YTD)'!$I:$I))</f>
        <v>#VALUE!</v>
      </c>
      <c r="G529" s="5">
        <f>IFERROR(INDEX('[1]TrialBalance (YTD)'!$G:$S,MATCH([1]TBMapping!$C531,'[1]TrialBalance (YTD)'!G:G,0),MATCH([1]TBMapping!H$3,'[1]TrialBalance (YTD)'!$G$7:$Z$7,0)),0)</f>
        <v>0</v>
      </c>
      <c r="H529" s="5" t="e">
        <f>SUMIF('[1]TrialBalance (YTD)'!G:G,B529,'[1]TrialBalance (YTD)'!H:H)</f>
        <v>#VALUE!</v>
      </c>
      <c r="I529" s="5">
        <f>IFERROR(INDEX('[1]TrialBalance (YTD)'!$G:$S,MATCH([1]TBMapping!$C531,'[1]TrialBalance (YTD)'!G:G,0),MATCH([1]TBMapping!J$3,'[1]TrialBalance (YTD)'!$G$7:$Z$7,0)),0)</f>
        <v>0</v>
      </c>
      <c r="K529" s="5" t="e">
        <f>SUMIF('[1]TrialBalance (Quarter)'!$A:$A,B529,'[1]TrialBalance (Quarter)'!$B:$B)</f>
        <v>#VALUE!</v>
      </c>
      <c r="L529" s="5">
        <f>IFERROR(INDEX('[1]TrialBalance (Quarter)'!$A:$L,MATCH([1]TBMapping!$C531,'[1]TrialBalance (Quarter)'!A:A,0),MATCH([1]TBMapping!M$3,'[1]TrialBalance (Quarter)'!$7:$7,0)),0)</f>
        <v>0</v>
      </c>
      <c r="M529" s="5">
        <f>IFERROR(INDEX('[1]TrialBalance (Quarter)'!$A:$L,MATCH([1]TBMapping!$C531,'[1]TrialBalance (Quarter)'!A:A,0),MATCH([1]TBMapping!N$3,'[1]TrialBalance (Quarter)'!$7:$7,0)),0)</f>
        <v>0</v>
      </c>
      <c r="N529" s="5">
        <f>IFERROR(INDEX('[1]TrialBalance (Quarter)'!$A:$L,MATCH([1]TBMapping!$C531,'[1]TrialBalance (Quarter)'!A:A,0),MATCH([1]TBMapping!O$3,'[1]TrialBalance (Quarter)'!$7:$7,0)),0)</f>
        <v>0</v>
      </c>
    </row>
    <row r="530" spans="1:14">
      <c r="A530" s="2">
        <v>111</v>
      </c>
      <c r="B530" s="3">
        <v>161130</v>
      </c>
      <c r="C530" s="11" t="s">
        <v>488</v>
      </c>
      <c r="D530" s="11" t="s">
        <v>11</v>
      </c>
      <c r="E530" s="11"/>
      <c r="F530" s="5" t="e">
        <f>IF(DataExtraction="Manual",SUMIF('[1]TrialBalance (YTD)'!$C:$C,B530,'[1]TrialBalance (YTD)'!$E:$E),SUMIF('[1]TrialBalance (YTD)'!$G:$G,B530,'[1]TrialBalance (YTD)'!$I:$I))</f>
        <v>#VALUE!</v>
      </c>
      <c r="G530" s="5">
        <f>IFERROR(INDEX('[1]TrialBalance (YTD)'!$G:$S,MATCH([1]TBMapping!$C532,'[1]TrialBalance (YTD)'!G:G,0),MATCH([1]TBMapping!H$3,'[1]TrialBalance (YTD)'!$G$7:$Z$7,0)),0)</f>
        <v>0</v>
      </c>
      <c r="H530" s="5" t="e">
        <f>SUMIF('[1]TrialBalance (YTD)'!G:G,B530,'[1]TrialBalance (YTD)'!H:H)</f>
        <v>#VALUE!</v>
      </c>
      <c r="I530" s="5">
        <f>IFERROR(INDEX('[1]TrialBalance (YTD)'!$G:$S,MATCH([1]TBMapping!$C532,'[1]TrialBalance (YTD)'!G:G,0),MATCH([1]TBMapping!J$3,'[1]TrialBalance (YTD)'!$G$7:$Z$7,0)),0)</f>
        <v>0</v>
      </c>
      <c r="K530" s="5" t="e">
        <f>SUMIF('[1]TrialBalance (Quarter)'!$A:$A,B530,'[1]TrialBalance (Quarter)'!$B:$B)</f>
        <v>#VALUE!</v>
      </c>
      <c r="L530" s="5">
        <f>IFERROR(INDEX('[1]TrialBalance (Quarter)'!$A:$L,MATCH([1]TBMapping!$C532,'[1]TrialBalance (Quarter)'!A:A,0),MATCH([1]TBMapping!M$3,'[1]TrialBalance (Quarter)'!$7:$7,0)),0)</f>
        <v>0</v>
      </c>
      <c r="M530" s="5">
        <f>IFERROR(INDEX('[1]TrialBalance (Quarter)'!$A:$L,MATCH([1]TBMapping!$C532,'[1]TrialBalance (Quarter)'!A:A,0),MATCH([1]TBMapping!N$3,'[1]TrialBalance (Quarter)'!$7:$7,0)),0)</f>
        <v>0</v>
      </c>
      <c r="N530" s="5">
        <f>IFERROR(INDEX('[1]TrialBalance (Quarter)'!$A:$L,MATCH([1]TBMapping!$C532,'[1]TrialBalance (Quarter)'!A:A,0),MATCH([1]TBMapping!O$3,'[1]TrialBalance (Quarter)'!$7:$7,0)),0)</f>
        <v>0</v>
      </c>
    </row>
    <row r="531" spans="1:14">
      <c r="B531" s="3">
        <v>161199</v>
      </c>
      <c r="C531" s="10" t="s">
        <v>489</v>
      </c>
      <c r="D531" s="10" t="s">
        <v>16</v>
      </c>
      <c r="E531" s="10"/>
      <c r="F531" s="5" t="e">
        <f>IF(DataExtraction="Manual",SUMIF('[1]TrialBalance (YTD)'!$C:$C,B531,'[1]TrialBalance (YTD)'!$E:$E),SUMIF('[1]TrialBalance (YTD)'!$G:$G,B531,'[1]TrialBalance (YTD)'!$I:$I))</f>
        <v>#VALUE!</v>
      </c>
      <c r="G531" s="5">
        <f>IFERROR(INDEX('[1]TrialBalance (YTD)'!$G:$S,MATCH([1]TBMapping!$C533,'[1]TrialBalance (YTD)'!G:G,0),MATCH([1]TBMapping!H$3,'[1]TrialBalance (YTD)'!$G$7:$Z$7,0)),0)</f>
        <v>0</v>
      </c>
      <c r="H531" s="5" t="e">
        <f>SUMIF('[1]TrialBalance (YTD)'!G:G,B531,'[1]TrialBalance (YTD)'!H:H)</f>
        <v>#VALUE!</v>
      </c>
      <c r="I531" s="5">
        <f>IFERROR(INDEX('[1]TrialBalance (YTD)'!$G:$S,MATCH([1]TBMapping!$C533,'[1]TrialBalance (YTD)'!G:G,0),MATCH([1]TBMapping!J$3,'[1]TrialBalance (YTD)'!$G$7:$Z$7,0)),0)</f>
        <v>0</v>
      </c>
      <c r="K531" s="5" t="e">
        <f>SUMIF('[1]TrialBalance (Quarter)'!$A:$A,B531,'[1]TrialBalance (Quarter)'!$B:$B)</f>
        <v>#VALUE!</v>
      </c>
      <c r="L531" s="5">
        <f>IFERROR(INDEX('[1]TrialBalance (Quarter)'!$A:$L,MATCH([1]TBMapping!$C533,'[1]TrialBalance (Quarter)'!A:A,0),MATCH([1]TBMapping!M$3,'[1]TrialBalance (Quarter)'!$7:$7,0)),0)</f>
        <v>0</v>
      </c>
      <c r="M531" s="5">
        <f>IFERROR(INDEX('[1]TrialBalance (Quarter)'!$A:$L,MATCH([1]TBMapping!$C533,'[1]TrialBalance (Quarter)'!A:A,0),MATCH([1]TBMapping!N$3,'[1]TrialBalance (Quarter)'!$7:$7,0)),0)</f>
        <v>0</v>
      </c>
      <c r="N531" s="5">
        <f>IFERROR(INDEX('[1]TrialBalance (Quarter)'!$A:$L,MATCH([1]TBMapping!$C533,'[1]TrialBalance (Quarter)'!A:A,0),MATCH([1]TBMapping!O$3,'[1]TrialBalance (Quarter)'!$7:$7,0)),0)</f>
        <v>0</v>
      </c>
    </row>
    <row r="532" spans="1:14">
      <c r="B532" s="3">
        <v>161200</v>
      </c>
      <c r="C532" s="11" t="s">
        <v>490</v>
      </c>
      <c r="D532" s="11" t="s">
        <v>5</v>
      </c>
      <c r="E532" s="11"/>
      <c r="F532" s="5" t="e">
        <f>IF(DataExtraction="Manual",SUMIF('[1]TrialBalance (YTD)'!$C:$C,B532,'[1]TrialBalance (YTD)'!$E:$E),SUMIF('[1]TrialBalance (YTD)'!$G:$G,B532,'[1]TrialBalance (YTD)'!$I:$I))</f>
        <v>#VALUE!</v>
      </c>
      <c r="G532" s="5">
        <f>IFERROR(INDEX('[1]TrialBalance (YTD)'!$G:$S,MATCH([1]TBMapping!$C534,'[1]TrialBalance (YTD)'!G:G,0),MATCH([1]TBMapping!H$3,'[1]TrialBalance (YTD)'!$G$7:$Z$7,0)),0)</f>
        <v>0</v>
      </c>
      <c r="H532" s="5" t="e">
        <f>SUMIF('[1]TrialBalance (YTD)'!G:G,B532,'[1]TrialBalance (YTD)'!H:H)</f>
        <v>#VALUE!</v>
      </c>
      <c r="I532" s="5">
        <f>IFERROR(INDEX('[1]TrialBalance (YTD)'!$G:$S,MATCH([1]TBMapping!$C534,'[1]TrialBalance (YTD)'!G:G,0),MATCH([1]TBMapping!J$3,'[1]TrialBalance (YTD)'!$G$7:$Z$7,0)),0)</f>
        <v>0</v>
      </c>
      <c r="K532" s="5" t="e">
        <f>SUMIF('[1]TrialBalance (Quarter)'!$A:$A,B532,'[1]TrialBalance (Quarter)'!$B:$B)</f>
        <v>#VALUE!</v>
      </c>
      <c r="L532" s="5">
        <f>IFERROR(INDEX('[1]TrialBalance (Quarter)'!$A:$L,MATCH([1]TBMapping!$C534,'[1]TrialBalance (Quarter)'!A:A,0),MATCH([1]TBMapping!M$3,'[1]TrialBalance (Quarter)'!$7:$7,0)),0)</f>
        <v>0</v>
      </c>
      <c r="M532" s="5">
        <f>IFERROR(INDEX('[1]TrialBalance (Quarter)'!$A:$L,MATCH([1]TBMapping!$C534,'[1]TrialBalance (Quarter)'!A:A,0),MATCH([1]TBMapping!N$3,'[1]TrialBalance (Quarter)'!$7:$7,0)),0)</f>
        <v>0</v>
      </c>
      <c r="N532" s="5">
        <f>IFERROR(INDEX('[1]TrialBalance (Quarter)'!$A:$L,MATCH([1]TBMapping!$C534,'[1]TrialBalance (Quarter)'!A:A,0),MATCH([1]TBMapping!O$3,'[1]TrialBalance (Quarter)'!$7:$7,0)),0)</f>
        <v>0</v>
      </c>
    </row>
    <row r="533" spans="1:14">
      <c r="A533" s="2">
        <v>111</v>
      </c>
      <c r="B533" s="3">
        <v>161210</v>
      </c>
      <c r="C533" s="10" t="s">
        <v>491</v>
      </c>
      <c r="D533" s="10" t="s">
        <v>11</v>
      </c>
      <c r="E533" s="10"/>
      <c r="F533" s="5" t="e">
        <f>IF(DataExtraction="Manual",SUMIF('[1]TrialBalance (YTD)'!$C:$C,B533,'[1]TrialBalance (YTD)'!$E:$E),SUMIF('[1]TrialBalance (YTD)'!$G:$G,B533,'[1]TrialBalance (YTD)'!$I:$I))</f>
        <v>#VALUE!</v>
      </c>
      <c r="G533" s="5">
        <f>IFERROR(INDEX('[1]TrialBalance (YTD)'!$G:$S,MATCH([1]TBMapping!$C535,'[1]TrialBalance (YTD)'!G:G,0),MATCH([1]TBMapping!H$3,'[1]TrialBalance (YTD)'!$G$7:$Z$7,0)),0)</f>
        <v>0</v>
      </c>
      <c r="H533" s="5" t="e">
        <f>SUMIF('[1]TrialBalance (YTD)'!G:G,B533,'[1]TrialBalance (YTD)'!H:H)</f>
        <v>#VALUE!</v>
      </c>
      <c r="I533" s="5">
        <f>IFERROR(INDEX('[1]TrialBalance (YTD)'!$G:$S,MATCH([1]TBMapping!$C535,'[1]TrialBalance (YTD)'!G:G,0),MATCH([1]TBMapping!J$3,'[1]TrialBalance (YTD)'!$G$7:$Z$7,0)),0)</f>
        <v>0</v>
      </c>
      <c r="K533" s="5" t="e">
        <f>SUMIF('[1]TrialBalance (Quarter)'!$A:$A,B533,'[1]TrialBalance (Quarter)'!$B:$B)</f>
        <v>#VALUE!</v>
      </c>
      <c r="L533" s="5">
        <f>IFERROR(INDEX('[1]TrialBalance (Quarter)'!$A:$L,MATCH([1]TBMapping!$C535,'[1]TrialBalance (Quarter)'!A:A,0),MATCH([1]TBMapping!M$3,'[1]TrialBalance (Quarter)'!$7:$7,0)),0)</f>
        <v>0</v>
      </c>
      <c r="M533" s="5">
        <f>IFERROR(INDEX('[1]TrialBalance (Quarter)'!$A:$L,MATCH([1]TBMapping!$C535,'[1]TrialBalance (Quarter)'!A:A,0),MATCH([1]TBMapping!N$3,'[1]TrialBalance (Quarter)'!$7:$7,0)),0)</f>
        <v>0</v>
      </c>
      <c r="N533" s="5">
        <f>IFERROR(INDEX('[1]TrialBalance (Quarter)'!$A:$L,MATCH([1]TBMapping!$C535,'[1]TrialBalance (Quarter)'!A:A,0),MATCH([1]TBMapping!O$3,'[1]TrialBalance (Quarter)'!$7:$7,0)),0)</f>
        <v>0</v>
      </c>
    </row>
    <row r="534" spans="1:14">
      <c r="A534" s="2">
        <v>111</v>
      </c>
      <c r="B534" s="3">
        <v>161211</v>
      </c>
      <c r="C534" s="11" t="s">
        <v>492</v>
      </c>
      <c r="D534" s="11" t="s">
        <v>11</v>
      </c>
      <c r="E534" s="11"/>
      <c r="F534" s="5" t="e">
        <f>IF(DataExtraction="Manual",SUMIF('[1]TrialBalance (YTD)'!$C:$C,B534,'[1]TrialBalance (YTD)'!$E:$E),SUMIF('[1]TrialBalance (YTD)'!$G:$G,B534,'[1]TrialBalance (YTD)'!$I:$I))</f>
        <v>#VALUE!</v>
      </c>
      <c r="G534" s="5">
        <f>IFERROR(INDEX('[1]TrialBalance (YTD)'!$G:$S,MATCH([1]TBMapping!$C536,'[1]TrialBalance (YTD)'!G:G,0),MATCH([1]TBMapping!H$3,'[1]TrialBalance (YTD)'!$G$7:$Z$7,0)),0)</f>
        <v>0</v>
      </c>
      <c r="H534" s="5" t="e">
        <f>SUMIF('[1]TrialBalance (YTD)'!G:G,B534,'[1]TrialBalance (YTD)'!H:H)</f>
        <v>#VALUE!</v>
      </c>
      <c r="I534" s="5">
        <f>IFERROR(INDEX('[1]TrialBalance (YTD)'!$G:$S,MATCH([1]TBMapping!$C536,'[1]TrialBalance (YTD)'!G:G,0),MATCH([1]TBMapping!J$3,'[1]TrialBalance (YTD)'!$G$7:$Z$7,0)),0)</f>
        <v>0</v>
      </c>
      <c r="K534" s="5" t="e">
        <f>SUMIF('[1]TrialBalance (Quarter)'!$A:$A,B534,'[1]TrialBalance (Quarter)'!$B:$B)</f>
        <v>#VALUE!</v>
      </c>
      <c r="L534" s="5">
        <f>IFERROR(INDEX('[1]TrialBalance (Quarter)'!$A:$L,MATCH([1]TBMapping!$C536,'[1]TrialBalance (Quarter)'!A:A,0),MATCH([1]TBMapping!M$3,'[1]TrialBalance (Quarter)'!$7:$7,0)),0)</f>
        <v>0</v>
      </c>
      <c r="M534" s="5">
        <f>IFERROR(INDEX('[1]TrialBalance (Quarter)'!$A:$L,MATCH([1]TBMapping!$C536,'[1]TrialBalance (Quarter)'!A:A,0),MATCH([1]TBMapping!N$3,'[1]TrialBalance (Quarter)'!$7:$7,0)),0)</f>
        <v>0</v>
      </c>
      <c r="N534" s="5">
        <f>IFERROR(INDEX('[1]TrialBalance (Quarter)'!$A:$L,MATCH([1]TBMapping!$C536,'[1]TrialBalance (Quarter)'!A:A,0),MATCH([1]TBMapping!O$3,'[1]TrialBalance (Quarter)'!$7:$7,0)),0)</f>
        <v>0</v>
      </c>
    </row>
    <row r="535" spans="1:14">
      <c r="A535" s="2">
        <v>111</v>
      </c>
      <c r="B535" s="3">
        <v>161220</v>
      </c>
      <c r="C535" s="10" t="s">
        <v>493</v>
      </c>
      <c r="D535" s="10" t="s">
        <v>11</v>
      </c>
      <c r="E535" s="10"/>
      <c r="F535" s="5" t="e">
        <f>IF(DataExtraction="Manual",SUMIF('[1]TrialBalance (YTD)'!$C:$C,B535,'[1]TrialBalance (YTD)'!$E:$E),SUMIF('[1]TrialBalance (YTD)'!$G:$G,B535,'[1]TrialBalance (YTD)'!$I:$I))</f>
        <v>#VALUE!</v>
      </c>
      <c r="G535" s="5">
        <f>IFERROR(INDEX('[1]TrialBalance (YTD)'!$G:$S,MATCH([1]TBMapping!$C537,'[1]TrialBalance (YTD)'!G:G,0),MATCH([1]TBMapping!H$3,'[1]TrialBalance (YTD)'!$G$7:$Z$7,0)),0)</f>
        <v>0</v>
      </c>
      <c r="H535" s="5" t="e">
        <f>SUMIF('[1]TrialBalance (YTD)'!G:G,B535,'[1]TrialBalance (YTD)'!H:H)</f>
        <v>#VALUE!</v>
      </c>
      <c r="I535" s="5">
        <f>IFERROR(INDEX('[1]TrialBalance (YTD)'!$G:$S,MATCH([1]TBMapping!$C537,'[1]TrialBalance (YTD)'!G:G,0),MATCH([1]TBMapping!J$3,'[1]TrialBalance (YTD)'!$G$7:$Z$7,0)),0)</f>
        <v>0</v>
      </c>
      <c r="K535" s="5" t="e">
        <f>SUMIF('[1]TrialBalance (Quarter)'!$A:$A,B535,'[1]TrialBalance (Quarter)'!$B:$B)</f>
        <v>#VALUE!</v>
      </c>
      <c r="L535" s="5">
        <f>IFERROR(INDEX('[1]TrialBalance (Quarter)'!$A:$L,MATCH([1]TBMapping!$C537,'[1]TrialBalance (Quarter)'!A:A,0),MATCH([1]TBMapping!M$3,'[1]TrialBalance (Quarter)'!$7:$7,0)),0)</f>
        <v>0</v>
      </c>
      <c r="M535" s="5">
        <f>IFERROR(INDEX('[1]TrialBalance (Quarter)'!$A:$L,MATCH([1]TBMapping!$C537,'[1]TrialBalance (Quarter)'!A:A,0),MATCH([1]TBMapping!N$3,'[1]TrialBalance (Quarter)'!$7:$7,0)),0)</f>
        <v>0</v>
      </c>
      <c r="N535" s="5">
        <f>IFERROR(INDEX('[1]TrialBalance (Quarter)'!$A:$L,MATCH([1]TBMapping!$C537,'[1]TrialBalance (Quarter)'!A:A,0),MATCH([1]TBMapping!O$3,'[1]TrialBalance (Quarter)'!$7:$7,0)),0)</f>
        <v>0</v>
      </c>
    </row>
    <row r="536" spans="1:14">
      <c r="A536" s="2">
        <v>111</v>
      </c>
      <c r="B536" s="3">
        <v>161221</v>
      </c>
      <c r="C536" s="11" t="s">
        <v>494</v>
      </c>
      <c r="D536" s="11" t="s">
        <v>11</v>
      </c>
      <c r="E536" s="11"/>
      <c r="F536" s="5" t="e">
        <f>IF(DataExtraction="Manual",SUMIF('[1]TrialBalance (YTD)'!$C:$C,B536,'[1]TrialBalance (YTD)'!$E:$E),SUMIF('[1]TrialBalance (YTD)'!$G:$G,B536,'[1]TrialBalance (YTD)'!$I:$I))</f>
        <v>#VALUE!</v>
      </c>
      <c r="G536" s="5">
        <f>IFERROR(INDEX('[1]TrialBalance (YTD)'!$G:$S,MATCH([1]TBMapping!$C538,'[1]TrialBalance (YTD)'!G:G,0),MATCH([1]TBMapping!H$3,'[1]TrialBalance (YTD)'!$G$7:$Z$7,0)),0)</f>
        <v>0</v>
      </c>
      <c r="H536" s="5" t="e">
        <f>SUMIF('[1]TrialBalance (YTD)'!G:G,B536,'[1]TrialBalance (YTD)'!H:H)</f>
        <v>#VALUE!</v>
      </c>
      <c r="I536" s="5">
        <f>IFERROR(INDEX('[1]TrialBalance (YTD)'!$G:$S,MATCH([1]TBMapping!$C538,'[1]TrialBalance (YTD)'!G:G,0),MATCH([1]TBMapping!J$3,'[1]TrialBalance (YTD)'!$G$7:$Z$7,0)),0)</f>
        <v>0</v>
      </c>
      <c r="K536" s="5" t="e">
        <f>SUMIF('[1]TrialBalance (Quarter)'!$A:$A,B536,'[1]TrialBalance (Quarter)'!$B:$B)</f>
        <v>#VALUE!</v>
      </c>
      <c r="L536" s="5">
        <f>IFERROR(INDEX('[1]TrialBalance (Quarter)'!$A:$L,MATCH([1]TBMapping!$C538,'[1]TrialBalance (Quarter)'!A:A,0),MATCH([1]TBMapping!M$3,'[1]TrialBalance (Quarter)'!$7:$7,0)),0)</f>
        <v>0</v>
      </c>
      <c r="M536" s="5">
        <f>IFERROR(INDEX('[1]TrialBalance (Quarter)'!$A:$L,MATCH([1]TBMapping!$C538,'[1]TrialBalance (Quarter)'!A:A,0),MATCH([1]TBMapping!N$3,'[1]TrialBalance (Quarter)'!$7:$7,0)),0)</f>
        <v>0</v>
      </c>
      <c r="N536" s="5">
        <f>IFERROR(INDEX('[1]TrialBalance (Quarter)'!$A:$L,MATCH([1]TBMapping!$C538,'[1]TrialBalance (Quarter)'!A:A,0),MATCH([1]TBMapping!O$3,'[1]TrialBalance (Quarter)'!$7:$7,0)),0)</f>
        <v>0</v>
      </c>
    </row>
    <row r="537" spans="1:14">
      <c r="A537" s="2">
        <v>111</v>
      </c>
      <c r="B537" s="3">
        <v>161230</v>
      </c>
      <c r="C537" s="10" t="s">
        <v>495</v>
      </c>
      <c r="D537" s="10" t="s">
        <v>11</v>
      </c>
      <c r="E537" s="10"/>
      <c r="F537" s="5" t="e">
        <f>IF(DataExtraction="Manual",SUMIF('[1]TrialBalance (YTD)'!$C:$C,B537,'[1]TrialBalance (YTD)'!$E:$E),SUMIF('[1]TrialBalance (YTD)'!$G:$G,B537,'[1]TrialBalance (YTD)'!$I:$I))</f>
        <v>#VALUE!</v>
      </c>
      <c r="G537" s="5">
        <f>IFERROR(INDEX('[1]TrialBalance (YTD)'!$G:$S,MATCH([1]TBMapping!$C539,'[1]TrialBalance (YTD)'!G:G,0),MATCH([1]TBMapping!H$3,'[1]TrialBalance (YTD)'!$G$7:$Z$7,0)),0)</f>
        <v>0</v>
      </c>
      <c r="H537" s="5" t="e">
        <f>SUMIF('[1]TrialBalance (YTD)'!G:G,B537,'[1]TrialBalance (YTD)'!H:H)</f>
        <v>#VALUE!</v>
      </c>
      <c r="I537" s="5">
        <f>IFERROR(INDEX('[1]TrialBalance (YTD)'!$G:$S,MATCH([1]TBMapping!$C539,'[1]TrialBalance (YTD)'!G:G,0),MATCH([1]TBMapping!J$3,'[1]TrialBalance (YTD)'!$G$7:$Z$7,0)),0)</f>
        <v>0</v>
      </c>
      <c r="K537" s="5" t="e">
        <f>SUMIF('[1]TrialBalance (Quarter)'!$A:$A,B537,'[1]TrialBalance (Quarter)'!$B:$B)</f>
        <v>#VALUE!</v>
      </c>
      <c r="L537" s="5">
        <f>IFERROR(INDEX('[1]TrialBalance (Quarter)'!$A:$L,MATCH([1]TBMapping!$C539,'[1]TrialBalance (Quarter)'!A:A,0),MATCH([1]TBMapping!M$3,'[1]TrialBalance (Quarter)'!$7:$7,0)),0)</f>
        <v>0</v>
      </c>
      <c r="M537" s="5">
        <f>IFERROR(INDEX('[1]TrialBalance (Quarter)'!$A:$L,MATCH([1]TBMapping!$C539,'[1]TrialBalance (Quarter)'!A:A,0),MATCH([1]TBMapping!N$3,'[1]TrialBalance (Quarter)'!$7:$7,0)),0)</f>
        <v>0</v>
      </c>
      <c r="N537" s="5">
        <f>IFERROR(INDEX('[1]TrialBalance (Quarter)'!$A:$L,MATCH([1]TBMapping!$C539,'[1]TrialBalance (Quarter)'!A:A,0),MATCH([1]TBMapping!O$3,'[1]TrialBalance (Quarter)'!$7:$7,0)),0)</f>
        <v>0</v>
      </c>
    </row>
    <row r="538" spans="1:14">
      <c r="B538" s="3">
        <v>161299</v>
      </c>
      <c r="C538" s="11" t="s">
        <v>496</v>
      </c>
      <c r="D538" s="11" t="s">
        <v>16</v>
      </c>
      <c r="E538" s="11"/>
      <c r="F538" s="5" t="e">
        <f>IF(DataExtraction="Manual",SUMIF('[1]TrialBalance (YTD)'!$C:$C,B538,'[1]TrialBalance (YTD)'!$E:$E),SUMIF('[1]TrialBalance (YTD)'!$G:$G,B538,'[1]TrialBalance (YTD)'!$I:$I))</f>
        <v>#VALUE!</v>
      </c>
      <c r="G538" s="5">
        <f>IFERROR(INDEX('[1]TrialBalance (YTD)'!$G:$S,MATCH([1]TBMapping!$C540,'[1]TrialBalance (YTD)'!G:G,0),MATCH([1]TBMapping!H$3,'[1]TrialBalance (YTD)'!$G$7:$Z$7,0)),0)</f>
        <v>0</v>
      </c>
      <c r="H538" s="5" t="e">
        <f>SUMIF('[1]TrialBalance (YTD)'!G:G,B538,'[1]TrialBalance (YTD)'!H:H)</f>
        <v>#VALUE!</v>
      </c>
      <c r="I538" s="5">
        <f>IFERROR(INDEX('[1]TrialBalance (YTD)'!$G:$S,MATCH([1]TBMapping!$C540,'[1]TrialBalance (YTD)'!G:G,0),MATCH([1]TBMapping!J$3,'[1]TrialBalance (YTD)'!$G$7:$Z$7,0)),0)</f>
        <v>0</v>
      </c>
      <c r="K538" s="5" t="e">
        <f>SUMIF('[1]TrialBalance (Quarter)'!$A:$A,B538,'[1]TrialBalance (Quarter)'!$B:$B)</f>
        <v>#VALUE!</v>
      </c>
      <c r="L538" s="5">
        <f>IFERROR(INDEX('[1]TrialBalance (Quarter)'!$A:$L,MATCH([1]TBMapping!$C540,'[1]TrialBalance (Quarter)'!A:A,0),MATCH([1]TBMapping!M$3,'[1]TrialBalance (Quarter)'!$7:$7,0)),0)</f>
        <v>0</v>
      </c>
      <c r="M538" s="5">
        <f>IFERROR(INDEX('[1]TrialBalance (Quarter)'!$A:$L,MATCH([1]TBMapping!$C540,'[1]TrialBalance (Quarter)'!A:A,0),MATCH([1]TBMapping!N$3,'[1]TrialBalance (Quarter)'!$7:$7,0)),0)</f>
        <v>0</v>
      </c>
      <c r="N538" s="5">
        <f>IFERROR(INDEX('[1]TrialBalance (Quarter)'!$A:$L,MATCH([1]TBMapping!$C540,'[1]TrialBalance (Quarter)'!A:A,0),MATCH([1]TBMapping!O$3,'[1]TrialBalance (Quarter)'!$7:$7,0)),0)</f>
        <v>0</v>
      </c>
    </row>
    <row r="539" spans="1:14">
      <c r="B539" s="3">
        <v>161300</v>
      </c>
      <c r="C539" s="10" t="s">
        <v>497</v>
      </c>
      <c r="D539" s="10" t="s">
        <v>5</v>
      </c>
      <c r="E539" s="10"/>
      <c r="F539" s="5" t="e">
        <f>IF(DataExtraction="Manual",SUMIF('[1]TrialBalance (YTD)'!$C:$C,B539,'[1]TrialBalance (YTD)'!$E:$E),SUMIF('[1]TrialBalance (YTD)'!$G:$G,B539,'[1]TrialBalance (YTD)'!$I:$I))</f>
        <v>#VALUE!</v>
      </c>
      <c r="G539" s="5">
        <f>IFERROR(INDEX('[1]TrialBalance (YTD)'!$G:$S,MATCH([1]TBMapping!$C541,'[1]TrialBalance (YTD)'!G:G,0),MATCH([1]TBMapping!H$3,'[1]TrialBalance (YTD)'!$G$7:$Z$7,0)),0)</f>
        <v>0</v>
      </c>
      <c r="H539" s="5" t="e">
        <f>SUMIF('[1]TrialBalance (YTD)'!G:G,B539,'[1]TrialBalance (YTD)'!H:H)</f>
        <v>#VALUE!</v>
      </c>
      <c r="I539" s="5">
        <f>IFERROR(INDEX('[1]TrialBalance (YTD)'!$G:$S,MATCH([1]TBMapping!$C541,'[1]TrialBalance (YTD)'!G:G,0),MATCH([1]TBMapping!J$3,'[1]TrialBalance (YTD)'!$G$7:$Z$7,0)),0)</f>
        <v>0</v>
      </c>
      <c r="K539" s="5" t="e">
        <f>SUMIF('[1]TrialBalance (Quarter)'!$A:$A,B539,'[1]TrialBalance (Quarter)'!$B:$B)</f>
        <v>#VALUE!</v>
      </c>
      <c r="L539" s="5">
        <f>IFERROR(INDEX('[1]TrialBalance (Quarter)'!$A:$L,MATCH([1]TBMapping!$C541,'[1]TrialBalance (Quarter)'!A:A,0),MATCH([1]TBMapping!M$3,'[1]TrialBalance (Quarter)'!$7:$7,0)),0)</f>
        <v>0</v>
      </c>
      <c r="M539" s="5">
        <f>IFERROR(INDEX('[1]TrialBalance (Quarter)'!$A:$L,MATCH([1]TBMapping!$C541,'[1]TrialBalance (Quarter)'!A:A,0),MATCH([1]TBMapping!N$3,'[1]TrialBalance (Quarter)'!$7:$7,0)),0)</f>
        <v>0</v>
      </c>
      <c r="N539" s="5">
        <f>IFERROR(INDEX('[1]TrialBalance (Quarter)'!$A:$L,MATCH([1]TBMapping!$C541,'[1]TrialBalance (Quarter)'!A:A,0),MATCH([1]TBMapping!O$3,'[1]TrialBalance (Quarter)'!$7:$7,0)),0)</f>
        <v>0</v>
      </c>
    </row>
    <row r="540" spans="1:14">
      <c r="A540" s="2">
        <v>111</v>
      </c>
      <c r="B540" s="3">
        <v>161310</v>
      </c>
      <c r="C540" s="11" t="s">
        <v>498</v>
      </c>
      <c r="D540" s="11" t="s">
        <v>11</v>
      </c>
      <c r="E540" s="11"/>
      <c r="F540" s="5" t="e">
        <f>IF(DataExtraction="Manual",SUMIF('[1]TrialBalance (YTD)'!$C:$C,B540,'[1]TrialBalance (YTD)'!$E:$E),SUMIF('[1]TrialBalance (YTD)'!$G:$G,B540,'[1]TrialBalance (YTD)'!$I:$I))</f>
        <v>#VALUE!</v>
      </c>
      <c r="G540" s="5">
        <f>IFERROR(INDEX('[1]TrialBalance (YTD)'!$G:$S,MATCH([1]TBMapping!$C542,'[1]TrialBalance (YTD)'!G:G,0),MATCH([1]TBMapping!H$3,'[1]TrialBalance (YTD)'!$G$7:$Z$7,0)),0)</f>
        <v>0</v>
      </c>
      <c r="H540" s="5" t="e">
        <f>SUMIF('[1]TrialBalance (YTD)'!G:G,B540,'[1]TrialBalance (YTD)'!H:H)</f>
        <v>#VALUE!</v>
      </c>
      <c r="I540" s="5">
        <f>IFERROR(INDEX('[1]TrialBalance (YTD)'!$G:$S,MATCH([1]TBMapping!$C542,'[1]TrialBalance (YTD)'!G:G,0),MATCH([1]TBMapping!J$3,'[1]TrialBalance (YTD)'!$G$7:$Z$7,0)),0)</f>
        <v>0</v>
      </c>
      <c r="K540" s="5" t="e">
        <f>SUMIF('[1]TrialBalance (Quarter)'!$A:$A,B540,'[1]TrialBalance (Quarter)'!$B:$B)</f>
        <v>#VALUE!</v>
      </c>
      <c r="L540" s="5">
        <f>IFERROR(INDEX('[1]TrialBalance (Quarter)'!$A:$L,MATCH([1]TBMapping!$C542,'[1]TrialBalance (Quarter)'!A:A,0),MATCH([1]TBMapping!M$3,'[1]TrialBalance (Quarter)'!$7:$7,0)),0)</f>
        <v>0</v>
      </c>
      <c r="M540" s="5">
        <f>IFERROR(INDEX('[1]TrialBalance (Quarter)'!$A:$L,MATCH([1]TBMapping!$C542,'[1]TrialBalance (Quarter)'!A:A,0),MATCH([1]TBMapping!N$3,'[1]TrialBalance (Quarter)'!$7:$7,0)),0)</f>
        <v>0</v>
      </c>
      <c r="N540" s="5">
        <f>IFERROR(INDEX('[1]TrialBalance (Quarter)'!$A:$L,MATCH([1]TBMapping!$C542,'[1]TrialBalance (Quarter)'!A:A,0),MATCH([1]TBMapping!O$3,'[1]TrialBalance (Quarter)'!$7:$7,0)),0)</f>
        <v>0</v>
      </c>
    </row>
    <row r="541" spans="1:14">
      <c r="A541" s="2">
        <v>111</v>
      </c>
      <c r="B541" s="3">
        <v>161311</v>
      </c>
      <c r="C541" s="10" t="s">
        <v>499</v>
      </c>
      <c r="D541" s="10" t="s">
        <v>11</v>
      </c>
      <c r="E541" s="10"/>
      <c r="F541" s="5" t="e">
        <f>IF(DataExtraction="Manual",SUMIF('[1]TrialBalance (YTD)'!$C:$C,B541,'[1]TrialBalance (YTD)'!$E:$E),SUMIF('[1]TrialBalance (YTD)'!$G:$G,B541,'[1]TrialBalance (YTD)'!$I:$I))</f>
        <v>#VALUE!</v>
      </c>
      <c r="G541" s="5">
        <f>IFERROR(INDEX('[1]TrialBalance (YTD)'!$G:$S,MATCH([1]TBMapping!$C543,'[1]TrialBalance (YTD)'!G:G,0),MATCH([1]TBMapping!H$3,'[1]TrialBalance (YTD)'!$G$7:$Z$7,0)),0)</f>
        <v>0</v>
      </c>
      <c r="H541" s="5" t="e">
        <f>SUMIF('[1]TrialBalance (YTD)'!G:G,B541,'[1]TrialBalance (YTD)'!H:H)</f>
        <v>#VALUE!</v>
      </c>
      <c r="I541" s="5">
        <f>IFERROR(INDEX('[1]TrialBalance (YTD)'!$G:$S,MATCH([1]TBMapping!$C543,'[1]TrialBalance (YTD)'!G:G,0),MATCH([1]TBMapping!J$3,'[1]TrialBalance (YTD)'!$G$7:$Z$7,0)),0)</f>
        <v>0</v>
      </c>
      <c r="K541" s="5" t="e">
        <f>SUMIF('[1]TrialBalance (Quarter)'!$A:$A,B541,'[1]TrialBalance (Quarter)'!$B:$B)</f>
        <v>#VALUE!</v>
      </c>
      <c r="L541" s="5">
        <f>IFERROR(INDEX('[1]TrialBalance (Quarter)'!$A:$L,MATCH([1]TBMapping!$C543,'[1]TrialBalance (Quarter)'!A:A,0),MATCH([1]TBMapping!M$3,'[1]TrialBalance (Quarter)'!$7:$7,0)),0)</f>
        <v>0</v>
      </c>
      <c r="M541" s="5">
        <f>IFERROR(INDEX('[1]TrialBalance (Quarter)'!$A:$L,MATCH([1]TBMapping!$C543,'[1]TrialBalance (Quarter)'!A:A,0),MATCH([1]TBMapping!N$3,'[1]TrialBalance (Quarter)'!$7:$7,0)),0)</f>
        <v>0</v>
      </c>
      <c r="N541" s="5">
        <f>IFERROR(INDEX('[1]TrialBalance (Quarter)'!$A:$L,MATCH([1]TBMapping!$C543,'[1]TrialBalance (Quarter)'!A:A,0),MATCH([1]TBMapping!O$3,'[1]TrialBalance (Quarter)'!$7:$7,0)),0)</f>
        <v>0</v>
      </c>
    </row>
    <row r="542" spans="1:14">
      <c r="A542" s="2">
        <v>111</v>
      </c>
      <c r="B542" s="3">
        <v>161320</v>
      </c>
      <c r="C542" s="11" t="s">
        <v>500</v>
      </c>
      <c r="D542" s="11" t="s">
        <v>11</v>
      </c>
      <c r="E542" s="11"/>
      <c r="F542" s="5" t="e">
        <f>IF(DataExtraction="Manual",SUMIF('[1]TrialBalance (YTD)'!$C:$C,B542,'[1]TrialBalance (YTD)'!$E:$E),SUMIF('[1]TrialBalance (YTD)'!$G:$G,B542,'[1]TrialBalance (YTD)'!$I:$I))</f>
        <v>#VALUE!</v>
      </c>
      <c r="G542" s="5">
        <f>IFERROR(INDEX('[1]TrialBalance (YTD)'!$G:$S,MATCH([1]TBMapping!$C544,'[1]TrialBalance (YTD)'!G:G,0),MATCH([1]TBMapping!H$3,'[1]TrialBalance (YTD)'!$G$7:$Z$7,0)),0)</f>
        <v>0</v>
      </c>
      <c r="H542" s="5" t="e">
        <f>SUMIF('[1]TrialBalance (YTD)'!G:G,B542,'[1]TrialBalance (YTD)'!H:H)</f>
        <v>#VALUE!</v>
      </c>
      <c r="I542" s="5">
        <f>IFERROR(INDEX('[1]TrialBalance (YTD)'!$G:$S,MATCH([1]TBMapping!$C544,'[1]TrialBalance (YTD)'!G:G,0),MATCH([1]TBMapping!J$3,'[1]TrialBalance (YTD)'!$G$7:$Z$7,0)),0)</f>
        <v>0</v>
      </c>
      <c r="K542" s="5" t="e">
        <f>SUMIF('[1]TrialBalance (Quarter)'!$A:$A,B542,'[1]TrialBalance (Quarter)'!$B:$B)</f>
        <v>#VALUE!</v>
      </c>
      <c r="L542" s="5">
        <f>IFERROR(INDEX('[1]TrialBalance (Quarter)'!$A:$L,MATCH([1]TBMapping!$C544,'[1]TrialBalance (Quarter)'!A:A,0),MATCH([1]TBMapping!M$3,'[1]TrialBalance (Quarter)'!$7:$7,0)),0)</f>
        <v>0</v>
      </c>
      <c r="M542" s="5">
        <f>IFERROR(INDEX('[1]TrialBalance (Quarter)'!$A:$L,MATCH([1]TBMapping!$C544,'[1]TrialBalance (Quarter)'!A:A,0),MATCH([1]TBMapping!N$3,'[1]TrialBalance (Quarter)'!$7:$7,0)),0)</f>
        <v>0</v>
      </c>
      <c r="N542" s="5">
        <f>IFERROR(INDEX('[1]TrialBalance (Quarter)'!$A:$L,MATCH([1]TBMapping!$C544,'[1]TrialBalance (Quarter)'!A:A,0),MATCH([1]TBMapping!O$3,'[1]TrialBalance (Quarter)'!$7:$7,0)),0)</f>
        <v>0</v>
      </c>
    </row>
    <row r="543" spans="1:14">
      <c r="A543" s="2">
        <v>111</v>
      </c>
      <c r="B543" s="3">
        <v>161330</v>
      </c>
      <c r="C543" s="10" t="s">
        <v>501</v>
      </c>
      <c r="D543" s="10" t="s">
        <v>11</v>
      </c>
      <c r="E543" s="10"/>
      <c r="F543" s="5" t="e">
        <f>IF(DataExtraction="Manual",SUMIF('[1]TrialBalance (YTD)'!$C:$C,B543,'[1]TrialBalance (YTD)'!$E:$E),SUMIF('[1]TrialBalance (YTD)'!$G:$G,B543,'[1]TrialBalance (YTD)'!$I:$I))</f>
        <v>#VALUE!</v>
      </c>
      <c r="G543" s="5">
        <f>IFERROR(INDEX('[1]TrialBalance (YTD)'!$G:$S,MATCH([1]TBMapping!$C545,'[1]TrialBalance (YTD)'!G:G,0),MATCH([1]TBMapping!H$3,'[1]TrialBalance (YTD)'!$G$7:$Z$7,0)),0)</f>
        <v>0</v>
      </c>
      <c r="H543" s="5" t="e">
        <f>SUMIF('[1]TrialBalance (YTD)'!G:G,B543,'[1]TrialBalance (YTD)'!H:H)</f>
        <v>#VALUE!</v>
      </c>
      <c r="I543" s="5">
        <f>IFERROR(INDEX('[1]TrialBalance (YTD)'!$G:$S,MATCH([1]TBMapping!$C545,'[1]TrialBalance (YTD)'!G:G,0),MATCH([1]TBMapping!J$3,'[1]TrialBalance (YTD)'!$G$7:$Z$7,0)),0)</f>
        <v>0</v>
      </c>
      <c r="K543" s="5" t="e">
        <f>SUMIF('[1]TrialBalance (Quarter)'!$A:$A,B543,'[1]TrialBalance (Quarter)'!$B:$B)</f>
        <v>#VALUE!</v>
      </c>
      <c r="L543" s="5">
        <f>IFERROR(INDEX('[1]TrialBalance (Quarter)'!$A:$L,MATCH([1]TBMapping!$C545,'[1]TrialBalance (Quarter)'!A:A,0),MATCH([1]TBMapping!M$3,'[1]TrialBalance (Quarter)'!$7:$7,0)),0)</f>
        <v>0</v>
      </c>
      <c r="M543" s="5">
        <f>IFERROR(INDEX('[1]TrialBalance (Quarter)'!$A:$L,MATCH([1]TBMapping!$C545,'[1]TrialBalance (Quarter)'!A:A,0),MATCH([1]TBMapping!N$3,'[1]TrialBalance (Quarter)'!$7:$7,0)),0)</f>
        <v>0</v>
      </c>
      <c r="N543" s="5">
        <f>IFERROR(INDEX('[1]TrialBalance (Quarter)'!$A:$L,MATCH([1]TBMapping!$C545,'[1]TrialBalance (Quarter)'!A:A,0),MATCH([1]TBMapping!O$3,'[1]TrialBalance (Quarter)'!$7:$7,0)),0)</f>
        <v>0</v>
      </c>
    </row>
    <row r="544" spans="1:14">
      <c r="B544" s="3">
        <v>161399</v>
      </c>
      <c r="C544" s="11" t="s">
        <v>497</v>
      </c>
      <c r="D544" s="11" t="s">
        <v>16</v>
      </c>
      <c r="E544" s="11"/>
      <c r="F544" s="5" t="e">
        <f>IF(DataExtraction="Manual",SUMIF('[1]TrialBalance (YTD)'!$C:$C,B544,'[1]TrialBalance (YTD)'!$E:$E),SUMIF('[1]TrialBalance (YTD)'!$G:$G,B544,'[1]TrialBalance (YTD)'!$I:$I))</f>
        <v>#VALUE!</v>
      </c>
      <c r="G544" s="5">
        <f>IFERROR(INDEX('[1]TrialBalance (YTD)'!$G:$S,MATCH([1]TBMapping!$C546,'[1]TrialBalance (YTD)'!G:G,0),MATCH([1]TBMapping!H$3,'[1]TrialBalance (YTD)'!$G$7:$Z$7,0)),0)</f>
        <v>0</v>
      </c>
      <c r="H544" s="5" t="e">
        <f>SUMIF('[1]TrialBalance (YTD)'!G:G,B544,'[1]TrialBalance (YTD)'!H:H)</f>
        <v>#VALUE!</v>
      </c>
      <c r="I544" s="5">
        <f>IFERROR(INDEX('[1]TrialBalance (YTD)'!$G:$S,MATCH([1]TBMapping!$C546,'[1]TrialBalance (YTD)'!G:G,0),MATCH([1]TBMapping!J$3,'[1]TrialBalance (YTD)'!$G$7:$Z$7,0)),0)</f>
        <v>0</v>
      </c>
      <c r="K544" s="5" t="e">
        <f>SUMIF('[1]TrialBalance (Quarter)'!$A:$A,B544,'[1]TrialBalance (Quarter)'!$B:$B)</f>
        <v>#VALUE!</v>
      </c>
      <c r="L544" s="5">
        <f>IFERROR(INDEX('[1]TrialBalance (Quarter)'!$A:$L,MATCH([1]TBMapping!$C546,'[1]TrialBalance (Quarter)'!A:A,0),MATCH([1]TBMapping!M$3,'[1]TrialBalance (Quarter)'!$7:$7,0)),0)</f>
        <v>0</v>
      </c>
      <c r="M544" s="5">
        <f>IFERROR(INDEX('[1]TrialBalance (Quarter)'!$A:$L,MATCH([1]TBMapping!$C546,'[1]TrialBalance (Quarter)'!A:A,0),MATCH([1]TBMapping!N$3,'[1]TrialBalance (Quarter)'!$7:$7,0)),0)</f>
        <v>0</v>
      </c>
      <c r="N544" s="5">
        <f>IFERROR(INDEX('[1]TrialBalance (Quarter)'!$A:$L,MATCH([1]TBMapping!$C546,'[1]TrialBalance (Quarter)'!A:A,0),MATCH([1]TBMapping!O$3,'[1]TrialBalance (Quarter)'!$7:$7,0)),0)</f>
        <v>0</v>
      </c>
    </row>
    <row r="545" spans="1:14">
      <c r="B545" s="3">
        <v>161999</v>
      </c>
      <c r="C545" s="10" t="s">
        <v>502</v>
      </c>
      <c r="D545" s="10" t="s">
        <v>16</v>
      </c>
      <c r="E545" s="10"/>
      <c r="F545" s="5" t="e">
        <f>IF(DataExtraction="Manual",SUMIF('[1]TrialBalance (YTD)'!$C:$C,B545,'[1]TrialBalance (YTD)'!$E:$E),SUMIF('[1]TrialBalance (YTD)'!$G:$G,B545,'[1]TrialBalance (YTD)'!$I:$I))</f>
        <v>#VALUE!</v>
      </c>
      <c r="G545" s="5">
        <f>IFERROR(INDEX('[1]TrialBalance (YTD)'!$G:$S,MATCH([1]TBMapping!$C547,'[1]TrialBalance (YTD)'!G:G,0),MATCH([1]TBMapping!H$3,'[1]TrialBalance (YTD)'!$G$7:$Z$7,0)),0)</f>
        <v>0</v>
      </c>
      <c r="H545" s="5" t="e">
        <f>SUMIF('[1]TrialBalance (YTD)'!G:G,B545,'[1]TrialBalance (YTD)'!H:H)</f>
        <v>#VALUE!</v>
      </c>
      <c r="I545" s="5">
        <f>IFERROR(INDEX('[1]TrialBalance (YTD)'!$G:$S,MATCH([1]TBMapping!$C547,'[1]TrialBalance (YTD)'!G:G,0),MATCH([1]TBMapping!J$3,'[1]TrialBalance (YTD)'!$G$7:$Z$7,0)),0)</f>
        <v>0</v>
      </c>
      <c r="K545" s="5" t="e">
        <f>SUMIF('[1]TrialBalance (Quarter)'!$A:$A,B545,'[1]TrialBalance (Quarter)'!$B:$B)</f>
        <v>#VALUE!</v>
      </c>
      <c r="L545" s="5">
        <f>IFERROR(INDEX('[1]TrialBalance (Quarter)'!$A:$L,MATCH([1]TBMapping!$C547,'[1]TrialBalance (Quarter)'!A:A,0),MATCH([1]TBMapping!M$3,'[1]TrialBalance (Quarter)'!$7:$7,0)),0)</f>
        <v>0</v>
      </c>
      <c r="M545" s="5">
        <f>IFERROR(INDEX('[1]TrialBalance (Quarter)'!$A:$L,MATCH([1]TBMapping!$C547,'[1]TrialBalance (Quarter)'!A:A,0),MATCH([1]TBMapping!N$3,'[1]TrialBalance (Quarter)'!$7:$7,0)),0)</f>
        <v>0</v>
      </c>
      <c r="N545" s="5">
        <f>IFERROR(INDEX('[1]TrialBalance (Quarter)'!$A:$L,MATCH([1]TBMapping!$C547,'[1]TrialBalance (Quarter)'!A:A,0),MATCH([1]TBMapping!O$3,'[1]TrialBalance (Quarter)'!$7:$7,0)),0)</f>
        <v>0</v>
      </c>
    </row>
    <row r="546" spans="1:14">
      <c r="B546" s="3">
        <v>199999</v>
      </c>
      <c r="C546" s="11" t="s">
        <v>503</v>
      </c>
      <c r="D546" s="11" t="s">
        <v>16</v>
      </c>
      <c r="E546" s="11"/>
      <c r="F546" s="5" t="e">
        <f>IF(DataExtraction="Manual",SUMIF('[1]TrialBalance (YTD)'!$C:$C,B546,'[1]TrialBalance (YTD)'!$E:$E),SUMIF('[1]TrialBalance (YTD)'!$G:$G,B546,'[1]TrialBalance (YTD)'!$I:$I))</f>
        <v>#VALUE!</v>
      </c>
      <c r="G546" s="5">
        <f>IFERROR(INDEX('[1]TrialBalance (YTD)'!$G:$S,MATCH([1]TBMapping!$C548,'[1]TrialBalance (YTD)'!G:G,0),MATCH([1]TBMapping!H$3,'[1]TrialBalance (YTD)'!$G$7:$Z$7,0)),0)</f>
        <v>0</v>
      </c>
      <c r="H546" s="5" t="e">
        <f>SUMIF('[1]TrialBalance (YTD)'!G:G,B546,'[1]TrialBalance (YTD)'!H:H)</f>
        <v>#VALUE!</v>
      </c>
      <c r="I546" s="5">
        <f>IFERROR(INDEX('[1]TrialBalance (YTD)'!$G:$S,MATCH([1]TBMapping!$C548,'[1]TrialBalance (YTD)'!G:G,0),MATCH([1]TBMapping!J$3,'[1]TrialBalance (YTD)'!$G$7:$Z$7,0)),0)</f>
        <v>0</v>
      </c>
      <c r="K546" s="5" t="e">
        <f>SUMIF('[1]TrialBalance (Quarter)'!$A:$A,B546,'[1]TrialBalance (Quarter)'!$B:$B)</f>
        <v>#VALUE!</v>
      </c>
      <c r="L546" s="5">
        <f>IFERROR(INDEX('[1]TrialBalance (Quarter)'!$A:$L,MATCH([1]TBMapping!$C548,'[1]TrialBalance (Quarter)'!A:A,0),MATCH([1]TBMapping!M$3,'[1]TrialBalance (Quarter)'!$7:$7,0)),0)</f>
        <v>0</v>
      </c>
      <c r="M546" s="5">
        <f>IFERROR(INDEX('[1]TrialBalance (Quarter)'!$A:$L,MATCH([1]TBMapping!$C548,'[1]TrialBalance (Quarter)'!A:A,0),MATCH([1]TBMapping!N$3,'[1]TrialBalance (Quarter)'!$7:$7,0)),0)</f>
        <v>0</v>
      </c>
      <c r="N546" s="5">
        <f>IFERROR(INDEX('[1]TrialBalance (Quarter)'!$A:$L,MATCH([1]TBMapping!$C548,'[1]TrialBalance (Quarter)'!A:A,0),MATCH([1]TBMapping!O$3,'[1]TrialBalance (Quarter)'!$7:$7,0)),0)</f>
        <v>0</v>
      </c>
    </row>
    <row r="547" spans="1:14">
      <c r="B547" s="3">
        <v>200000</v>
      </c>
      <c r="C547" s="10" t="s">
        <v>504</v>
      </c>
      <c r="D547" s="10" t="s">
        <v>5</v>
      </c>
      <c r="E547" s="10"/>
      <c r="F547" s="5" t="e">
        <f>IF(DataExtraction="Manual",SUMIF('[1]TrialBalance (YTD)'!$C:$C,B547,'[1]TrialBalance (YTD)'!$E:$E),SUMIF('[1]TrialBalance (YTD)'!$G:$G,B547,'[1]TrialBalance (YTD)'!$I:$I))</f>
        <v>#VALUE!</v>
      </c>
      <c r="G547" s="5">
        <f>IFERROR(INDEX('[1]TrialBalance (YTD)'!$G:$S,MATCH([1]TBMapping!$C549,'[1]TrialBalance (YTD)'!G:G,0),MATCH([1]TBMapping!H$3,'[1]TrialBalance (YTD)'!$G$7:$Z$7,0)),0)</f>
        <v>0</v>
      </c>
      <c r="H547" s="5" t="e">
        <f>SUMIF('[1]TrialBalance (YTD)'!G:G,B547,'[1]TrialBalance (YTD)'!H:H)</f>
        <v>#VALUE!</v>
      </c>
      <c r="I547" s="5">
        <f>IFERROR(INDEX('[1]TrialBalance (YTD)'!$G:$S,MATCH([1]TBMapping!$C549,'[1]TrialBalance (YTD)'!G:G,0),MATCH([1]TBMapping!J$3,'[1]TrialBalance (YTD)'!$G$7:$Z$7,0)),0)</f>
        <v>0</v>
      </c>
      <c r="K547" s="5" t="e">
        <f>SUMIF('[1]TrialBalance (Quarter)'!$A:$A,B547,'[1]TrialBalance (Quarter)'!$B:$B)</f>
        <v>#VALUE!</v>
      </c>
      <c r="L547" s="5">
        <f>IFERROR(INDEX('[1]TrialBalance (Quarter)'!$A:$L,MATCH([1]TBMapping!$C549,'[1]TrialBalance (Quarter)'!A:A,0),MATCH([1]TBMapping!M$3,'[1]TrialBalance (Quarter)'!$7:$7,0)),0)</f>
        <v>0</v>
      </c>
      <c r="M547" s="5">
        <f>IFERROR(INDEX('[1]TrialBalance (Quarter)'!$A:$L,MATCH([1]TBMapping!$C549,'[1]TrialBalance (Quarter)'!A:A,0),MATCH([1]TBMapping!N$3,'[1]TrialBalance (Quarter)'!$7:$7,0)),0)</f>
        <v>0</v>
      </c>
      <c r="N547" s="5">
        <f>IFERROR(INDEX('[1]TrialBalance (Quarter)'!$A:$L,MATCH([1]TBMapping!$C549,'[1]TrialBalance (Quarter)'!A:A,0),MATCH([1]TBMapping!O$3,'[1]TrialBalance (Quarter)'!$7:$7,0)),0)</f>
        <v>0</v>
      </c>
    </row>
    <row r="548" spans="1:14">
      <c r="B548" s="3">
        <v>201000</v>
      </c>
      <c r="C548" s="11" t="s">
        <v>505</v>
      </c>
      <c r="D548" s="11" t="s">
        <v>5</v>
      </c>
      <c r="E548" s="11"/>
      <c r="F548" s="5" t="e">
        <f>IF(DataExtraction="Manual",SUMIF('[1]TrialBalance (YTD)'!$C:$C,B548,'[1]TrialBalance (YTD)'!$E:$E),SUMIF('[1]TrialBalance (YTD)'!$G:$G,B548,'[1]TrialBalance (YTD)'!$I:$I))</f>
        <v>#VALUE!</v>
      </c>
      <c r="G548" s="5">
        <f>IFERROR(INDEX('[1]TrialBalance (YTD)'!$G:$S,MATCH([1]TBMapping!$C550,'[1]TrialBalance (YTD)'!G:G,0),MATCH([1]TBMapping!H$3,'[1]TrialBalance (YTD)'!$G$7:$Z$7,0)),0)</f>
        <v>0</v>
      </c>
      <c r="H548" s="5" t="e">
        <f>SUMIF('[1]TrialBalance (YTD)'!G:G,B548,'[1]TrialBalance (YTD)'!H:H)</f>
        <v>#VALUE!</v>
      </c>
      <c r="I548" s="5">
        <f>IFERROR(INDEX('[1]TrialBalance (YTD)'!$G:$S,MATCH([1]TBMapping!$C550,'[1]TrialBalance (YTD)'!G:G,0),MATCH([1]TBMapping!J$3,'[1]TrialBalance (YTD)'!$G$7:$Z$7,0)),0)</f>
        <v>0</v>
      </c>
      <c r="K548" s="5" t="e">
        <f>SUMIF('[1]TrialBalance (Quarter)'!$A:$A,B548,'[1]TrialBalance (Quarter)'!$B:$B)</f>
        <v>#VALUE!</v>
      </c>
      <c r="L548" s="5">
        <f>IFERROR(INDEX('[1]TrialBalance (Quarter)'!$A:$L,MATCH([1]TBMapping!$C550,'[1]TrialBalance (Quarter)'!A:A,0),MATCH([1]TBMapping!M$3,'[1]TrialBalance (Quarter)'!$7:$7,0)),0)</f>
        <v>0</v>
      </c>
      <c r="M548" s="5">
        <f>IFERROR(INDEX('[1]TrialBalance (Quarter)'!$A:$L,MATCH([1]TBMapping!$C550,'[1]TrialBalance (Quarter)'!A:A,0),MATCH([1]TBMapping!N$3,'[1]TrialBalance (Quarter)'!$7:$7,0)),0)</f>
        <v>0</v>
      </c>
      <c r="N548" s="5">
        <f>IFERROR(INDEX('[1]TrialBalance (Quarter)'!$A:$L,MATCH([1]TBMapping!$C550,'[1]TrialBalance (Quarter)'!A:A,0),MATCH([1]TBMapping!O$3,'[1]TrialBalance (Quarter)'!$7:$7,0)),0)</f>
        <v>0</v>
      </c>
    </row>
    <row r="549" spans="1:14">
      <c r="B549" s="3">
        <v>201050</v>
      </c>
      <c r="C549" s="10" t="s">
        <v>373</v>
      </c>
      <c r="D549" s="10" t="s">
        <v>5</v>
      </c>
      <c r="E549" s="10"/>
      <c r="F549" s="5" t="e">
        <f>IF(DataExtraction="Manual",SUMIF('[1]TrialBalance (YTD)'!$C:$C,B549,'[1]TrialBalance (YTD)'!$E:$E),SUMIF('[1]TrialBalance (YTD)'!$G:$G,B549,'[1]TrialBalance (YTD)'!$I:$I))</f>
        <v>#VALUE!</v>
      </c>
      <c r="G549" s="5">
        <f>IFERROR(INDEX('[1]TrialBalance (YTD)'!$G:$S,MATCH([1]TBMapping!$C551,'[1]TrialBalance (YTD)'!G:G,0),MATCH([1]TBMapping!H$3,'[1]TrialBalance (YTD)'!$G$7:$Z$7,0)),0)</f>
        <v>0</v>
      </c>
      <c r="H549" s="5" t="e">
        <f>SUMIF('[1]TrialBalance (YTD)'!G:G,B549,'[1]TrialBalance (YTD)'!H:H)</f>
        <v>#VALUE!</v>
      </c>
      <c r="I549" s="5">
        <f>IFERROR(INDEX('[1]TrialBalance (YTD)'!$G:$S,MATCH([1]TBMapping!$C551,'[1]TrialBalance (YTD)'!G:G,0),MATCH([1]TBMapping!J$3,'[1]TrialBalance (YTD)'!$G$7:$Z$7,0)),0)</f>
        <v>0</v>
      </c>
      <c r="K549" s="5" t="e">
        <f>SUMIF('[1]TrialBalance (Quarter)'!$A:$A,B549,'[1]TrialBalance (Quarter)'!$B:$B)</f>
        <v>#VALUE!</v>
      </c>
      <c r="L549" s="5">
        <f>IFERROR(INDEX('[1]TrialBalance (Quarter)'!$A:$L,MATCH([1]TBMapping!$C551,'[1]TrialBalance (Quarter)'!A:A,0),MATCH([1]TBMapping!M$3,'[1]TrialBalance (Quarter)'!$7:$7,0)),0)</f>
        <v>0</v>
      </c>
      <c r="M549" s="5">
        <f>IFERROR(INDEX('[1]TrialBalance (Quarter)'!$A:$L,MATCH([1]TBMapping!$C551,'[1]TrialBalance (Quarter)'!A:A,0),MATCH([1]TBMapping!N$3,'[1]TrialBalance (Quarter)'!$7:$7,0)),0)</f>
        <v>0</v>
      </c>
      <c r="N549" s="5">
        <f>IFERROR(INDEX('[1]TrialBalance (Quarter)'!$A:$L,MATCH([1]TBMapping!$C551,'[1]TrialBalance (Quarter)'!A:A,0),MATCH([1]TBMapping!O$3,'[1]TrialBalance (Quarter)'!$7:$7,0)),0)</f>
        <v>0</v>
      </c>
    </row>
    <row r="550" spans="1:14">
      <c r="B550" s="3">
        <v>210000</v>
      </c>
      <c r="C550" s="11" t="s">
        <v>506</v>
      </c>
      <c r="D550" s="11" t="s">
        <v>5</v>
      </c>
      <c r="E550" s="11"/>
      <c r="F550" s="5" t="e">
        <f>IF(DataExtraction="Manual",SUMIF('[1]TrialBalance (YTD)'!$C:$C,B550,'[1]TrialBalance (YTD)'!$E:$E),SUMIF('[1]TrialBalance (YTD)'!$G:$G,B550,'[1]TrialBalance (YTD)'!$I:$I))</f>
        <v>#VALUE!</v>
      </c>
      <c r="G550" s="5">
        <f>IFERROR(INDEX('[1]TrialBalance (YTD)'!$G:$S,MATCH([1]TBMapping!$C552,'[1]TrialBalance (YTD)'!G:G,0),MATCH([1]TBMapping!H$3,'[1]TrialBalance (YTD)'!$G$7:$Z$7,0)),0)</f>
        <v>0</v>
      </c>
      <c r="H550" s="5" t="e">
        <f>SUMIF('[1]TrialBalance (YTD)'!G:G,B550,'[1]TrialBalance (YTD)'!H:H)</f>
        <v>#VALUE!</v>
      </c>
      <c r="I550" s="5">
        <f>IFERROR(INDEX('[1]TrialBalance (YTD)'!$G:$S,MATCH([1]TBMapping!$C552,'[1]TrialBalance (YTD)'!G:G,0),MATCH([1]TBMapping!J$3,'[1]TrialBalance (YTD)'!$G$7:$Z$7,0)),0)</f>
        <v>0</v>
      </c>
      <c r="K550" s="5" t="e">
        <f>SUMIF('[1]TrialBalance (Quarter)'!$A:$A,B550,'[1]TrialBalance (Quarter)'!$B:$B)</f>
        <v>#VALUE!</v>
      </c>
      <c r="L550" s="5">
        <f>IFERROR(INDEX('[1]TrialBalance (Quarter)'!$A:$L,MATCH([1]TBMapping!$C552,'[1]TrialBalance (Quarter)'!A:A,0),MATCH([1]TBMapping!M$3,'[1]TrialBalance (Quarter)'!$7:$7,0)),0)</f>
        <v>0</v>
      </c>
      <c r="M550" s="5">
        <f>IFERROR(INDEX('[1]TrialBalance (Quarter)'!$A:$L,MATCH([1]TBMapping!$C552,'[1]TrialBalance (Quarter)'!A:A,0),MATCH([1]TBMapping!N$3,'[1]TrialBalance (Quarter)'!$7:$7,0)),0)</f>
        <v>0</v>
      </c>
      <c r="N550" s="5">
        <f>IFERROR(INDEX('[1]TrialBalance (Quarter)'!$A:$L,MATCH([1]TBMapping!$C552,'[1]TrialBalance (Quarter)'!A:A,0),MATCH([1]TBMapping!O$3,'[1]TrialBalance (Quarter)'!$7:$7,0)),0)</f>
        <v>0</v>
      </c>
    </row>
    <row r="551" spans="1:14">
      <c r="B551" s="3">
        <v>211000</v>
      </c>
      <c r="C551" s="10" t="s">
        <v>373</v>
      </c>
      <c r="D551" s="10" t="s">
        <v>5</v>
      </c>
      <c r="E551" s="10"/>
      <c r="F551" s="5" t="e">
        <f>IF(DataExtraction="Manual",SUMIF('[1]TrialBalance (YTD)'!$C:$C,B551,'[1]TrialBalance (YTD)'!$E:$E),SUMIF('[1]TrialBalance (YTD)'!$G:$G,B551,'[1]TrialBalance (YTD)'!$I:$I))</f>
        <v>#VALUE!</v>
      </c>
      <c r="G551" s="5">
        <f>IFERROR(INDEX('[1]TrialBalance (YTD)'!$G:$S,MATCH([1]TBMapping!$C553,'[1]TrialBalance (YTD)'!G:G,0),MATCH([1]TBMapping!H$3,'[1]TrialBalance (YTD)'!$G$7:$Z$7,0)),0)</f>
        <v>0</v>
      </c>
      <c r="H551" s="5" t="e">
        <f>SUMIF('[1]TrialBalance (YTD)'!G:G,B551,'[1]TrialBalance (YTD)'!H:H)</f>
        <v>#VALUE!</v>
      </c>
      <c r="I551" s="5">
        <f>IFERROR(INDEX('[1]TrialBalance (YTD)'!$G:$S,MATCH([1]TBMapping!$C553,'[1]TrialBalance (YTD)'!G:G,0),MATCH([1]TBMapping!J$3,'[1]TrialBalance (YTD)'!$G$7:$Z$7,0)),0)</f>
        <v>0</v>
      </c>
      <c r="K551" s="5" t="e">
        <f>SUMIF('[1]TrialBalance (Quarter)'!$A:$A,B551,'[1]TrialBalance (Quarter)'!$B:$B)</f>
        <v>#VALUE!</v>
      </c>
      <c r="L551" s="5">
        <f>IFERROR(INDEX('[1]TrialBalance (Quarter)'!$A:$L,MATCH([1]TBMapping!$C553,'[1]TrialBalance (Quarter)'!A:A,0),MATCH([1]TBMapping!M$3,'[1]TrialBalance (Quarter)'!$7:$7,0)),0)</f>
        <v>0</v>
      </c>
      <c r="M551" s="5">
        <f>IFERROR(INDEX('[1]TrialBalance (Quarter)'!$A:$L,MATCH([1]TBMapping!$C553,'[1]TrialBalance (Quarter)'!A:A,0),MATCH([1]TBMapping!N$3,'[1]TrialBalance (Quarter)'!$7:$7,0)),0)</f>
        <v>0</v>
      </c>
      <c r="N551" s="5">
        <f>IFERROR(INDEX('[1]TrialBalance (Quarter)'!$A:$L,MATCH([1]TBMapping!$C553,'[1]TrialBalance (Quarter)'!A:A,0),MATCH([1]TBMapping!O$3,'[1]TrialBalance (Quarter)'!$7:$7,0)),0)</f>
        <v>0</v>
      </c>
    </row>
    <row r="552" spans="1:14">
      <c r="B552" s="3">
        <v>211001</v>
      </c>
      <c r="C552" s="11" t="s">
        <v>374</v>
      </c>
      <c r="D552" s="11" t="s">
        <v>5</v>
      </c>
      <c r="E552" s="11"/>
      <c r="F552" s="5" t="e">
        <f>IF(DataExtraction="Manual",SUMIF('[1]TrialBalance (YTD)'!$C:$C,B552,'[1]TrialBalance (YTD)'!$E:$E),SUMIF('[1]TrialBalance (YTD)'!$G:$G,B552,'[1]TrialBalance (YTD)'!$I:$I))</f>
        <v>#VALUE!</v>
      </c>
      <c r="G552" s="5">
        <f>IFERROR(INDEX('[1]TrialBalance (YTD)'!$G:$S,MATCH([1]TBMapping!$C554,'[1]TrialBalance (YTD)'!G:G,0),MATCH([1]TBMapping!H$3,'[1]TrialBalance (YTD)'!$G$7:$Z$7,0)),0)</f>
        <v>0</v>
      </c>
      <c r="H552" s="5" t="e">
        <f>SUMIF('[1]TrialBalance (YTD)'!G:G,B552,'[1]TrialBalance (YTD)'!H:H)</f>
        <v>#VALUE!</v>
      </c>
      <c r="I552" s="5">
        <f>IFERROR(INDEX('[1]TrialBalance (YTD)'!$G:$S,MATCH([1]TBMapping!$C554,'[1]TrialBalance (YTD)'!G:G,0),MATCH([1]TBMapping!J$3,'[1]TrialBalance (YTD)'!$G$7:$Z$7,0)),0)</f>
        <v>0</v>
      </c>
      <c r="K552" s="5" t="e">
        <f>SUMIF('[1]TrialBalance (Quarter)'!$A:$A,B552,'[1]TrialBalance (Quarter)'!$B:$B)</f>
        <v>#VALUE!</v>
      </c>
      <c r="L552" s="5">
        <f>IFERROR(INDEX('[1]TrialBalance (Quarter)'!$A:$L,MATCH([1]TBMapping!$C554,'[1]TrialBalance (Quarter)'!A:A,0),MATCH([1]TBMapping!M$3,'[1]TrialBalance (Quarter)'!$7:$7,0)),0)</f>
        <v>0</v>
      </c>
      <c r="M552" s="5">
        <f>IFERROR(INDEX('[1]TrialBalance (Quarter)'!$A:$L,MATCH([1]TBMapping!$C554,'[1]TrialBalance (Quarter)'!A:A,0),MATCH([1]TBMapping!N$3,'[1]TrialBalance (Quarter)'!$7:$7,0)),0)</f>
        <v>0</v>
      </c>
      <c r="N552" s="5">
        <f>IFERROR(INDEX('[1]TrialBalance (Quarter)'!$A:$L,MATCH([1]TBMapping!$C554,'[1]TrialBalance (Quarter)'!A:A,0),MATCH([1]TBMapping!O$3,'[1]TrialBalance (Quarter)'!$7:$7,0)),0)</f>
        <v>0</v>
      </c>
    </row>
    <row r="553" spans="1:14">
      <c r="A553" s="2">
        <v>1</v>
      </c>
      <c r="B553" s="3">
        <v>211110</v>
      </c>
      <c r="C553" s="10" t="s">
        <v>507</v>
      </c>
      <c r="D553" s="10" t="s">
        <v>11</v>
      </c>
      <c r="E553" s="10"/>
      <c r="F553" s="5" t="e">
        <f>IF(DataExtraction="Manual",SUMIF('[1]TrialBalance (YTD)'!$C:$C,B553,'[1]TrialBalance (YTD)'!$E:$E),SUMIF('[1]TrialBalance (YTD)'!$G:$G,B553,'[1]TrialBalance (YTD)'!$I:$I))</f>
        <v>#VALUE!</v>
      </c>
      <c r="G553" s="5">
        <f>IFERROR(INDEX('[1]TrialBalance (YTD)'!$G:$S,MATCH([1]TBMapping!$C555,'[1]TrialBalance (YTD)'!G:G,0),MATCH([1]TBMapping!H$3,'[1]TrialBalance (YTD)'!$G$7:$Z$7,0)),0)</f>
        <v>0</v>
      </c>
      <c r="H553" s="5" t="e">
        <f>SUMIF('[1]TrialBalance (YTD)'!G:G,B553,'[1]TrialBalance (YTD)'!H:H)</f>
        <v>#VALUE!</v>
      </c>
      <c r="I553" s="5">
        <f>IFERROR(INDEX('[1]TrialBalance (YTD)'!$G:$S,MATCH([1]TBMapping!$C555,'[1]TrialBalance (YTD)'!G:G,0),MATCH([1]TBMapping!J$3,'[1]TrialBalance (YTD)'!$G$7:$Z$7,0)),0)</f>
        <v>0</v>
      </c>
      <c r="K553" s="5" t="e">
        <f>SUMIF('[1]TrialBalance (Quarter)'!$A:$A,B553,'[1]TrialBalance (Quarter)'!$B:$B)</f>
        <v>#VALUE!</v>
      </c>
      <c r="L553" s="5">
        <f>IFERROR(INDEX('[1]TrialBalance (Quarter)'!$A:$L,MATCH([1]TBMapping!$C555,'[1]TrialBalance (Quarter)'!A:A,0),MATCH([1]TBMapping!M$3,'[1]TrialBalance (Quarter)'!$7:$7,0)),0)</f>
        <v>0</v>
      </c>
      <c r="M553" s="5">
        <f>IFERROR(INDEX('[1]TrialBalance (Quarter)'!$A:$L,MATCH([1]TBMapping!$C555,'[1]TrialBalance (Quarter)'!A:A,0),MATCH([1]TBMapping!N$3,'[1]TrialBalance (Quarter)'!$7:$7,0)),0)</f>
        <v>0</v>
      </c>
      <c r="N553" s="5">
        <f>IFERROR(INDEX('[1]TrialBalance (Quarter)'!$A:$L,MATCH([1]TBMapping!$C555,'[1]TrialBalance (Quarter)'!A:A,0),MATCH([1]TBMapping!O$3,'[1]TrialBalance (Quarter)'!$7:$7,0)),0)</f>
        <v>0</v>
      </c>
    </row>
    <row r="554" spans="1:14">
      <c r="A554" s="2">
        <v>1</v>
      </c>
      <c r="B554" s="3">
        <v>211112</v>
      </c>
      <c r="C554" s="11" t="s">
        <v>508</v>
      </c>
      <c r="D554" s="11" t="s">
        <v>11</v>
      </c>
      <c r="E554" s="11"/>
      <c r="F554" s="5" t="e">
        <f>IF(DataExtraction="Manual",SUMIF('[1]TrialBalance (YTD)'!$C:$C,B554,'[1]TrialBalance (YTD)'!$E:$E),SUMIF('[1]TrialBalance (YTD)'!$G:$G,B554,'[1]TrialBalance (YTD)'!$I:$I))</f>
        <v>#VALUE!</v>
      </c>
      <c r="G554" s="5">
        <f>IFERROR(INDEX('[1]TrialBalance (YTD)'!$G:$S,MATCH([1]TBMapping!$C556,'[1]TrialBalance (YTD)'!G:G,0),MATCH([1]TBMapping!H$3,'[1]TrialBalance (YTD)'!$G$7:$Z$7,0)),0)</f>
        <v>0</v>
      </c>
      <c r="H554" s="5" t="e">
        <f>SUMIF('[1]TrialBalance (YTD)'!G:G,B554,'[1]TrialBalance (YTD)'!H:H)</f>
        <v>#VALUE!</v>
      </c>
      <c r="I554" s="5">
        <f>IFERROR(INDEX('[1]TrialBalance (YTD)'!$G:$S,MATCH([1]TBMapping!$C556,'[1]TrialBalance (YTD)'!G:G,0),MATCH([1]TBMapping!J$3,'[1]TrialBalance (YTD)'!$G$7:$Z$7,0)),0)</f>
        <v>0</v>
      </c>
      <c r="K554" s="5" t="e">
        <f>SUMIF('[1]TrialBalance (Quarter)'!$A:$A,B554,'[1]TrialBalance (Quarter)'!$B:$B)</f>
        <v>#VALUE!</v>
      </c>
      <c r="L554" s="5">
        <f>IFERROR(INDEX('[1]TrialBalance (Quarter)'!$A:$L,MATCH([1]TBMapping!$C556,'[1]TrialBalance (Quarter)'!A:A,0),MATCH([1]TBMapping!M$3,'[1]TrialBalance (Quarter)'!$7:$7,0)),0)</f>
        <v>0</v>
      </c>
      <c r="M554" s="5">
        <f>IFERROR(INDEX('[1]TrialBalance (Quarter)'!$A:$L,MATCH([1]TBMapping!$C556,'[1]TrialBalance (Quarter)'!A:A,0),MATCH([1]TBMapping!N$3,'[1]TrialBalance (Quarter)'!$7:$7,0)),0)</f>
        <v>0</v>
      </c>
      <c r="N554" s="5">
        <f>IFERROR(INDEX('[1]TrialBalance (Quarter)'!$A:$L,MATCH([1]TBMapping!$C556,'[1]TrialBalance (Quarter)'!A:A,0),MATCH([1]TBMapping!O$3,'[1]TrialBalance (Quarter)'!$7:$7,0)),0)</f>
        <v>0</v>
      </c>
    </row>
    <row r="555" spans="1:14">
      <c r="A555" s="2">
        <v>1</v>
      </c>
      <c r="B555" s="3">
        <v>211120</v>
      </c>
      <c r="C555" s="10" t="s">
        <v>509</v>
      </c>
      <c r="D555" s="10" t="s">
        <v>11</v>
      </c>
      <c r="E555" s="10"/>
      <c r="F555" s="5" t="e">
        <f>IF(DataExtraction="Manual",SUMIF('[1]TrialBalance (YTD)'!$C:$C,B555,'[1]TrialBalance (YTD)'!$E:$E),SUMIF('[1]TrialBalance (YTD)'!$G:$G,B555,'[1]TrialBalance (YTD)'!$I:$I))</f>
        <v>#VALUE!</v>
      </c>
      <c r="G555" s="5">
        <f>IFERROR(INDEX('[1]TrialBalance (YTD)'!$G:$S,MATCH([1]TBMapping!$C557,'[1]TrialBalance (YTD)'!G:G,0),MATCH([1]TBMapping!H$3,'[1]TrialBalance (YTD)'!$G$7:$Z$7,0)),0)</f>
        <v>0</v>
      </c>
      <c r="H555" s="5" t="e">
        <f>SUMIF('[1]TrialBalance (YTD)'!G:G,B555,'[1]TrialBalance (YTD)'!H:H)</f>
        <v>#VALUE!</v>
      </c>
      <c r="I555" s="5">
        <f>IFERROR(INDEX('[1]TrialBalance (YTD)'!$G:$S,MATCH([1]TBMapping!$C557,'[1]TrialBalance (YTD)'!G:G,0),MATCH([1]TBMapping!J$3,'[1]TrialBalance (YTD)'!$G$7:$Z$7,0)),0)</f>
        <v>0</v>
      </c>
      <c r="K555" s="5" t="e">
        <f>SUMIF('[1]TrialBalance (Quarter)'!$A:$A,B555,'[1]TrialBalance (Quarter)'!$B:$B)</f>
        <v>#VALUE!</v>
      </c>
      <c r="L555" s="5">
        <f>IFERROR(INDEX('[1]TrialBalance (Quarter)'!$A:$L,MATCH([1]TBMapping!$C557,'[1]TrialBalance (Quarter)'!A:A,0),MATCH([1]TBMapping!M$3,'[1]TrialBalance (Quarter)'!$7:$7,0)),0)</f>
        <v>0</v>
      </c>
      <c r="M555" s="5">
        <f>IFERROR(INDEX('[1]TrialBalance (Quarter)'!$A:$L,MATCH([1]TBMapping!$C557,'[1]TrialBalance (Quarter)'!A:A,0),MATCH([1]TBMapping!N$3,'[1]TrialBalance (Quarter)'!$7:$7,0)),0)</f>
        <v>0</v>
      </c>
      <c r="N555" s="5">
        <f>IFERROR(INDEX('[1]TrialBalance (Quarter)'!$A:$L,MATCH([1]TBMapping!$C557,'[1]TrialBalance (Quarter)'!A:A,0),MATCH([1]TBMapping!O$3,'[1]TrialBalance (Quarter)'!$7:$7,0)),0)</f>
        <v>0</v>
      </c>
    </row>
    <row r="556" spans="1:14">
      <c r="A556" s="2">
        <v>1</v>
      </c>
      <c r="B556" s="3">
        <v>211130</v>
      </c>
      <c r="C556" s="11" t="s">
        <v>510</v>
      </c>
      <c r="D556" s="11" t="s">
        <v>11</v>
      </c>
      <c r="E556" s="11"/>
      <c r="F556" s="5" t="e">
        <f>IF(DataExtraction="Manual",SUMIF('[1]TrialBalance (YTD)'!$C:$C,B556,'[1]TrialBalance (YTD)'!$E:$E),SUMIF('[1]TrialBalance (YTD)'!$G:$G,B556,'[1]TrialBalance (YTD)'!$I:$I))</f>
        <v>#VALUE!</v>
      </c>
      <c r="G556" s="5">
        <f>IFERROR(INDEX('[1]TrialBalance (YTD)'!$G:$S,MATCH([1]TBMapping!$C558,'[1]TrialBalance (YTD)'!G:G,0),MATCH([1]TBMapping!H$3,'[1]TrialBalance (YTD)'!$G$7:$Z$7,0)),0)</f>
        <v>0</v>
      </c>
      <c r="H556" s="5" t="e">
        <f>SUMIF('[1]TrialBalance (YTD)'!G:G,B556,'[1]TrialBalance (YTD)'!H:H)</f>
        <v>#VALUE!</v>
      </c>
      <c r="I556" s="5">
        <f>IFERROR(INDEX('[1]TrialBalance (YTD)'!$G:$S,MATCH([1]TBMapping!$C558,'[1]TrialBalance (YTD)'!G:G,0),MATCH([1]TBMapping!J$3,'[1]TrialBalance (YTD)'!$G$7:$Z$7,0)),0)</f>
        <v>0</v>
      </c>
      <c r="K556" s="5" t="e">
        <f>SUMIF('[1]TrialBalance (Quarter)'!$A:$A,B556,'[1]TrialBalance (Quarter)'!$B:$B)</f>
        <v>#VALUE!</v>
      </c>
      <c r="L556" s="5">
        <f>IFERROR(INDEX('[1]TrialBalance (Quarter)'!$A:$L,MATCH([1]TBMapping!$C558,'[1]TrialBalance (Quarter)'!A:A,0),MATCH([1]TBMapping!M$3,'[1]TrialBalance (Quarter)'!$7:$7,0)),0)</f>
        <v>0</v>
      </c>
      <c r="M556" s="5">
        <f>IFERROR(INDEX('[1]TrialBalance (Quarter)'!$A:$L,MATCH([1]TBMapping!$C558,'[1]TrialBalance (Quarter)'!A:A,0),MATCH([1]TBMapping!N$3,'[1]TrialBalance (Quarter)'!$7:$7,0)),0)</f>
        <v>0</v>
      </c>
      <c r="N556" s="5">
        <f>IFERROR(INDEX('[1]TrialBalance (Quarter)'!$A:$L,MATCH([1]TBMapping!$C558,'[1]TrialBalance (Quarter)'!A:A,0),MATCH([1]TBMapping!O$3,'[1]TrialBalance (Quarter)'!$7:$7,0)),0)</f>
        <v>0</v>
      </c>
    </row>
    <row r="557" spans="1:14">
      <c r="A557" s="2">
        <v>1</v>
      </c>
      <c r="B557" s="3">
        <v>211135</v>
      </c>
      <c r="C557" s="10" t="s">
        <v>511</v>
      </c>
      <c r="D557" s="10" t="s">
        <v>11</v>
      </c>
      <c r="E557" s="10"/>
      <c r="F557" s="5" t="e">
        <f>IF(DataExtraction="Manual",SUMIF('[1]TrialBalance (YTD)'!$C:$C,B557,'[1]TrialBalance (YTD)'!$E:$E),SUMIF('[1]TrialBalance (YTD)'!$G:$G,B557,'[1]TrialBalance (YTD)'!$I:$I))</f>
        <v>#VALUE!</v>
      </c>
      <c r="G557" s="5">
        <f>IFERROR(INDEX('[1]TrialBalance (YTD)'!$G:$S,MATCH([1]TBMapping!$C559,'[1]TrialBalance (YTD)'!G:G,0),MATCH([1]TBMapping!H$3,'[1]TrialBalance (YTD)'!$G$7:$Z$7,0)),0)</f>
        <v>0</v>
      </c>
      <c r="H557" s="5" t="e">
        <f>SUMIF('[1]TrialBalance (YTD)'!G:G,B557,'[1]TrialBalance (YTD)'!H:H)</f>
        <v>#VALUE!</v>
      </c>
      <c r="I557" s="5">
        <f>IFERROR(INDEX('[1]TrialBalance (YTD)'!$G:$S,MATCH([1]TBMapping!$C559,'[1]TrialBalance (YTD)'!G:G,0),MATCH([1]TBMapping!J$3,'[1]TrialBalance (YTD)'!$G$7:$Z$7,0)),0)</f>
        <v>0</v>
      </c>
      <c r="K557" s="5" t="e">
        <f>SUMIF('[1]TrialBalance (Quarter)'!$A:$A,B557,'[1]TrialBalance (Quarter)'!$B:$B)</f>
        <v>#VALUE!</v>
      </c>
      <c r="L557" s="5">
        <f>IFERROR(INDEX('[1]TrialBalance (Quarter)'!$A:$L,MATCH([1]TBMapping!$C559,'[1]TrialBalance (Quarter)'!A:A,0),MATCH([1]TBMapping!M$3,'[1]TrialBalance (Quarter)'!$7:$7,0)),0)</f>
        <v>0</v>
      </c>
      <c r="M557" s="5">
        <f>IFERROR(INDEX('[1]TrialBalance (Quarter)'!$A:$L,MATCH([1]TBMapping!$C559,'[1]TrialBalance (Quarter)'!A:A,0),MATCH([1]TBMapping!N$3,'[1]TrialBalance (Quarter)'!$7:$7,0)),0)</f>
        <v>0</v>
      </c>
      <c r="N557" s="5">
        <f>IFERROR(INDEX('[1]TrialBalance (Quarter)'!$A:$L,MATCH([1]TBMapping!$C559,'[1]TrialBalance (Quarter)'!A:A,0),MATCH([1]TBMapping!O$3,'[1]TrialBalance (Quarter)'!$7:$7,0)),0)</f>
        <v>0</v>
      </c>
    </row>
    <row r="558" spans="1:14">
      <c r="A558" s="2">
        <v>1</v>
      </c>
      <c r="B558" s="3">
        <v>211210</v>
      </c>
      <c r="C558" s="11" t="s">
        <v>512</v>
      </c>
      <c r="D558" s="11" t="s">
        <v>11</v>
      </c>
      <c r="E558" s="11"/>
      <c r="F558" s="5" t="e">
        <f>IF(DataExtraction="Manual",SUMIF('[1]TrialBalance (YTD)'!$C:$C,B558,'[1]TrialBalance (YTD)'!$E:$E),SUMIF('[1]TrialBalance (YTD)'!$G:$G,B558,'[1]TrialBalance (YTD)'!$I:$I))</f>
        <v>#VALUE!</v>
      </c>
      <c r="G558" s="5">
        <f>IFERROR(INDEX('[1]TrialBalance (YTD)'!$G:$S,MATCH([1]TBMapping!$C560,'[1]TrialBalance (YTD)'!G:G,0),MATCH([1]TBMapping!H$3,'[1]TrialBalance (YTD)'!$G$7:$Z$7,0)),0)</f>
        <v>0</v>
      </c>
      <c r="H558" s="5" t="e">
        <f>SUMIF('[1]TrialBalance (YTD)'!G:G,B558,'[1]TrialBalance (YTD)'!H:H)</f>
        <v>#VALUE!</v>
      </c>
      <c r="I558" s="5">
        <f>IFERROR(INDEX('[1]TrialBalance (YTD)'!$G:$S,MATCH([1]TBMapping!$C560,'[1]TrialBalance (YTD)'!G:G,0),MATCH([1]TBMapping!J$3,'[1]TrialBalance (YTD)'!$G$7:$Z$7,0)),0)</f>
        <v>0</v>
      </c>
      <c r="K558" s="5" t="e">
        <f>SUMIF('[1]TrialBalance (Quarter)'!$A:$A,B558,'[1]TrialBalance (Quarter)'!$B:$B)</f>
        <v>#VALUE!</v>
      </c>
      <c r="L558" s="5">
        <f>IFERROR(INDEX('[1]TrialBalance (Quarter)'!$A:$L,MATCH([1]TBMapping!$C560,'[1]TrialBalance (Quarter)'!A:A,0),MATCH([1]TBMapping!M$3,'[1]TrialBalance (Quarter)'!$7:$7,0)),0)</f>
        <v>0</v>
      </c>
      <c r="M558" s="5">
        <f>IFERROR(INDEX('[1]TrialBalance (Quarter)'!$A:$L,MATCH([1]TBMapping!$C560,'[1]TrialBalance (Quarter)'!A:A,0),MATCH([1]TBMapping!N$3,'[1]TrialBalance (Quarter)'!$7:$7,0)),0)</f>
        <v>0</v>
      </c>
      <c r="N558" s="5">
        <f>IFERROR(INDEX('[1]TrialBalance (Quarter)'!$A:$L,MATCH([1]TBMapping!$C560,'[1]TrialBalance (Quarter)'!A:A,0),MATCH([1]TBMapping!O$3,'[1]TrialBalance (Quarter)'!$7:$7,0)),0)</f>
        <v>0</v>
      </c>
    </row>
    <row r="559" spans="1:14">
      <c r="A559" s="2">
        <v>1</v>
      </c>
      <c r="B559" s="3">
        <v>211220</v>
      </c>
      <c r="C559" s="10" t="s">
        <v>513</v>
      </c>
      <c r="D559" s="10" t="s">
        <v>11</v>
      </c>
      <c r="E559" s="10"/>
      <c r="F559" s="5" t="e">
        <f>IF(DataExtraction="Manual",SUMIF('[1]TrialBalance (YTD)'!$C:$C,B559,'[1]TrialBalance (YTD)'!$E:$E),SUMIF('[1]TrialBalance (YTD)'!$G:$G,B559,'[1]TrialBalance (YTD)'!$I:$I))</f>
        <v>#VALUE!</v>
      </c>
      <c r="G559" s="5">
        <f>IFERROR(INDEX('[1]TrialBalance (YTD)'!$G:$S,MATCH([1]TBMapping!$C561,'[1]TrialBalance (YTD)'!G:G,0),MATCH([1]TBMapping!H$3,'[1]TrialBalance (YTD)'!$G$7:$Z$7,0)),0)</f>
        <v>0</v>
      </c>
      <c r="H559" s="5" t="e">
        <f>SUMIF('[1]TrialBalance (YTD)'!G:G,B559,'[1]TrialBalance (YTD)'!H:H)</f>
        <v>#VALUE!</v>
      </c>
      <c r="I559" s="5">
        <f>IFERROR(INDEX('[1]TrialBalance (YTD)'!$G:$S,MATCH([1]TBMapping!$C561,'[1]TrialBalance (YTD)'!G:G,0),MATCH([1]TBMapping!J$3,'[1]TrialBalance (YTD)'!$G$7:$Z$7,0)),0)</f>
        <v>0</v>
      </c>
      <c r="K559" s="5" t="e">
        <f>SUMIF('[1]TrialBalance (Quarter)'!$A:$A,B559,'[1]TrialBalance (Quarter)'!$B:$B)</f>
        <v>#VALUE!</v>
      </c>
      <c r="L559" s="5">
        <f>IFERROR(INDEX('[1]TrialBalance (Quarter)'!$A:$L,MATCH([1]TBMapping!$C561,'[1]TrialBalance (Quarter)'!A:A,0),MATCH([1]TBMapping!M$3,'[1]TrialBalance (Quarter)'!$7:$7,0)),0)</f>
        <v>0</v>
      </c>
      <c r="M559" s="5">
        <f>IFERROR(INDEX('[1]TrialBalance (Quarter)'!$A:$L,MATCH([1]TBMapping!$C561,'[1]TrialBalance (Quarter)'!A:A,0),MATCH([1]TBMapping!N$3,'[1]TrialBalance (Quarter)'!$7:$7,0)),0)</f>
        <v>0</v>
      </c>
      <c r="N559" s="5">
        <f>IFERROR(INDEX('[1]TrialBalance (Quarter)'!$A:$L,MATCH([1]TBMapping!$C561,'[1]TrialBalance (Quarter)'!A:A,0),MATCH([1]TBMapping!O$3,'[1]TrialBalance (Quarter)'!$7:$7,0)),0)</f>
        <v>0</v>
      </c>
    </row>
    <row r="560" spans="1:14">
      <c r="A560" s="2">
        <v>1</v>
      </c>
      <c r="B560" s="3">
        <v>211230</v>
      </c>
      <c r="C560" s="11" t="s">
        <v>514</v>
      </c>
      <c r="D560" s="11" t="s">
        <v>11</v>
      </c>
      <c r="E560" s="11"/>
      <c r="F560" s="5" t="e">
        <f>IF(DataExtraction="Manual",SUMIF('[1]TrialBalance (YTD)'!$C:$C,B560,'[1]TrialBalance (YTD)'!$E:$E),SUMIF('[1]TrialBalance (YTD)'!$G:$G,B560,'[1]TrialBalance (YTD)'!$I:$I))</f>
        <v>#VALUE!</v>
      </c>
      <c r="G560" s="5">
        <f>IFERROR(INDEX('[1]TrialBalance (YTD)'!$G:$S,MATCH([1]TBMapping!$C562,'[1]TrialBalance (YTD)'!G:G,0),MATCH([1]TBMapping!H$3,'[1]TrialBalance (YTD)'!$G$7:$Z$7,0)),0)</f>
        <v>0</v>
      </c>
      <c r="H560" s="5" t="e">
        <f>SUMIF('[1]TrialBalance (YTD)'!G:G,B560,'[1]TrialBalance (YTD)'!H:H)</f>
        <v>#VALUE!</v>
      </c>
      <c r="I560" s="5">
        <f>IFERROR(INDEX('[1]TrialBalance (YTD)'!$G:$S,MATCH([1]TBMapping!$C562,'[1]TrialBalance (YTD)'!G:G,0),MATCH([1]TBMapping!J$3,'[1]TrialBalance (YTD)'!$G$7:$Z$7,0)),0)</f>
        <v>0</v>
      </c>
      <c r="K560" s="5" t="e">
        <f>SUMIF('[1]TrialBalance (Quarter)'!$A:$A,B560,'[1]TrialBalance (Quarter)'!$B:$B)</f>
        <v>#VALUE!</v>
      </c>
      <c r="L560" s="5">
        <f>IFERROR(INDEX('[1]TrialBalance (Quarter)'!$A:$L,MATCH([1]TBMapping!$C562,'[1]TrialBalance (Quarter)'!A:A,0),MATCH([1]TBMapping!M$3,'[1]TrialBalance (Quarter)'!$7:$7,0)),0)</f>
        <v>0</v>
      </c>
      <c r="M560" s="5">
        <f>IFERROR(INDEX('[1]TrialBalance (Quarter)'!$A:$L,MATCH([1]TBMapping!$C562,'[1]TrialBalance (Quarter)'!A:A,0),MATCH([1]TBMapping!N$3,'[1]TrialBalance (Quarter)'!$7:$7,0)),0)</f>
        <v>0</v>
      </c>
      <c r="N560" s="5">
        <f>IFERROR(INDEX('[1]TrialBalance (Quarter)'!$A:$L,MATCH([1]TBMapping!$C562,'[1]TrialBalance (Quarter)'!A:A,0),MATCH([1]TBMapping!O$3,'[1]TrialBalance (Quarter)'!$7:$7,0)),0)</f>
        <v>0</v>
      </c>
    </row>
    <row r="561" spans="1:14">
      <c r="A561" s="2">
        <v>1</v>
      </c>
      <c r="B561" s="3">
        <v>211310</v>
      </c>
      <c r="C561" s="10" t="s">
        <v>515</v>
      </c>
      <c r="D561" s="10" t="s">
        <v>11</v>
      </c>
      <c r="E561" s="10"/>
      <c r="F561" s="5" t="e">
        <f>IF(DataExtraction="Manual",SUMIF('[1]TrialBalance (YTD)'!$C:$C,B561,'[1]TrialBalance (YTD)'!$E:$E),SUMIF('[1]TrialBalance (YTD)'!$G:$G,B561,'[1]TrialBalance (YTD)'!$I:$I))</f>
        <v>#VALUE!</v>
      </c>
      <c r="G561" s="5">
        <f>IFERROR(INDEX('[1]TrialBalance (YTD)'!$G:$S,MATCH([1]TBMapping!$C563,'[1]TrialBalance (YTD)'!G:G,0),MATCH([1]TBMapping!H$3,'[1]TrialBalance (YTD)'!$G$7:$Z$7,0)),0)</f>
        <v>0</v>
      </c>
      <c r="H561" s="5" t="e">
        <f>SUMIF('[1]TrialBalance (YTD)'!G:G,B561,'[1]TrialBalance (YTD)'!H:H)</f>
        <v>#VALUE!</v>
      </c>
      <c r="I561" s="5">
        <f>IFERROR(INDEX('[1]TrialBalance (YTD)'!$G:$S,MATCH([1]TBMapping!$C563,'[1]TrialBalance (YTD)'!G:G,0),MATCH([1]TBMapping!J$3,'[1]TrialBalance (YTD)'!$G$7:$Z$7,0)),0)</f>
        <v>0</v>
      </c>
      <c r="K561" s="5" t="e">
        <f>SUMIF('[1]TrialBalance (Quarter)'!$A:$A,B561,'[1]TrialBalance (Quarter)'!$B:$B)</f>
        <v>#VALUE!</v>
      </c>
      <c r="L561" s="5">
        <f>IFERROR(INDEX('[1]TrialBalance (Quarter)'!$A:$L,MATCH([1]TBMapping!$C563,'[1]TrialBalance (Quarter)'!A:A,0),MATCH([1]TBMapping!M$3,'[1]TrialBalance (Quarter)'!$7:$7,0)),0)</f>
        <v>0</v>
      </c>
      <c r="M561" s="5">
        <f>IFERROR(INDEX('[1]TrialBalance (Quarter)'!$A:$L,MATCH([1]TBMapping!$C563,'[1]TrialBalance (Quarter)'!A:A,0),MATCH([1]TBMapping!N$3,'[1]TrialBalance (Quarter)'!$7:$7,0)),0)</f>
        <v>0</v>
      </c>
      <c r="N561" s="5">
        <f>IFERROR(INDEX('[1]TrialBalance (Quarter)'!$A:$L,MATCH([1]TBMapping!$C563,'[1]TrialBalance (Quarter)'!A:A,0),MATCH([1]TBMapping!O$3,'[1]TrialBalance (Quarter)'!$7:$7,0)),0)</f>
        <v>0</v>
      </c>
    </row>
    <row r="562" spans="1:14">
      <c r="A562" s="2">
        <v>1</v>
      </c>
      <c r="B562" s="3">
        <v>211320</v>
      </c>
      <c r="C562" s="11" t="s">
        <v>516</v>
      </c>
      <c r="D562" s="11" t="s">
        <v>11</v>
      </c>
      <c r="E562" s="11"/>
      <c r="F562" s="5" t="e">
        <f>IF(DataExtraction="Manual",SUMIF('[1]TrialBalance (YTD)'!$C:$C,B562,'[1]TrialBalance (YTD)'!$E:$E),SUMIF('[1]TrialBalance (YTD)'!$G:$G,B562,'[1]TrialBalance (YTD)'!$I:$I))</f>
        <v>#VALUE!</v>
      </c>
      <c r="G562" s="5">
        <f>IFERROR(INDEX('[1]TrialBalance (YTD)'!$G:$S,MATCH([1]TBMapping!$C564,'[1]TrialBalance (YTD)'!G:G,0),MATCH([1]TBMapping!H$3,'[1]TrialBalance (YTD)'!$G$7:$Z$7,0)),0)</f>
        <v>0</v>
      </c>
      <c r="H562" s="5" t="e">
        <f>SUMIF('[1]TrialBalance (YTD)'!G:G,B562,'[1]TrialBalance (YTD)'!H:H)</f>
        <v>#VALUE!</v>
      </c>
      <c r="I562" s="5">
        <f>IFERROR(INDEX('[1]TrialBalance (YTD)'!$G:$S,MATCH([1]TBMapping!$C564,'[1]TrialBalance (YTD)'!G:G,0),MATCH([1]TBMapping!J$3,'[1]TrialBalance (YTD)'!$G$7:$Z$7,0)),0)</f>
        <v>0</v>
      </c>
      <c r="K562" s="5" t="e">
        <f>SUMIF('[1]TrialBalance (Quarter)'!$A:$A,B562,'[1]TrialBalance (Quarter)'!$B:$B)</f>
        <v>#VALUE!</v>
      </c>
      <c r="L562" s="5">
        <f>IFERROR(INDEX('[1]TrialBalance (Quarter)'!$A:$L,MATCH([1]TBMapping!$C564,'[1]TrialBalance (Quarter)'!A:A,0),MATCH([1]TBMapping!M$3,'[1]TrialBalance (Quarter)'!$7:$7,0)),0)</f>
        <v>0</v>
      </c>
      <c r="M562" s="5">
        <f>IFERROR(INDEX('[1]TrialBalance (Quarter)'!$A:$L,MATCH([1]TBMapping!$C564,'[1]TrialBalance (Quarter)'!A:A,0),MATCH([1]TBMapping!N$3,'[1]TrialBalance (Quarter)'!$7:$7,0)),0)</f>
        <v>0</v>
      </c>
      <c r="N562" s="5">
        <f>IFERROR(INDEX('[1]TrialBalance (Quarter)'!$A:$L,MATCH([1]TBMapping!$C564,'[1]TrialBalance (Quarter)'!A:A,0),MATCH([1]TBMapping!O$3,'[1]TrialBalance (Quarter)'!$7:$7,0)),0)</f>
        <v>0</v>
      </c>
    </row>
    <row r="563" spans="1:14">
      <c r="B563" s="3">
        <v>211399</v>
      </c>
      <c r="C563" s="10" t="s">
        <v>517</v>
      </c>
      <c r="D563" s="10" t="s">
        <v>16</v>
      </c>
      <c r="E563" s="10"/>
      <c r="F563" s="5" t="e">
        <f>IF(DataExtraction="Manual",SUMIF('[1]TrialBalance (YTD)'!$C:$C,B563,'[1]TrialBalance (YTD)'!$E:$E),SUMIF('[1]TrialBalance (YTD)'!$G:$G,B563,'[1]TrialBalance (YTD)'!$I:$I))</f>
        <v>#VALUE!</v>
      </c>
      <c r="G563" s="5">
        <f>IFERROR(INDEX('[1]TrialBalance (YTD)'!$G:$S,MATCH([1]TBMapping!$C565,'[1]TrialBalance (YTD)'!G:G,0),MATCH([1]TBMapping!H$3,'[1]TrialBalance (YTD)'!$G$7:$Z$7,0)),0)</f>
        <v>0</v>
      </c>
      <c r="H563" s="5" t="e">
        <f>SUMIF('[1]TrialBalance (YTD)'!G:G,B563,'[1]TrialBalance (YTD)'!H:H)</f>
        <v>#VALUE!</v>
      </c>
      <c r="I563" s="5">
        <f>IFERROR(INDEX('[1]TrialBalance (YTD)'!$G:$S,MATCH([1]TBMapping!$C565,'[1]TrialBalance (YTD)'!G:G,0),MATCH([1]TBMapping!J$3,'[1]TrialBalance (YTD)'!$G$7:$Z$7,0)),0)</f>
        <v>0</v>
      </c>
      <c r="K563" s="5" t="e">
        <f>SUMIF('[1]TrialBalance (Quarter)'!$A:$A,B563,'[1]TrialBalance (Quarter)'!$B:$B)</f>
        <v>#VALUE!</v>
      </c>
      <c r="L563" s="5">
        <f>IFERROR(INDEX('[1]TrialBalance (Quarter)'!$A:$L,MATCH([1]TBMapping!$C565,'[1]TrialBalance (Quarter)'!A:A,0),MATCH([1]TBMapping!M$3,'[1]TrialBalance (Quarter)'!$7:$7,0)),0)</f>
        <v>0</v>
      </c>
      <c r="M563" s="5">
        <f>IFERROR(INDEX('[1]TrialBalance (Quarter)'!$A:$L,MATCH([1]TBMapping!$C565,'[1]TrialBalance (Quarter)'!A:A,0),MATCH([1]TBMapping!N$3,'[1]TrialBalance (Quarter)'!$7:$7,0)),0)</f>
        <v>0</v>
      </c>
      <c r="N563" s="5">
        <f>IFERROR(INDEX('[1]TrialBalance (Quarter)'!$A:$L,MATCH([1]TBMapping!$C565,'[1]TrialBalance (Quarter)'!A:A,0),MATCH([1]TBMapping!O$3,'[1]TrialBalance (Quarter)'!$7:$7,0)),0)</f>
        <v>0</v>
      </c>
    </row>
    <row r="564" spans="1:14">
      <c r="A564" s="2">
        <v>1</v>
      </c>
      <c r="B564" s="3">
        <v>211400</v>
      </c>
      <c r="C564" s="11" t="s">
        <v>518</v>
      </c>
      <c r="D564" s="11" t="s">
        <v>11</v>
      </c>
      <c r="E564" s="11"/>
      <c r="F564" s="5" t="e">
        <f>IF(DataExtraction="Manual",SUMIF('[1]TrialBalance (YTD)'!$C:$C,B564,'[1]TrialBalance (YTD)'!$E:$E),SUMIF('[1]TrialBalance (YTD)'!$G:$G,B564,'[1]TrialBalance (YTD)'!$I:$I))</f>
        <v>#VALUE!</v>
      </c>
      <c r="G564" s="5">
        <f>IFERROR(INDEX('[1]TrialBalance (YTD)'!$G:$S,MATCH([1]TBMapping!$C566,'[1]TrialBalance (YTD)'!G:G,0),MATCH([1]TBMapping!H$3,'[1]TrialBalance (YTD)'!$G$7:$Z$7,0)),0)</f>
        <v>0</v>
      </c>
      <c r="H564" s="5" t="e">
        <f>SUMIF('[1]TrialBalance (YTD)'!G:G,B564,'[1]TrialBalance (YTD)'!H:H)</f>
        <v>#VALUE!</v>
      </c>
      <c r="I564" s="5">
        <f>IFERROR(INDEX('[1]TrialBalance (YTD)'!$G:$S,MATCH([1]TBMapping!$C566,'[1]TrialBalance (YTD)'!G:G,0),MATCH([1]TBMapping!J$3,'[1]TrialBalance (YTD)'!$G$7:$Z$7,0)),0)</f>
        <v>0</v>
      </c>
      <c r="K564" s="5" t="e">
        <f>SUMIF('[1]TrialBalance (Quarter)'!$A:$A,B564,'[1]TrialBalance (Quarter)'!$B:$B)</f>
        <v>#VALUE!</v>
      </c>
      <c r="L564" s="5">
        <f>IFERROR(INDEX('[1]TrialBalance (Quarter)'!$A:$L,MATCH([1]TBMapping!$C566,'[1]TrialBalance (Quarter)'!A:A,0),MATCH([1]TBMapping!M$3,'[1]TrialBalance (Quarter)'!$7:$7,0)),0)</f>
        <v>0</v>
      </c>
      <c r="M564" s="5">
        <f>IFERROR(INDEX('[1]TrialBalance (Quarter)'!$A:$L,MATCH([1]TBMapping!$C566,'[1]TrialBalance (Quarter)'!A:A,0),MATCH([1]TBMapping!N$3,'[1]TrialBalance (Quarter)'!$7:$7,0)),0)</f>
        <v>0</v>
      </c>
      <c r="N564" s="5">
        <f>IFERROR(INDEX('[1]TrialBalance (Quarter)'!$A:$L,MATCH([1]TBMapping!$C566,'[1]TrialBalance (Quarter)'!A:A,0),MATCH([1]TBMapping!O$3,'[1]TrialBalance (Quarter)'!$7:$7,0)),0)</f>
        <v>0</v>
      </c>
    </row>
    <row r="565" spans="1:14">
      <c r="A565" s="2">
        <v>1</v>
      </c>
      <c r="B565" s="3">
        <v>211500</v>
      </c>
      <c r="C565" s="10" t="s">
        <v>519</v>
      </c>
      <c r="D565" s="10" t="s">
        <v>5</v>
      </c>
      <c r="E565" s="10"/>
      <c r="F565" s="5" t="e">
        <f>IF(DataExtraction="Manual",SUMIF('[1]TrialBalance (YTD)'!$C:$C,B565,'[1]TrialBalance (YTD)'!$E:$E),SUMIF('[1]TrialBalance (YTD)'!$G:$G,B565,'[1]TrialBalance (YTD)'!$I:$I))</f>
        <v>#VALUE!</v>
      </c>
      <c r="G565" s="5">
        <f>IFERROR(INDEX('[1]TrialBalance (YTD)'!$G:$S,MATCH([1]TBMapping!$C567,'[1]TrialBalance (YTD)'!G:G,0),MATCH([1]TBMapping!H$3,'[1]TrialBalance (YTD)'!$G$7:$Z$7,0)),0)</f>
        <v>0</v>
      </c>
      <c r="H565" s="5" t="e">
        <f>SUMIF('[1]TrialBalance (YTD)'!G:G,B565,'[1]TrialBalance (YTD)'!H:H)</f>
        <v>#VALUE!</v>
      </c>
      <c r="I565" s="5">
        <f>IFERROR(INDEX('[1]TrialBalance (YTD)'!$G:$S,MATCH([1]TBMapping!$C567,'[1]TrialBalance (YTD)'!G:G,0),MATCH([1]TBMapping!J$3,'[1]TrialBalance (YTD)'!$G$7:$Z$7,0)),0)</f>
        <v>0</v>
      </c>
      <c r="K565" s="5" t="e">
        <f>SUMIF('[1]TrialBalance (Quarter)'!$A:$A,B565,'[1]TrialBalance (Quarter)'!$B:$B)</f>
        <v>#VALUE!</v>
      </c>
      <c r="L565" s="5">
        <f>IFERROR(INDEX('[1]TrialBalance (Quarter)'!$A:$L,MATCH([1]TBMapping!$C567,'[1]TrialBalance (Quarter)'!A:A,0),MATCH([1]TBMapping!M$3,'[1]TrialBalance (Quarter)'!$7:$7,0)),0)</f>
        <v>0</v>
      </c>
      <c r="M565" s="5">
        <f>IFERROR(INDEX('[1]TrialBalance (Quarter)'!$A:$L,MATCH([1]TBMapping!$C567,'[1]TrialBalance (Quarter)'!A:A,0),MATCH([1]TBMapping!N$3,'[1]TrialBalance (Quarter)'!$7:$7,0)),0)</f>
        <v>0</v>
      </c>
      <c r="N565" s="5">
        <f>IFERROR(INDEX('[1]TrialBalance (Quarter)'!$A:$L,MATCH([1]TBMapping!$C567,'[1]TrialBalance (Quarter)'!A:A,0),MATCH([1]TBMapping!O$3,'[1]TrialBalance (Quarter)'!$7:$7,0)),0)</f>
        <v>0</v>
      </c>
    </row>
    <row r="566" spans="1:14">
      <c r="A566" s="2">
        <v>1</v>
      </c>
      <c r="B566" s="3">
        <v>211510</v>
      </c>
      <c r="C566" s="11" t="s">
        <v>507</v>
      </c>
      <c r="D566" s="11" t="s">
        <v>11</v>
      </c>
      <c r="E566" s="11"/>
      <c r="F566" s="5" t="e">
        <f>IF(DataExtraction="Manual",SUMIF('[1]TrialBalance (YTD)'!$C:$C,B566,'[1]TrialBalance (YTD)'!$E:$E),SUMIF('[1]TrialBalance (YTD)'!$G:$G,B566,'[1]TrialBalance (YTD)'!$I:$I))</f>
        <v>#VALUE!</v>
      </c>
      <c r="G566" s="5">
        <f>IFERROR(INDEX('[1]TrialBalance (YTD)'!$G:$S,MATCH([1]TBMapping!$C568,'[1]TrialBalance (YTD)'!G:G,0),MATCH([1]TBMapping!H$3,'[1]TrialBalance (YTD)'!$G$7:$Z$7,0)),0)</f>
        <v>0</v>
      </c>
      <c r="H566" s="5" t="e">
        <f>SUMIF('[1]TrialBalance (YTD)'!G:G,B566,'[1]TrialBalance (YTD)'!H:H)</f>
        <v>#VALUE!</v>
      </c>
      <c r="I566" s="5">
        <f>IFERROR(INDEX('[1]TrialBalance (YTD)'!$G:$S,MATCH([1]TBMapping!$C568,'[1]TrialBalance (YTD)'!G:G,0),MATCH([1]TBMapping!J$3,'[1]TrialBalance (YTD)'!$G$7:$Z$7,0)),0)</f>
        <v>0</v>
      </c>
      <c r="K566" s="5" t="e">
        <f>SUMIF('[1]TrialBalance (Quarter)'!$A:$A,B566,'[1]TrialBalance (Quarter)'!$B:$B)</f>
        <v>#VALUE!</v>
      </c>
      <c r="L566" s="5">
        <f>IFERROR(INDEX('[1]TrialBalance (Quarter)'!$A:$L,MATCH([1]TBMapping!$C568,'[1]TrialBalance (Quarter)'!A:A,0),MATCH([1]TBMapping!M$3,'[1]TrialBalance (Quarter)'!$7:$7,0)),0)</f>
        <v>0</v>
      </c>
      <c r="M566" s="5">
        <f>IFERROR(INDEX('[1]TrialBalance (Quarter)'!$A:$L,MATCH([1]TBMapping!$C568,'[1]TrialBalance (Quarter)'!A:A,0),MATCH([1]TBMapping!N$3,'[1]TrialBalance (Quarter)'!$7:$7,0)),0)</f>
        <v>0</v>
      </c>
      <c r="N566" s="5">
        <f>IFERROR(INDEX('[1]TrialBalance (Quarter)'!$A:$L,MATCH([1]TBMapping!$C568,'[1]TrialBalance (Quarter)'!A:A,0),MATCH([1]TBMapping!O$3,'[1]TrialBalance (Quarter)'!$7:$7,0)),0)</f>
        <v>0</v>
      </c>
    </row>
    <row r="567" spans="1:14">
      <c r="A567" s="2">
        <v>1</v>
      </c>
      <c r="B567" s="3">
        <v>211512</v>
      </c>
      <c r="C567" s="10" t="s">
        <v>508</v>
      </c>
      <c r="D567" s="10" t="s">
        <v>11</v>
      </c>
      <c r="E567" s="10"/>
      <c r="F567" s="5" t="e">
        <f>IF(DataExtraction="Manual",SUMIF('[1]TrialBalance (YTD)'!$C:$C,B567,'[1]TrialBalance (YTD)'!$E:$E),SUMIF('[1]TrialBalance (YTD)'!$G:$G,B567,'[1]TrialBalance (YTD)'!$I:$I))</f>
        <v>#VALUE!</v>
      </c>
      <c r="G567" s="5">
        <f>IFERROR(INDEX('[1]TrialBalance (YTD)'!$G:$S,MATCH([1]TBMapping!$C569,'[1]TrialBalance (YTD)'!G:G,0),MATCH([1]TBMapping!H$3,'[1]TrialBalance (YTD)'!$G$7:$Z$7,0)),0)</f>
        <v>0</v>
      </c>
      <c r="H567" s="5" t="e">
        <f>SUMIF('[1]TrialBalance (YTD)'!G:G,B567,'[1]TrialBalance (YTD)'!H:H)</f>
        <v>#VALUE!</v>
      </c>
      <c r="I567" s="5">
        <f>IFERROR(INDEX('[1]TrialBalance (YTD)'!$G:$S,MATCH([1]TBMapping!$C569,'[1]TrialBalance (YTD)'!G:G,0),MATCH([1]TBMapping!J$3,'[1]TrialBalance (YTD)'!$G$7:$Z$7,0)),0)</f>
        <v>0</v>
      </c>
      <c r="K567" s="5" t="e">
        <f>SUMIF('[1]TrialBalance (Quarter)'!$A:$A,B567,'[1]TrialBalance (Quarter)'!$B:$B)</f>
        <v>#VALUE!</v>
      </c>
      <c r="L567" s="5">
        <f>IFERROR(INDEX('[1]TrialBalance (Quarter)'!$A:$L,MATCH([1]TBMapping!$C569,'[1]TrialBalance (Quarter)'!A:A,0),MATCH([1]TBMapping!M$3,'[1]TrialBalance (Quarter)'!$7:$7,0)),0)</f>
        <v>0</v>
      </c>
      <c r="M567" s="5">
        <f>IFERROR(INDEX('[1]TrialBalance (Quarter)'!$A:$L,MATCH([1]TBMapping!$C569,'[1]TrialBalance (Quarter)'!A:A,0),MATCH([1]TBMapping!N$3,'[1]TrialBalance (Quarter)'!$7:$7,0)),0)</f>
        <v>0</v>
      </c>
      <c r="N567" s="5">
        <f>IFERROR(INDEX('[1]TrialBalance (Quarter)'!$A:$L,MATCH([1]TBMapping!$C569,'[1]TrialBalance (Quarter)'!A:A,0),MATCH([1]TBMapping!O$3,'[1]TrialBalance (Quarter)'!$7:$7,0)),0)</f>
        <v>0</v>
      </c>
    </row>
    <row r="568" spans="1:14">
      <c r="A568" s="2">
        <v>1</v>
      </c>
      <c r="B568" s="3">
        <v>211520</v>
      </c>
      <c r="C568" s="11" t="s">
        <v>509</v>
      </c>
      <c r="D568" s="11" t="s">
        <v>11</v>
      </c>
      <c r="E568" s="11"/>
      <c r="F568" s="5" t="e">
        <f>IF(DataExtraction="Manual",SUMIF('[1]TrialBalance (YTD)'!$C:$C,B568,'[1]TrialBalance (YTD)'!$E:$E),SUMIF('[1]TrialBalance (YTD)'!$G:$G,B568,'[1]TrialBalance (YTD)'!$I:$I))</f>
        <v>#VALUE!</v>
      </c>
      <c r="G568" s="5">
        <f>IFERROR(INDEX('[1]TrialBalance (YTD)'!$G:$S,MATCH([1]TBMapping!$C570,'[1]TrialBalance (YTD)'!G:G,0),MATCH([1]TBMapping!H$3,'[1]TrialBalance (YTD)'!$G$7:$Z$7,0)),0)</f>
        <v>0</v>
      </c>
      <c r="H568" s="5" t="e">
        <f>SUMIF('[1]TrialBalance (YTD)'!G:G,B568,'[1]TrialBalance (YTD)'!H:H)</f>
        <v>#VALUE!</v>
      </c>
      <c r="I568" s="5">
        <f>IFERROR(INDEX('[1]TrialBalance (YTD)'!$G:$S,MATCH([1]TBMapping!$C570,'[1]TrialBalance (YTD)'!G:G,0),MATCH([1]TBMapping!J$3,'[1]TrialBalance (YTD)'!$G$7:$Z$7,0)),0)</f>
        <v>0</v>
      </c>
      <c r="K568" s="5" t="e">
        <f>SUMIF('[1]TrialBalance (Quarter)'!$A:$A,B568,'[1]TrialBalance (Quarter)'!$B:$B)</f>
        <v>#VALUE!</v>
      </c>
      <c r="L568" s="5">
        <f>IFERROR(INDEX('[1]TrialBalance (Quarter)'!$A:$L,MATCH([1]TBMapping!$C570,'[1]TrialBalance (Quarter)'!A:A,0),MATCH([1]TBMapping!M$3,'[1]TrialBalance (Quarter)'!$7:$7,0)),0)</f>
        <v>0</v>
      </c>
      <c r="M568" s="5">
        <f>IFERROR(INDEX('[1]TrialBalance (Quarter)'!$A:$L,MATCH([1]TBMapping!$C570,'[1]TrialBalance (Quarter)'!A:A,0),MATCH([1]TBMapping!N$3,'[1]TrialBalance (Quarter)'!$7:$7,0)),0)</f>
        <v>0</v>
      </c>
      <c r="N568" s="5">
        <f>IFERROR(INDEX('[1]TrialBalance (Quarter)'!$A:$L,MATCH([1]TBMapping!$C570,'[1]TrialBalance (Quarter)'!A:A,0),MATCH([1]TBMapping!O$3,'[1]TrialBalance (Quarter)'!$7:$7,0)),0)</f>
        <v>0</v>
      </c>
    </row>
    <row r="569" spans="1:14">
      <c r="A569" s="2">
        <v>1</v>
      </c>
      <c r="B569" s="3">
        <v>211530</v>
      </c>
      <c r="C569" s="10" t="s">
        <v>510</v>
      </c>
      <c r="D569" s="10" t="s">
        <v>11</v>
      </c>
      <c r="E569" s="10"/>
      <c r="F569" s="5" t="e">
        <f>IF(DataExtraction="Manual",SUMIF('[1]TrialBalance (YTD)'!$C:$C,B569,'[1]TrialBalance (YTD)'!$E:$E),SUMIF('[1]TrialBalance (YTD)'!$G:$G,B569,'[1]TrialBalance (YTD)'!$I:$I))</f>
        <v>#VALUE!</v>
      </c>
      <c r="G569" s="5">
        <f>IFERROR(INDEX('[1]TrialBalance (YTD)'!$G:$S,MATCH([1]TBMapping!$C571,'[1]TrialBalance (YTD)'!G:G,0),MATCH([1]TBMapping!H$3,'[1]TrialBalance (YTD)'!$G$7:$Z$7,0)),0)</f>
        <v>0</v>
      </c>
      <c r="H569" s="5" t="e">
        <f>SUMIF('[1]TrialBalance (YTD)'!G:G,B569,'[1]TrialBalance (YTD)'!H:H)</f>
        <v>#VALUE!</v>
      </c>
      <c r="I569" s="5">
        <f>IFERROR(INDEX('[1]TrialBalance (YTD)'!$G:$S,MATCH([1]TBMapping!$C571,'[1]TrialBalance (YTD)'!G:G,0),MATCH([1]TBMapping!J$3,'[1]TrialBalance (YTD)'!$G$7:$Z$7,0)),0)</f>
        <v>0</v>
      </c>
      <c r="K569" s="5" t="e">
        <f>SUMIF('[1]TrialBalance (Quarter)'!$A:$A,B569,'[1]TrialBalance (Quarter)'!$B:$B)</f>
        <v>#VALUE!</v>
      </c>
      <c r="L569" s="5">
        <f>IFERROR(INDEX('[1]TrialBalance (Quarter)'!$A:$L,MATCH([1]TBMapping!$C571,'[1]TrialBalance (Quarter)'!A:A,0),MATCH([1]TBMapping!M$3,'[1]TrialBalance (Quarter)'!$7:$7,0)),0)</f>
        <v>0</v>
      </c>
      <c r="M569" s="5">
        <f>IFERROR(INDEX('[1]TrialBalance (Quarter)'!$A:$L,MATCH([1]TBMapping!$C571,'[1]TrialBalance (Quarter)'!A:A,0),MATCH([1]TBMapping!N$3,'[1]TrialBalance (Quarter)'!$7:$7,0)),0)</f>
        <v>0</v>
      </c>
      <c r="N569" s="5">
        <f>IFERROR(INDEX('[1]TrialBalance (Quarter)'!$A:$L,MATCH([1]TBMapping!$C571,'[1]TrialBalance (Quarter)'!A:A,0),MATCH([1]TBMapping!O$3,'[1]TrialBalance (Quarter)'!$7:$7,0)),0)</f>
        <v>0</v>
      </c>
    </row>
    <row r="570" spans="1:14">
      <c r="A570" s="2">
        <v>1</v>
      </c>
      <c r="B570" s="3">
        <v>211535</v>
      </c>
      <c r="C570" s="11" t="s">
        <v>511</v>
      </c>
      <c r="D570" s="11" t="s">
        <v>11</v>
      </c>
      <c r="E570" s="11"/>
      <c r="F570" s="5" t="e">
        <f>IF(DataExtraction="Manual",SUMIF('[1]TrialBalance (YTD)'!$C:$C,B570,'[1]TrialBalance (YTD)'!$E:$E),SUMIF('[1]TrialBalance (YTD)'!$G:$G,B570,'[1]TrialBalance (YTD)'!$I:$I))</f>
        <v>#VALUE!</v>
      </c>
      <c r="G570" s="5">
        <f>IFERROR(INDEX('[1]TrialBalance (YTD)'!$G:$S,MATCH([1]TBMapping!$C572,'[1]TrialBalance (YTD)'!G:G,0),MATCH([1]TBMapping!H$3,'[1]TrialBalance (YTD)'!$G$7:$Z$7,0)),0)</f>
        <v>0</v>
      </c>
      <c r="H570" s="5" t="e">
        <f>SUMIF('[1]TrialBalance (YTD)'!G:G,B570,'[1]TrialBalance (YTD)'!H:H)</f>
        <v>#VALUE!</v>
      </c>
      <c r="I570" s="5">
        <f>IFERROR(INDEX('[1]TrialBalance (YTD)'!$G:$S,MATCH([1]TBMapping!$C572,'[1]TrialBalance (YTD)'!G:G,0),MATCH([1]TBMapping!J$3,'[1]TrialBalance (YTD)'!$G$7:$Z$7,0)),0)</f>
        <v>0</v>
      </c>
      <c r="K570" s="5" t="e">
        <f>SUMIF('[1]TrialBalance (Quarter)'!$A:$A,B570,'[1]TrialBalance (Quarter)'!$B:$B)</f>
        <v>#VALUE!</v>
      </c>
      <c r="L570" s="5">
        <f>IFERROR(INDEX('[1]TrialBalance (Quarter)'!$A:$L,MATCH([1]TBMapping!$C572,'[1]TrialBalance (Quarter)'!A:A,0),MATCH([1]TBMapping!M$3,'[1]TrialBalance (Quarter)'!$7:$7,0)),0)</f>
        <v>0</v>
      </c>
      <c r="M570" s="5">
        <f>IFERROR(INDEX('[1]TrialBalance (Quarter)'!$A:$L,MATCH([1]TBMapping!$C572,'[1]TrialBalance (Quarter)'!A:A,0),MATCH([1]TBMapping!N$3,'[1]TrialBalance (Quarter)'!$7:$7,0)),0)</f>
        <v>0</v>
      </c>
      <c r="N570" s="5">
        <f>IFERROR(INDEX('[1]TrialBalance (Quarter)'!$A:$L,MATCH([1]TBMapping!$C572,'[1]TrialBalance (Quarter)'!A:A,0),MATCH([1]TBMapping!O$3,'[1]TrialBalance (Quarter)'!$7:$7,0)),0)</f>
        <v>0</v>
      </c>
    </row>
    <row r="571" spans="1:14">
      <c r="A571" s="2">
        <v>1</v>
      </c>
      <c r="B571" s="3">
        <v>211610</v>
      </c>
      <c r="C571" s="10" t="s">
        <v>520</v>
      </c>
      <c r="D571" s="10" t="s">
        <v>11</v>
      </c>
      <c r="E571" s="10"/>
      <c r="F571" s="5" t="e">
        <f>IF(DataExtraction="Manual",SUMIF('[1]TrialBalance (YTD)'!$C:$C,B571,'[1]TrialBalance (YTD)'!$E:$E),SUMIF('[1]TrialBalance (YTD)'!$G:$G,B571,'[1]TrialBalance (YTD)'!$I:$I))</f>
        <v>#VALUE!</v>
      </c>
      <c r="G571" s="5">
        <f>IFERROR(INDEX('[1]TrialBalance (YTD)'!$G:$S,MATCH([1]TBMapping!$C573,'[1]TrialBalance (YTD)'!G:G,0),MATCH([1]TBMapping!H$3,'[1]TrialBalance (YTD)'!$G$7:$Z$7,0)),0)</f>
        <v>0</v>
      </c>
      <c r="H571" s="5" t="e">
        <f>SUMIF('[1]TrialBalance (YTD)'!G:G,B571,'[1]TrialBalance (YTD)'!H:H)</f>
        <v>#VALUE!</v>
      </c>
      <c r="I571" s="5">
        <f>IFERROR(INDEX('[1]TrialBalance (YTD)'!$G:$S,MATCH([1]TBMapping!$C573,'[1]TrialBalance (YTD)'!G:G,0),MATCH([1]TBMapping!J$3,'[1]TrialBalance (YTD)'!$G$7:$Z$7,0)),0)</f>
        <v>0</v>
      </c>
      <c r="K571" s="5" t="e">
        <f>SUMIF('[1]TrialBalance (Quarter)'!$A:$A,B571,'[1]TrialBalance (Quarter)'!$B:$B)</f>
        <v>#VALUE!</v>
      </c>
      <c r="L571" s="5">
        <f>IFERROR(INDEX('[1]TrialBalance (Quarter)'!$A:$L,MATCH([1]TBMapping!$C573,'[1]TrialBalance (Quarter)'!A:A,0),MATCH([1]TBMapping!M$3,'[1]TrialBalance (Quarter)'!$7:$7,0)),0)</f>
        <v>0</v>
      </c>
      <c r="M571" s="5">
        <f>IFERROR(INDEX('[1]TrialBalance (Quarter)'!$A:$L,MATCH([1]TBMapping!$C573,'[1]TrialBalance (Quarter)'!A:A,0),MATCH([1]TBMapping!N$3,'[1]TrialBalance (Quarter)'!$7:$7,0)),0)</f>
        <v>0</v>
      </c>
      <c r="N571" s="5">
        <f>IFERROR(INDEX('[1]TrialBalance (Quarter)'!$A:$L,MATCH([1]TBMapping!$C573,'[1]TrialBalance (Quarter)'!A:A,0),MATCH([1]TBMapping!O$3,'[1]TrialBalance (Quarter)'!$7:$7,0)),0)</f>
        <v>0</v>
      </c>
    </row>
    <row r="572" spans="1:14">
      <c r="A572" s="2">
        <v>1</v>
      </c>
      <c r="B572" s="3">
        <v>211620</v>
      </c>
      <c r="C572" s="11" t="s">
        <v>513</v>
      </c>
      <c r="D572" s="11" t="s">
        <v>11</v>
      </c>
      <c r="E572" s="11"/>
      <c r="F572" s="5" t="e">
        <f>IF(DataExtraction="Manual",SUMIF('[1]TrialBalance (YTD)'!$C:$C,B572,'[1]TrialBalance (YTD)'!$E:$E),SUMIF('[1]TrialBalance (YTD)'!$G:$G,B572,'[1]TrialBalance (YTD)'!$I:$I))</f>
        <v>#VALUE!</v>
      </c>
      <c r="G572" s="5">
        <f>IFERROR(INDEX('[1]TrialBalance (YTD)'!$G:$S,MATCH([1]TBMapping!$C574,'[1]TrialBalance (YTD)'!G:G,0),MATCH([1]TBMapping!H$3,'[1]TrialBalance (YTD)'!$G$7:$Z$7,0)),0)</f>
        <v>0</v>
      </c>
      <c r="H572" s="5" t="e">
        <f>SUMIF('[1]TrialBalance (YTD)'!G:G,B572,'[1]TrialBalance (YTD)'!H:H)</f>
        <v>#VALUE!</v>
      </c>
      <c r="I572" s="5">
        <f>IFERROR(INDEX('[1]TrialBalance (YTD)'!$G:$S,MATCH([1]TBMapping!$C574,'[1]TrialBalance (YTD)'!G:G,0),MATCH([1]TBMapping!J$3,'[1]TrialBalance (YTD)'!$G$7:$Z$7,0)),0)</f>
        <v>0</v>
      </c>
      <c r="K572" s="5" t="e">
        <f>SUMIF('[1]TrialBalance (Quarter)'!$A:$A,B572,'[1]TrialBalance (Quarter)'!$B:$B)</f>
        <v>#VALUE!</v>
      </c>
      <c r="L572" s="5">
        <f>IFERROR(INDEX('[1]TrialBalance (Quarter)'!$A:$L,MATCH([1]TBMapping!$C574,'[1]TrialBalance (Quarter)'!A:A,0),MATCH([1]TBMapping!M$3,'[1]TrialBalance (Quarter)'!$7:$7,0)),0)</f>
        <v>0</v>
      </c>
      <c r="M572" s="5">
        <f>IFERROR(INDEX('[1]TrialBalance (Quarter)'!$A:$L,MATCH([1]TBMapping!$C574,'[1]TrialBalance (Quarter)'!A:A,0),MATCH([1]TBMapping!N$3,'[1]TrialBalance (Quarter)'!$7:$7,0)),0)</f>
        <v>0</v>
      </c>
      <c r="N572" s="5">
        <f>IFERROR(INDEX('[1]TrialBalance (Quarter)'!$A:$L,MATCH([1]TBMapping!$C574,'[1]TrialBalance (Quarter)'!A:A,0),MATCH([1]TBMapping!O$3,'[1]TrialBalance (Quarter)'!$7:$7,0)),0)</f>
        <v>0</v>
      </c>
    </row>
    <row r="573" spans="1:14">
      <c r="A573" s="2">
        <v>1</v>
      </c>
      <c r="B573" s="3">
        <v>211630</v>
      </c>
      <c r="C573" s="10" t="s">
        <v>521</v>
      </c>
      <c r="D573" s="10" t="s">
        <v>11</v>
      </c>
      <c r="E573" s="10"/>
      <c r="F573" s="5" t="e">
        <f>IF(DataExtraction="Manual",SUMIF('[1]TrialBalance (YTD)'!$C:$C,B573,'[1]TrialBalance (YTD)'!$E:$E),SUMIF('[1]TrialBalance (YTD)'!$G:$G,B573,'[1]TrialBalance (YTD)'!$I:$I))</f>
        <v>#VALUE!</v>
      </c>
      <c r="G573" s="5">
        <f>IFERROR(INDEX('[1]TrialBalance (YTD)'!$G:$S,MATCH([1]TBMapping!$C575,'[1]TrialBalance (YTD)'!G:G,0),MATCH([1]TBMapping!H$3,'[1]TrialBalance (YTD)'!$G$7:$Z$7,0)),0)</f>
        <v>0</v>
      </c>
      <c r="H573" s="5" t="e">
        <f>SUMIF('[1]TrialBalance (YTD)'!G:G,B573,'[1]TrialBalance (YTD)'!H:H)</f>
        <v>#VALUE!</v>
      </c>
      <c r="I573" s="5">
        <f>IFERROR(INDEX('[1]TrialBalance (YTD)'!$G:$S,MATCH([1]TBMapping!$C575,'[1]TrialBalance (YTD)'!G:G,0),MATCH([1]TBMapping!J$3,'[1]TrialBalance (YTD)'!$G$7:$Z$7,0)),0)</f>
        <v>0</v>
      </c>
      <c r="K573" s="5" t="e">
        <f>SUMIF('[1]TrialBalance (Quarter)'!$A:$A,B573,'[1]TrialBalance (Quarter)'!$B:$B)</f>
        <v>#VALUE!</v>
      </c>
      <c r="L573" s="5">
        <f>IFERROR(INDEX('[1]TrialBalance (Quarter)'!$A:$L,MATCH([1]TBMapping!$C575,'[1]TrialBalance (Quarter)'!A:A,0),MATCH([1]TBMapping!M$3,'[1]TrialBalance (Quarter)'!$7:$7,0)),0)</f>
        <v>0</v>
      </c>
      <c r="M573" s="5">
        <f>IFERROR(INDEX('[1]TrialBalance (Quarter)'!$A:$L,MATCH([1]TBMapping!$C575,'[1]TrialBalance (Quarter)'!A:A,0),MATCH([1]TBMapping!N$3,'[1]TrialBalance (Quarter)'!$7:$7,0)),0)</f>
        <v>0</v>
      </c>
      <c r="N573" s="5">
        <f>IFERROR(INDEX('[1]TrialBalance (Quarter)'!$A:$L,MATCH([1]TBMapping!$C575,'[1]TrialBalance (Quarter)'!A:A,0),MATCH([1]TBMapping!O$3,'[1]TrialBalance (Quarter)'!$7:$7,0)),0)</f>
        <v>0</v>
      </c>
    </row>
    <row r="574" spans="1:14">
      <c r="A574" s="2">
        <v>1</v>
      </c>
      <c r="B574" s="3">
        <v>211710</v>
      </c>
      <c r="C574" s="11" t="s">
        <v>522</v>
      </c>
      <c r="D574" s="11" t="s">
        <v>11</v>
      </c>
      <c r="E574" s="11"/>
      <c r="F574" s="5" t="e">
        <f>IF(DataExtraction="Manual",SUMIF('[1]TrialBalance (YTD)'!$C:$C,B574,'[1]TrialBalance (YTD)'!$E:$E),SUMIF('[1]TrialBalance (YTD)'!$G:$G,B574,'[1]TrialBalance (YTD)'!$I:$I))</f>
        <v>#VALUE!</v>
      </c>
      <c r="G574" s="5">
        <f>IFERROR(INDEX('[1]TrialBalance (YTD)'!$G:$S,MATCH([1]TBMapping!$C576,'[1]TrialBalance (YTD)'!G:G,0),MATCH([1]TBMapping!H$3,'[1]TrialBalance (YTD)'!$G$7:$Z$7,0)),0)</f>
        <v>0</v>
      </c>
      <c r="H574" s="5" t="e">
        <f>SUMIF('[1]TrialBalance (YTD)'!G:G,B574,'[1]TrialBalance (YTD)'!H:H)</f>
        <v>#VALUE!</v>
      </c>
      <c r="I574" s="5">
        <f>IFERROR(INDEX('[1]TrialBalance (YTD)'!$G:$S,MATCH([1]TBMapping!$C576,'[1]TrialBalance (YTD)'!G:G,0),MATCH([1]TBMapping!J$3,'[1]TrialBalance (YTD)'!$G$7:$Z$7,0)),0)</f>
        <v>0</v>
      </c>
      <c r="K574" s="5" t="e">
        <f>SUMIF('[1]TrialBalance (Quarter)'!$A:$A,B574,'[1]TrialBalance (Quarter)'!$B:$B)</f>
        <v>#VALUE!</v>
      </c>
      <c r="L574" s="5">
        <f>IFERROR(INDEX('[1]TrialBalance (Quarter)'!$A:$L,MATCH([1]TBMapping!$C576,'[1]TrialBalance (Quarter)'!A:A,0),MATCH([1]TBMapping!M$3,'[1]TrialBalance (Quarter)'!$7:$7,0)),0)</f>
        <v>0</v>
      </c>
      <c r="M574" s="5">
        <f>IFERROR(INDEX('[1]TrialBalance (Quarter)'!$A:$L,MATCH([1]TBMapping!$C576,'[1]TrialBalance (Quarter)'!A:A,0),MATCH([1]TBMapping!N$3,'[1]TrialBalance (Quarter)'!$7:$7,0)),0)</f>
        <v>0</v>
      </c>
      <c r="N574" s="5">
        <f>IFERROR(INDEX('[1]TrialBalance (Quarter)'!$A:$L,MATCH([1]TBMapping!$C576,'[1]TrialBalance (Quarter)'!A:A,0),MATCH([1]TBMapping!O$3,'[1]TrialBalance (Quarter)'!$7:$7,0)),0)</f>
        <v>0</v>
      </c>
    </row>
    <row r="575" spans="1:14">
      <c r="A575" s="2">
        <v>1</v>
      </c>
      <c r="B575" s="3">
        <v>211720</v>
      </c>
      <c r="C575" s="10" t="s">
        <v>523</v>
      </c>
      <c r="D575" s="10" t="s">
        <v>11</v>
      </c>
      <c r="E575" s="10"/>
      <c r="F575" s="5" t="e">
        <f>IF(DataExtraction="Manual",SUMIF('[1]TrialBalance (YTD)'!$C:$C,B575,'[1]TrialBalance (YTD)'!$E:$E),SUMIF('[1]TrialBalance (YTD)'!$G:$G,B575,'[1]TrialBalance (YTD)'!$I:$I))</f>
        <v>#VALUE!</v>
      </c>
      <c r="G575" s="5">
        <f>IFERROR(INDEX('[1]TrialBalance (YTD)'!$G:$S,MATCH([1]TBMapping!$C577,'[1]TrialBalance (YTD)'!G:G,0),MATCH([1]TBMapping!H$3,'[1]TrialBalance (YTD)'!$G$7:$Z$7,0)),0)</f>
        <v>0</v>
      </c>
      <c r="H575" s="5" t="e">
        <f>SUMIF('[1]TrialBalance (YTD)'!G:G,B575,'[1]TrialBalance (YTD)'!H:H)</f>
        <v>#VALUE!</v>
      </c>
      <c r="I575" s="5">
        <f>IFERROR(INDEX('[1]TrialBalance (YTD)'!$G:$S,MATCH([1]TBMapping!$C577,'[1]TrialBalance (YTD)'!G:G,0),MATCH([1]TBMapping!J$3,'[1]TrialBalance (YTD)'!$G$7:$Z$7,0)),0)</f>
        <v>0</v>
      </c>
      <c r="K575" s="5" t="e">
        <f>SUMIF('[1]TrialBalance (Quarter)'!$A:$A,B575,'[1]TrialBalance (Quarter)'!$B:$B)</f>
        <v>#VALUE!</v>
      </c>
      <c r="L575" s="5">
        <f>IFERROR(INDEX('[1]TrialBalance (Quarter)'!$A:$L,MATCH([1]TBMapping!$C577,'[1]TrialBalance (Quarter)'!A:A,0),MATCH([1]TBMapping!M$3,'[1]TrialBalance (Quarter)'!$7:$7,0)),0)</f>
        <v>0</v>
      </c>
      <c r="M575" s="5">
        <f>IFERROR(INDEX('[1]TrialBalance (Quarter)'!$A:$L,MATCH([1]TBMapping!$C577,'[1]TrialBalance (Quarter)'!A:A,0),MATCH([1]TBMapping!N$3,'[1]TrialBalance (Quarter)'!$7:$7,0)),0)</f>
        <v>0</v>
      </c>
      <c r="N575" s="5">
        <f>IFERROR(INDEX('[1]TrialBalance (Quarter)'!$A:$L,MATCH([1]TBMapping!$C577,'[1]TrialBalance (Quarter)'!A:A,0),MATCH([1]TBMapping!O$3,'[1]TrialBalance (Quarter)'!$7:$7,0)),0)</f>
        <v>0</v>
      </c>
    </row>
    <row r="576" spans="1:14">
      <c r="B576" s="3">
        <v>211799</v>
      </c>
      <c r="C576" s="11" t="s">
        <v>524</v>
      </c>
      <c r="D576" s="11" t="s">
        <v>16</v>
      </c>
      <c r="E576" s="11"/>
      <c r="F576" s="5" t="e">
        <f>IF(DataExtraction="Manual",SUMIF('[1]TrialBalance (YTD)'!$C:$C,B576,'[1]TrialBalance (YTD)'!$E:$E),SUMIF('[1]TrialBalance (YTD)'!$G:$G,B576,'[1]TrialBalance (YTD)'!$I:$I))</f>
        <v>#VALUE!</v>
      </c>
      <c r="G576" s="5">
        <f>IFERROR(INDEX('[1]TrialBalance (YTD)'!$G:$S,MATCH([1]TBMapping!$C578,'[1]TrialBalance (YTD)'!G:G,0),MATCH([1]TBMapping!H$3,'[1]TrialBalance (YTD)'!$G$7:$Z$7,0)),0)</f>
        <v>0</v>
      </c>
      <c r="H576" s="5" t="e">
        <f>SUMIF('[1]TrialBalance (YTD)'!G:G,B576,'[1]TrialBalance (YTD)'!H:H)</f>
        <v>#VALUE!</v>
      </c>
      <c r="I576" s="5">
        <f>IFERROR(INDEX('[1]TrialBalance (YTD)'!$G:$S,MATCH([1]TBMapping!$C578,'[1]TrialBalance (YTD)'!G:G,0),MATCH([1]TBMapping!J$3,'[1]TrialBalance (YTD)'!$G$7:$Z$7,0)),0)</f>
        <v>0</v>
      </c>
      <c r="K576" s="5" t="e">
        <f>SUMIF('[1]TrialBalance (Quarter)'!$A:$A,B576,'[1]TrialBalance (Quarter)'!$B:$B)</f>
        <v>#VALUE!</v>
      </c>
      <c r="L576" s="5">
        <f>IFERROR(INDEX('[1]TrialBalance (Quarter)'!$A:$L,MATCH([1]TBMapping!$C578,'[1]TrialBalance (Quarter)'!A:A,0),MATCH([1]TBMapping!M$3,'[1]TrialBalance (Quarter)'!$7:$7,0)),0)</f>
        <v>0</v>
      </c>
      <c r="M576" s="5">
        <f>IFERROR(INDEX('[1]TrialBalance (Quarter)'!$A:$L,MATCH([1]TBMapping!$C578,'[1]TrialBalance (Quarter)'!A:A,0),MATCH([1]TBMapping!N$3,'[1]TrialBalance (Quarter)'!$7:$7,0)),0)</f>
        <v>0</v>
      </c>
      <c r="N576" s="5">
        <f>IFERROR(INDEX('[1]TrialBalance (Quarter)'!$A:$L,MATCH([1]TBMapping!$C578,'[1]TrialBalance (Quarter)'!A:A,0),MATCH([1]TBMapping!O$3,'[1]TrialBalance (Quarter)'!$7:$7,0)),0)</f>
        <v>0</v>
      </c>
    </row>
    <row r="577" spans="1:14">
      <c r="B577" s="3">
        <v>211999</v>
      </c>
      <c r="C577" s="10" t="s">
        <v>525</v>
      </c>
      <c r="D577" s="10" t="s">
        <v>16</v>
      </c>
      <c r="E577" s="10"/>
      <c r="F577" s="5" t="e">
        <f>IF(DataExtraction="Manual",SUMIF('[1]TrialBalance (YTD)'!$C:$C,B577,'[1]TrialBalance (YTD)'!$E:$E),SUMIF('[1]TrialBalance (YTD)'!$G:$G,B577,'[1]TrialBalance (YTD)'!$I:$I))</f>
        <v>#VALUE!</v>
      </c>
      <c r="G577" s="5">
        <f>IFERROR(INDEX('[1]TrialBalance (YTD)'!$G:$S,MATCH([1]TBMapping!$C579,'[1]TrialBalance (YTD)'!G:G,0),MATCH([1]TBMapping!H$3,'[1]TrialBalance (YTD)'!$G$7:$Z$7,0)),0)</f>
        <v>0</v>
      </c>
      <c r="H577" s="5" t="e">
        <f>SUMIF('[1]TrialBalance (YTD)'!G:G,B577,'[1]TrialBalance (YTD)'!H:H)</f>
        <v>#VALUE!</v>
      </c>
      <c r="I577" s="5">
        <f>IFERROR(INDEX('[1]TrialBalance (YTD)'!$G:$S,MATCH([1]TBMapping!$C579,'[1]TrialBalance (YTD)'!G:G,0),MATCH([1]TBMapping!J$3,'[1]TrialBalance (YTD)'!$G$7:$Z$7,0)),0)</f>
        <v>0</v>
      </c>
      <c r="K577" s="5" t="e">
        <f>SUMIF('[1]TrialBalance (Quarter)'!$A:$A,B577,'[1]TrialBalance (Quarter)'!$B:$B)</f>
        <v>#VALUE!</v>
      </c>
      <c r="L577" s="5">
        <f>IFERROR(INDEX('[1]TrialBalance (Quarter)'!$A:$L,MATCH([1]TBMapping!$C579,'[1]TrialBalance (Quarter)'!A:A,0),MATCH([1]TBMapping!M$3,'[1]TrialBalance (Quarter)'!$7:$7,0)),0)</f>
        <v>0</v>
      </c>
      <c r="M577" s="5">
        <f>IFERROR(INDEX('[1]TrialBalance (Quarter)'!$A:$L,MATCH([1]TBMapping!$C579,'[1]TrialBalance (Quarter)'!A:A,0),MATCH([1]TBMapping!N$3,'[1]TrialBalance (Quarter)'!$7:$7,0)),0)</f>
        <v>0</v>
      </c>
      <c r="N577" s="5">
        <f>IFERROR(INDEX('[1]TrialBalance (Quarter)'!$A:$L,MATCH([1]TBMapping!$C579,'[1]TrialBalance (Quarter)'!A:A,0),MATCH([1]TBMapping!O$3,'[1]TrialBalance (Quarter)'!$7:$7,0)),0)</f>
        <v>0</v>
      </c>
    </row>
    <row r="578" spans="1:14">
      <c r="B578" s="3">
        <v>212000</v>
      </c>
      <c r="C578" s="11" t="s">
        <v>526</v>
      </c>
      <c r="D578" s="11" t="s">
        <v>5</v>
      </c>
      <c r="E578" s="11"/>
      <c r="F578" s="5" t="e">
        <f>IF(DataExtraction="Manual",SUMIF('[1]TrialBalance (YTD)'!$C:$C,B578,'[1]TrialBalance (YTD)'!$E:$E),SUMIF('[1]TrialBalance (YTD)'!$G:$G,B578,'[1]TrialBalance (YTD)'!$I:$I))</f>
        <v>#VALUE!</v>
      </c>
      <c r="G578" s="5">
        <f>IFERROR(INDEX('[1]TrialBalance (YTD)'!$G:$S,MATCH([1]TBMapping!$C580,'[1]TrialBalance (YTD)'!G:G,0),MATCH([1]TBMapping!H$3,'[1]TrialBalance (YTD)'!$G$7:$Z$7,0)),0)</f>
        <v>0</v>
      </c>
      <c r="H578" s="5" t="e">
        <f>SUMIF('[1]TrialBalance (YTD)'!G:G,B578,'[1]TrialBalance (YTD)'!H:H)</f>
        <v>#VALUE!</v>
      </c>
      <c r="I578" s="5">
        <f>IFERROR(INDEX('[1]TrialBalance (YTD)'!$G:$S,MATCH([1]TBMapping!$C580,'[1]TrialBalance (YTD)'!G:G,0),MATCH([1]TBMapping!J$3,'[1]TrialBalance (YTD)'!$G$7:$Z$7,0)),0)</f>
        <v>0</v>
      </c>
      <c r="K578" s="5" t="e">
        <f>SUMIF('[1]TrialBalance (Quarter)'!$A:$A,B578,'[1]TrialBalance (Quarter)'!$B:$B)</f>
        <v>#VALUE!</v>
      </c>
      <c r="L578" s="5">
        <f>IFERROR(INDEX('[1]TrialBalance (Quarter)'!$A:$L,MATCH([1]TBMapping!$C580,'[1]TrialBalance (Quarter)'!A:A,0),MATCH([1]TBMapping!M$3,'[1]TrialBalance (Quarter)'!$7:$7,0)),0)</f>
        <v>0</v>
      </c>
      <c r="M578" s="5">
        <f>IFERROR(INDEX('[1]TrialBalance (Quarter)'!$A:$L,MATCH([1]TBMapping!$C580,'[1]TrialBalance (Quarter)'!A:A,0),MATCH([1]TBMapping!N$3,'[1]TrialBalance (Quarter)'!$7:$7,0)),0)</f>
        <v>0</v>
      </c>
      <c r="N578" s="5">
        <f>IFERROR(INDEX('[1]TrialBalance (Quarter)'!$A:$L,MATCH([1]TBMapping!$C580,'[1]TrialBalance (Quarter)'!A:A,0),MATCH([1]TBMapping!O$3,'[1]TrialBalance (Quarter)'!$7:$7,0)),0)</f>
        <v>0</v>
      </c>
    </row>
    <row r="579" spans="1:14">
      <c r="A579" s="2">
        <v>13</v>
      </c>
      <c r="B579" s="3">
        <v>212110</v>
      </c>
      <c r="C579" s="10" t="s">
        <v>507</v>
      </c>
      <c r="D579" s="10" t="s">
        <v>11</v>
      </c>
      <c r="E579" s="10"/>
      <c r="F579" s="5" t="e">
        <f>IF(DataExtraction="Manual",SUMIF('[1]TrialBalance (YTD)'!$C:$C,B579,'[1]TrialBalance (YTD)'!$E:$E),SUMIF('[1]TrialBalance (YTD)'!$G:$G,B579,'[1]TrialBalance (YTD)'!$I:$I))</f>
        <v>#VALUE!</v>
      </c>
      <c r="G579" s="5">
        <f>IFERROR(INDEX('[1]TrialBalance (YTD)'!$G:$S,MATCH([1]TBMapping!$C581,'[1]TrialBalance (YTD)'!G:G,0),MATCH([1]TBMapping!H$3,'[1]TrialBalance (YTD)'!$G$7:$Z$7,0)),0)</f>
        <v>0</v>
      </c>
      <c r="H579" s="5" t="e">
        <f>SUMIF('[1]TrialBalance (YTD)'!G:G,B579,'[1]TrialBalance (YTD)'!H:H)</f>
        <v>#VALUE!</v>
      </c>
      <c r="I579" s="5">
        <f>IFERROR(INDEX('[1]TrialBalance (YTD)'!$G:$S,MATCH([1]TBMapping!$C581,'[1]TrialBalance (YTD)'!G:G,0),MATCH([1]TBMapping!J$3,'[1]TrialBalance (YTD)'!$G$7:$Z$7,0)),0)</f>
        <v>453520285.05000001</v>
      </c>
      <c r="K579" s="5" t="e">
        <f>SUMIF('[1]TrialBalance (Quarter)'!$A:$A,B579,'[1]TrialBalance (Quarter)'!$B:$B)</f>
        <v>#VALUE!</v>
      </c>
      <c r="L579" s="5">
        <f>IFERROR(INDEX('[1]TrialBalance (Quarter)'!$A:$L,MATCH([1]TBMapping!$C581,'[1]TrialBalance (Quarter)'!A:A,0),MATCH([1]TBMapping!M$3,'[1]TrialBalance (Quarter)'!$7:$7,0)),0)</f>
        <v>0</v>
      </c>
      <c r="M579" s="5">
        <f>IFERROR(INDEX('[1]TrialBalance (Quarter)'!$A:$L,MATCH([1]TBMapping!$C581,'[1]TrialBalance (Quarter)'!A:A,0),MATCH([1]TBMapping!N$3,'[1]TrialBalance (Quarter)'!$7:$7,0)),0)</f>
        <v>0</v>
      </c>
      <c r="N579" s="5">
        <f>IFERROR(INDEX('[1]TrialBalance (Quarter)'!$A:$L,MATCH([1]TBMapping!$C581,'[1]TrialBalance (Quarter)'!A:A,0),MATCH([1]TBMapping!O$3,'[1]TrialBalance (Quarter)'!$7:$7,0)),0)</f>
        <v>0</v>
      </c>
    </row>
    <row r="580" spans="1:14">
      <c r="A580" s="2">
        <v>13</v>
      </c>
      <c r="B580" s="3">
        <v>212112</v>
      </c>
      <c r="C580" s="11" t="s">
        <v>527</v>
      </c>
      <c r="D580" s="11" t="s">
        <v>11</v>
      </c>
      <c r="E580" s="11"/>
      <c r="F580" s="5" t="e">
        <f>IF(DataExtraction="Manual",SUMIF('[1]TrialBalance (YTD)'!$C:$C,B580,'[1]TrialBalance (YTD)'!$E:$E),SUMIF('[1]TrialBalance (YTD)'!$G:$G,B580,'[1]TrialBalance (YTD)'!$I:$I))</f>
        <v>#VALUE!</v>
      </c>
      <c r="G580" s="5">
        <f>IFERROR(INDEX('[1]TrialBalance (YTD)'!$G:$S,MATCH([1]TBMapping!$C582,'[1]TrialBalance (YTD)'!G:G,0),MATCH([1]TBMapping!H$3,'[1]TrialBalance (YTD)'!$G$7:$Z$7,0)),0)</f>
        <v>0</v>
      </c>
      <c r="H580" s="5" t="e">
        <f>SUMIF('[1]TrialBalance (YTD)'!G:G,B580,'[1]TrialBalance (YTD)'!H:H)</f>
        <v>#VALUE!</v>
      </c>
      <c r="I580" s="5">
        <f>IFERROR(INDEX('[1]TrialBalance (YTD)'!$G:$S,MATCH([1]TBMapping!$C582,'[1]TrialBalance (YTD)'!G:G,0),MATCH([1]TBMapping!J$3,'[1]TrialBalance (YTD)'!$G$7:$Z$7,0)),0)</f>
        <v>0</v>
      </c>
      <c r="K580" s="5" t="e">
        <f>SUMIF('[1]TrialBalance (Quarter)'!$A:$A,B580,'[1]TrialBalance (Quarter)'!$B:$B)</f>
        <v>#VALUE!</v>
      </c>
      <c r="L580" s="5">
        <f>IFERROR(INDEX('[1]TrialBalance (Quarter)'!$A:$L,MATCH([1]TBMapping!$C582,'[1]TrialBalance (Quarter)'!A:A,0),MATCH([1]TBMapping!M$3,'[1]TrialBalance (Quarter)'!$7:$7,0)),0)</f>
        <v>0</v>
      </c>
      <c r="M580" s="5">
        <f>IFERROR(INDEX('[1]TrialBalance (Quarter)'!$A:$L,MATCH([1]TBMapping!$C582,'[1]TrialBalance (Quarter)'!A:A,0),MATCH([1]TBMapping!N$3,'[1]TrialBalance (Quarter)'!$7:$7,0)),0)</f>
        <v>0</v>
      </c>
      <c r="N580" s="5">
        <f>IFERROR(INDEX('[1]TrialBalance (Quarter)'!$A:$L,MATCH([1]TBMapping!$C582,'[1]TrialBalance (Quarter)'!A:A,0),MATCH([1]TBMapping!O$3,'[1]TrialBalance (Quarter)'!$7:$7,0)),0)</f>
        <v>0</v>
      </c>
    </row>
    <row r="581" spans="1:14">
      <c r="A581" s="2">
        <v>13</v>
      </c>
      <c r="B581" s="3">
        <v>212120</v>
      </c>
      <c r="C581" s="10" t="s">
        <v>509</v>
      </c>
      <c r="D581" s="10" t="s">
        <v>11</v>
      </c>
      <c r="E581" s="10"/>
      <c r="F581" s="5" t="e">
        <f>IF(DataExtraction="Manual",SUMIF('[1]TrialBalance (YTD)'!$C:$C,B581,'[1]TrialBalance (YTD)'!$E:$E),SUMIF('[1]TrialBalance (YTD)'!$G:$G,B581,'[1]TrialBalance (YTD)'!$I:$I))</f>
        <v>#VALUE!</v>
      </c>
      <c r="G581" s="5">
        <f>IFERROR(INDEX('[1]TrialBalance (YTD)'!$G:$S,MATCH([1]TBMapping!$C583,'[1]TrialBalance (YTD)'!G:G,0),MATCH([1]TBMapping!H$3,'[1]TrialBalance (YTD)'!$G$7:$Z$7,0)),0)</f>
        <v>0</v>
      </c>
      <c r="H581" s="5" t="e">
        <f>SUMIF('[1]TrialBalance (YTD)'!G:G,B581,'[1]TrialBalance (YTD)'!H:H)</f>
        <v>#VALUE!</v>
      </c>
      <c r="I581" s="5">
        <f>IFERROR(INDEX('[1]TrialBalance (YTD)'!$G:$S,MATCH([1]TBMapping!$C583,'[1]TrialBalance (YTD)'!G:G,0),MATCH([1]TBMapping!J$3,'[1]TrialBalance (YTD)'!$G$7:$Z$7,0)),0)</f>
        <v>15456730.689999999</v>
      </c>
      <c r="K581" s="5" t="e">
        <f>SUMIF('[1]TrialBalance (Quarter)'!$A:$A,B581,'[1]TrialBalance (Quarter)'!$B:$B)</f>
        <v>#VALUE!</v>
      </c>
      <c r="L581" s="5">
        <f>IFERROR(INDEX('[1]TrialBalance (Quarter)'!$A:$L,MATCH([1]TBMapping!$C583,'[1]TrialBalance (Quarter)'!A:A,0),MATCH([1]TBMapping!M$3,'[1]TrialBalance (Quarter)'!$7:$7,0)),0)</f>
        <v>0</v>
      </c>
      <c r="M581" s="5">
        <f>IFERROR(INDEX('[1]TrialBalance (Quarter)'!$A:$L,MATCH([1]TBMapping!$C583,'[1]TrialBalance (Quarter)'!A:A,0),MATCH([1]TBMapping!N$3,'[1]TrialBalance (Quarter)'!$7:$7,0)),0)</f>
        <v>-2434431.1</v>
      </c>
      <c r="N581" s="5">
        <f>IFERROR(INDEX('[1]TrialBalance (Quarter)'!$A:$L,MATCH([1]TBMapping!$C583,'[1]TrialBalance (Quarter)'!A:A,0),MATCH([1]TBMapping!O$3,'[1]TrialBalance (Quarter)'!$7:$7,0)),0)</f>
        <v>-5933121.9900000002</v>
      </c>
    </row>
    <row r="582" spans="1:14">
      <c r="A582" s="2">
        <v>13</v>
      </c>
      <c r="B582" s="3">
        <v>212130</v>
      </c>
      <c r="C582" s="11" t="s">
        <v>510</v>
      </c>
      <c r="D582" s="11" t="s">
        <v>11</v>
      </c>
      <c r="E582" s="11"/>
      <c r="F582" s="5" t="e">
        <f>IF(DataExtraction="Manual",SUMIF('[1]TrialBalance (YTD)'!$C:$C,B582,'[1]TrialBalance (YTD)'!$E:$E),SUMIF('[1]TrialBalance (YTD)'!$G:$G,B582,'[1]TrialBalance (YTD)'!$I:$I))</f>
        <v>#VALUE!</v>
      </c>
      <c r="G582" s="5">
        <f>IFERROR(INDEX('[1]TrialBalance (YTD)'!$G:$S,MATCH([1]TBMapping!$C584,'[1]TrialBalance (YTD)'!G:G,0),MATCH([1]TBMapping!H$3,'[1]TrialBalance (YTD)'!$G$7:$Z$7,0)),0)</f>
        <v>0</v>
      </c>
      <c r="H582" s="5" t="e">
        <f>SUMIF('[1]TrialBalance (YTD)'!G:G,B582,'[1]TrialBalance (YTD)'!H:H)</f>
        <v>#VALUE!</v>
      </c>
      <c r="I582" s="5">
        <f>IFERROR(INDEX('[1]TrialBalance (YTD)'!$G:$S,MATCH([1]TBMapping!$C584,'[1]TrialBalance (YTD)'!G:G,0),MATCH([1]TBMapping!J$3,'[1]TrialBalance (YTD)'!$G$7:$Z$7,0)),0)</f>
        <v>0</v>
      </c>
      <c r="K582" s="5" t="e">
        <f>SUMIF('[1]TrialBalance (Quarter)'!$A:$A,B582,'[1]TrialBalance (Quarter)'!$B:$B)</f>
        <v>#VALUE!</v>
      </c>
      <c r="L582" s="5">
        <f>IFERROR(INDEX('[1]TrialBalance (Quarter)'!$A:$L,MATCH([1]TBMapping!$C584,'[1]TrialBalance (Quarter)'!A:A,0),MATCH([1]TBMapping!M$3,'[1]TrialBalance (Quarter)'!$7:$7,0)),0)</f>
        <v>0</v>
      </c>
      <c r="M582" s="5">
        <f>IFERROR(INDEX('[1]TrialBalance (Quarter)'!$A:$L,MATCH([1]TBMapping!$C584,'[1]TrialBalance (Quarter)'!A:A,0),MATCH([1]TBMapping!N$3,'[1]TrialBalance (Quarter)'!$7:$7,0)),0)</f>
        <v>0</v>
      </c>
      <c r="N582" s="5">
        <f>IFERROR(INDEX('[1]TrialBalance (Quarter)'!$A:$L,MATCH([1]TBMapping!$C584,'[1]TrialBalance (Quarter)'!A:A,0),MATCH([1]TBMapping!O$3,'[1]TrialBalance (Quarter)'!$7:$7,0)),0)</f>
        <v>0</v>
      </c>
    </row>
    <row r="583" spans="1:14">
      <c r="A583" s="2">
        <v>13</v>
      </c>
      <c r="B583" s="3">
        <v>212135</v>
      </c>
      <c r="C583" s="10" t="s">
        <v>511</v>
      </c>
      <c r="D583" s="10" t="s">
        <v>11</v>
      </c>
      <c r="E583" s="10"/>
      <c r="F583" s="5" t="e">
        <f>IF(DataExtraction="Manual",SUMIF('[1]TrialBalance (YTD)'!$C:$C,B583,'[1]TrialBalance (YTD)'!$E:$E),SUMIF('[1]TrialBalance (YTD)'!$G:$G,B583,'[1]TrialBalance (YTD)'!$I:$I))</f>
        <v>#VALUE!</v>
      </c>
      <c r="G583" s="5">
        <f>IFERROR(INDEX('[1]TrialBalance (YTD)'!$G:$S,MATCH([1]TBMapping!$C585,'[1]TrialBalance (YTD)'!G:G,0),MATCH([1]TBMapping!H$3,'[1]TrialBalance (YTD)'!$G$7:$Z$7,0)),0)</f>
        <v>0</v>
      </c>
      <c r="H583" s="5" t="e">
        <f>SUMIF('[1]TrialBalance (YTD)'!G:G,B583,'[1]TrialBalance (YTD)'!H:H)</f>
        <v>#VALUE!</v>
      </c>
      <c r="I583" s="5">
        <f>IFERROR(INDEX('[1]TrialBalance (YTD)'!$G:$S,MATCH([1]TBMapping!$C585,'[1]TrialBalance (YTD)'!G:G,0),MATCH([1]TBMapping!J$3,'[1]TrialBalance (YTD)'!$G$7:$Z$7,0)),0)</f>
        <v>0</v>
      </c>
      <c r="K583" s="5" t="e">
        <f>SUMIF('[1]TrialBalance (Quarter)'!$A:$A,B583,'[1]TrialBalance (Quarter)'!$B:$B)</f>
        <v>#VALUE!</v>
      </c>
      <c r="L583" s="5">
        <f>IFERROR(INDEX('[1]TrialBalance (Quarter)'!$A:$L,MATCH([1]TBMapping!$C585,'[1]TrialBalance (Quarter)'!A:A,0),MATCH([1]TBMapping!M$3,'[1]TrialBalance (Quarter)'!$7:$7,0)),0)</f>
        <v>0</v>
      </c>
      <c r="M583" s="5">
        <f>IFERROR(INDEX('[1]TrialBalance (Quarter)'!$A:$L,MATCH([1]TBMapping!$C585,'[1]TrialBalance (Quarter)'!A:A,0),MATCH([1]TBMapping!N$3,'[1]TrialBalance (Quarter)'!$7:$7,0)),0)</f>
        <v>0</v>
      </c>
      <c r="N583" s="5">
        <f>IFERROR(INDEX('[1]TrialBalance (Quarter)'!$A:$L,MATCH([1]TBMapping!$C585,'[1]TrialBalance (Quarter)'!A:A,0),MATCH([1]TBMapping!O$3,'[1]TrialBalance (Quarter)'!$7:$7,0)),0)</f>
        <v>0</v>
      </c>
    </row>
    <row r="584" spans="1:14">
      <c r="A584" s="2">
        <v>13</v>
      </c>
      <c r="B584" s="3">
        <v>212140</v>
      </c>
      <c r="C584" s="11" t="s">
        <v>528</v>
      </c>
      <c r="D584" s="11" t="s">
        <v>11</v>
      </c>
      <c r="E584" s="11"/>
      <c r="F584" s="5" t="e">
        <f>IF(DataExtraction="Manual",SUMIF('[1]TrialBalance (YTD)'!$C:$C,B584,'[1]TrialBalance (YTD)'!$E:$E),SUMIF('[1]TrialBalance (YTD)'!$G:$G,B584,'[1]TrialBalance (YTD)'!$I:$I))</f>
        <v>#VALUE!</v>
      </c>
      <c r="G584" s="5">
        <f>IFERROR(INDEX('[1]TrialBalance (YTD)'!$G:$S,MATCH([1]TBMapping!$C586,'[1]TrialBalance (YTD)'!G:G,0),MATCH([1]TBMapping!H$3,'[1]TrialBalance (YTD)'!$G$7:$Z$7,0)),0)</f>
        <v>0</v>
      </c>
      <c r="H584" s="5" t="e">
        <f>SUMIF('[1]TrialBalance (YTD)'!G:G,B584,'[1]TrialBalance (YTD)'!H:H)</f>
        <v>#VALUE!</v>
      </c>
      <c r="I584" s="5">
        <f>IFERROR(INDEX('[1]TrialBalance (YTD)'!$G:$S,MATCH([1]TBMapping!$C586,'[1]TrialBalance (YTD)'!G:G,0),MATCH([1]TBMapping!J$3,'[1]TrialBalance (YTD)'!$G$7:$Z$7,0)),0)</f>
        <v>0</v>
      </c>
      <c r="K584" s="5" t="e">
        <f>SUMIF('[1]TrialBalance (Quarter)'!$A:$A,B584,'[1]TrialBalance (Quarter)'!$B:$B)</f>
        <v>#VALUE!</v>
      </c>
      <c r="L584" s="5">
        <f>IFERROR(INDEX('[1]TrialBalance (Quarter)'!$A:$L,MATCH([1]TBMapping!$C586,'[1]TrialBalance (Quarter)'!A:A,0),MATCH([1]TBMapping!M$3,'[1]TrialBalance (Quarter)'!$7:$7,0)),0)</f>
        <v>0</v>
      </c>
      <c r="M584" s="5">
        <f>IFERROR(INDEX('[1]TrialBalance (Quarter)'!$A:$L,MATCH([1]TBMapping!$C586,'[1]TrialBalance (Quarter)'!A:A,0),MATCH([1]TBMapping!N$3,'[1]TrialBalance (Quarter)'!$7:$7,0)),0)</f>
        <v>0</v>
      </c>
      <c r="N584" s="5">
        <f>IFERROR(INDEX('[1]TrialBalance (Quarter)'!$A:$L,MATCH([1]TBMapping!$C586,'[1]TrialBalance (Quarter)'!A:A,0),MATCH([1]TBMapping!O$3,'[1]TrialBalance (Quarter)'!$7:$7,0)),0)</f>
        <v>0</v>
      </c>
    </row>
    <row r="585" spans="1:14">
      <c r="A585" s="2">
        <v>13</v>
      </c>
      <c r="B585" s="3">
        <v>212145</v>
      </c>
      <c r="C585" s="10" t="s">
        <v>529</v>
      </c>
      <c r="D585" s="10" t="s">
        <v>11</v>
      </c>
      <c r="E585" s="10"/>
      <c r="F585" s="5" t="e">
        <f>IF(DataExtraction="Manual",SUMIF('[1]TrialBalance (YTD)'!$C:$C,B585,'[1]TrialBalance (YTD)'!$E:$E),SUMIF('[1]TrialBalance (YTD)'!$G:$G,B585,'[1]TrialBalance (YTD)'!$I:$I))</f>
        <v>#VALUE!</v>
      </c>
      <c r="G585" s="5">
        <f>IFERROR(INDEX('[1]TrialBalance (YTD)'!$G:$S,MATCH([1]TBMapping!$C587,'[1]TrialBalance (YTD)'!G:G,0),MATCH([1]TBMapping!H$3,'[1]TrialBalance (YTD)'!$G$7:$Z$7,0)),0)</f>
        <v>0</v>
      </c>
      <c r="H585" s="5" t="e">
        <f>SUMIF('[1]TrialBalance (YTD)'!G:G,B585,'[1]TrialBalance (YTD)'!H:H)</f>
        <v>#VALUE!</v>
      </c>
      <c r="I585" s="5">
        <f>IFERROR(INDEX('[1]TrialBalance (YTD)'!$G:$S,MATCH([1]TBMapping!$C587,'[1]TrialBalance (YTD)'!G:G,0),MATCH([1]TBMapping!J$3,'[1]TrialBalance (YTD)'!$G$7:$Z$7,0)),0)</f>
        <v>0</v>
      </c>
      <c r="K585" s="5" t="e">
        <f>SUMIF('[1]TrialBalance (Quarter)'!$A:$A,B585,'[1]TrialBalance (Quarter)'!$B:$B)</f>
        <v>#VALUE!</v>
      </c>
      <c r="L585" s="5">
        <f>IFERROR(INDEX('[1]TrialBalance (Quarter)'!$A:$L,MATCH([1]TBMapping!$C587,'[1]TrialBalance (Quarter)'!A:A,0),MATCH([1]TBMapping!M$3,'[1]TrialBalance (Quarter)'!$7:$7,0)),0)</f>
        <v>0</v>
      </c>
      <c r="M585" s="5">
        <f>IFERROR(INDEX('[1]TrialBalance (Quarter)'!$A:$L,MATCH([1]TBMapping!$C587,'[1]TrialBalance (Quarter)'!A:A,0),MATCH([1]TBMapping!N$3,'[1]TrialBalance (Quarter)'!$7:$7,0)),0)</f>
        <v>0</v>
      </c>
      <c r="N585" s="5">
        <f>IFERROR(INDEX('[1]TrialBalance (Quarter)'!$A:$L,MATCH([1]TBMapping!$C587,'[1]TrialBalance (Quarter)'!A:A,0),MATCH([1]TBMapping!O$3,'[1]TrialBalance (Quarter)'!$7:$7,0)),0)</f>
        <v>0</v>
      </c>
    </row>
    <row r="586" spans="1:14">
      <c r="A586" s="2">
        <v>13</v>
      </c>
      <c r="B586" s="3">
        <v>212150</v>
      </c>
      <c r="C586" s="11" t="s">
        <v>530</v>
      </c>
      <c r="D586" s="11" t="s">
        <v>11</v>
      </c>
      <c r="E586" s="11"/>
      <c r="F586" s="5" t="e">
        <f>IF(DataExtraction="Manual",SUMIF('[1]TrialBalance (YTD)'!$C:$C,B586,'[1]TrialBalance (YTD)'!$E:$E),SUMIF('[1]TrialBalance (YTD)'!$G:$G,B586,'[1]TrialBalance (YTD)'!$I:$I))</f>
        <v>#VALUE!</v>
      </c>
      <c r="G586" s="5">
        <f>IFERROR(INDEX('[1]TrialBalance (YTD)'!$G:$S,MATCH([1]TBMapping!$C588,'[1]TrialBalance (YTD)'!G:G,0),MATCH([1]TBMapping!H$3,'[1]TrialBalance (YTD)'!$G$7:$Z$7,0)),0)</f>
        <v>0</v>
      </c>
      <c r="H586" s="5" t="e">
        <f>SUMIF('[1]TrialBalance (YTD)'!G:G,B586,'[1]TrialBalance (YTD)'!H:H)</f>
        <v>#VALUE!</v>
      </c>
      <c r="I586" s="5">
        <f>IFERROR(INDEX('[1]TrialBalance (YTD)'!$G:$S,MATCH([1]TBMapping!$C588,'[1]TrialBalance (YTD)'!G:G,0),MATCH([1]TBMapping!J$3,'[1]TrialBalance (YTD)'!$G$7:$Z$7,0)),0)</f>
        <v>0</v>
      </c>
      <c r="K586" s="5" t="e">
        <f>SUMIF('[1]TrialBalance (Quarter)'!$A:$A,B586,'[1]TrialBalance (Quarter)'!$B:$B)</f>
        <v>#VALUE!</v>
      </c>
      <c r="L586" s="5">
        <f>IFERROR(INDEX('[1]TrialBalance (Quarter)'!$A:$L,MATCH([1]TBMapping!$C588,'[1]TrialBalance (Quarter)'!A:A,0),MATCH([1]TBMapping!M$3,'[1]TrialBalance (Quarter)'!$7:$7,0)),0)</f>
        <v>0</v>
      </c>
      <c r="M586" s="5">
        <f>IFERROR(INDEX('[1]TrialBalance (Quarter)'!$A:$L,MATCH([1]TBMapping!$C588,'[1]TrialBalance (Quarter)'!A:A,0),MATCH([1]TBMapping!N$3,'[1]TrialBalance (Quarter)'!$7:$7,0)),0)</f>
        <v>0</v>
      </c>
      <c r="N586" s="5">
        <f>IFERROR(INDEX('[1]TrialBalance (Quarter)'!$A:$L,MATCH([1]TBMapping!$C588,'[1]TrialBalance (Quarter)'!A:A,0),MATCH([1]TBMapping!O$3,'[1]TrialBalance (Quarter)'!$7:$7,0)),0)</f>
        <v>0</v>
      </c>
    </row>
    <row r="587" spans="1:14">
      <c r="A587" s="2">
        <v>13</v>
      </c>
      <c r="B587" s="3">
        <v>212210</v>
      </c>
      <c r="C587" s="10" t="s">
        <v>531</v>
      </c>
      <c r="D587" s="10" t="s">
        <v>11</v>
      </c>
      <c r="E587" s="10"/>
      <c r="F587" s="5" t="e">
        <f>IF(DataExtraction="Manual",SUMIF('[1]TrialBalance (YTD)'!$C:$C,B587,'[1]TrialBalance (YTD)'!$E:$E),SUMIF('[1]TrialBalance (YTD)'!$G:$G,B587,'[1]TrialBalance (YTD)'!$I:$I))</f>
        <v>#VALUE!</v>
      </c>
      <c r="G587" s="5">
        <f>IFERROR(INDEX('[1]TrialBalance (YTD)'!$G:$S,MATCH([1]TBMapping!$C589,'[1]TrialBalance (YTD)'!G:G,0),MATCH([1]TBMapping!H$3,'[1]TrialBalance (YTD)'!$G$7:$Z$7,0)),0)</f>
        <v>0</v>
      </c>
      <c r="H587" s="5" t="e">
        <f>SUMIF('[1]TrialBalance (YTD)'!G:G,B587,'[1]TrialBalance (YTD)'!H:H)</f>
        <v>#VALUE!</v>
      </c>
      <c r="I587" s="5">
        <f>IFERROR(INDEX('[1]TrialBalance (YTD)'!$G:$S,MATCH([1]TBMapping!$C589,'[1]TrialBalance (YTD)'!G:G,0),MATCH([1]TBMapping!J$3,'[1]TrialBalance (YTD)'!$G$7:$Z$7,0)),0)</f>
        <v>0</v>
      </c>
      <c r="K587" s="5" t="e">
        <f>SUMIF('[1]TrialBalance (Quarter)'!$A:$A,B587,'[1]TrialBalance (Quarter)'!$B:$B)</f>
        <v>#VALUE!</v>
      </c>
      <c r="L587" s="5">
        <f>IFERROR(INDEX('[1]TrialBalance (Quarter)'!$A:$L,MATCH([1]TBMapping!$C589,'[1]TrialBalance (Quarter)'!A:A,0),MATCH([1]TBMapping!M$3,'[1]TrialBalance (Quarter)'!$7:$7,0)),0)</f>
        <v>0</v>
      </c>
      <c r="M587" s="5">
        <f>IFERROR(INDEX('[1]TrialBalance (Quarter)'!$A:$L,MATCH([1]TBMapping!$C589,'[1]TrialBalance (Quarter)'!A:A,0),MATCH([1]TBMapping!N$3,'[1]TrialBalance (Quarter)'!$7:$7,0)),0)</f>
        <v>0</v>
      </c>
      <c r="N587" s="5">
        <f>IFERROR(INDEX('[1]TrialBalance (Quarter)'!$A:$L,MATCH([1]TBMapping!$C589,'[1]TrialBalance (Quarter)'!A:A,0),MATCH([1]TBMapping!O$3,'[1]TrialBalance (Quarter)'!$7:$7,0)),0)</f>
        <v>0</v>
      </c>
    </row>
    <row r="588" spans="1:14">
      <c r="A588" s="2">
        <v>13</v>
      </c>
      <c r="B588" s="3">
        <v>212220</v>
      </c>
      <c r="C588" s="11" t="s">
        <v>532</v>
      </c>
      <c r="D588" s="11" t="s">
        <v>11</v>
      </c>
      <c r="E588" s="11"/>
      <c r="F588" s="5" t="e">
        <f>IF(DataExtraction="Manual",SUMIF('[1]TrialBalance (YTD)'!$C:$C,B588,'[1]TrialBalance (YTD)'!$E:$E),SUMIF('[1]TrialBalance (YTD)'!$G:$G,B588,'[1]TrialBalance (YTD)'!$I:$I))</f>
        <v>#VALUE!</v>
      </c>
      <c r="G588" s="5">
        <f>IFERROR(INDEX('[1]TrialBalance (YTD)'!$G:$S,MATCH([1]TBMapping!$C590,'[1]TrialBalance (YTD)'!G:G,0),MATCH([1]TBMapping!H$3,'[1]TrialBalance (YTD)'!$G$7:$Z$7,0)),0)</f>
        <v>0</v>
      </c>
      <c r="H588" s="5" t="e">
        <f>SUMIF('[1]TrialBalance (YTD)'!G:G,B588,'[1]TrialBalance (YTD)'!H:H)</f>
        <v>#VALUE!</v>
      </c>
      <c r="I588" s="5">
        <f>IFERROR(INDEX('[1]TrialBalance (YTD)'!$G:$S,MATCH([1]TBMapping!$C590,'[1]TrialBalance (YTD)'!G:G,0),MATCH([1]TBMapping!J$3,'[1]TrialBalance (YTD)'!$G$7:$Z$7,0)),0)</f>
        <v>0</v>
      </c>
      <c r="K588" s="5" t="e">
        <f>SUMIF('[1]TrialBalance (Quarter)'!$A:$A,B588,'[1]TrialBalance (Quarter)'!$B:$B)</f>
        <v>#VALUE!</v>
      </c>
      <c r="L588" s="5">
        <f>IFERROR(INDEX('[1]TrialBalance (Quarter)'!$A:$L,MATCH([1]TBMapping!$C590,'[1]TrialBalance (Quarter)'!A:A,0),MATCH([1]TBMapping!M$3,'[1]TrialBalance (Quarter)'!$7:$7,0)),0)</f>
        <v>0</v>
      </c>
      <c r="M588" s="5">
        <f>IFERROR(INDEX('[1]TrialBalance (Quarter)'!$A:$L,MATCH([1]TBMapping!$C590,'[1]TrialBalance (Quarter)'!A:A,0),MATCH([1]TBMapping!N$3,'[1]TrialBalance (Quarter)'!$7:$7,0)),0)</f>
        <v>0</v>
      </c>
      <c r="N588" s="5">
        <f>IFERROR(INDEX('[1]TrialBalance (Quarter)'!$A:$L,MATCH([1]TBMapping!$C590,'[1]TrialBalance (Quarter)'!A:A,0),MATCH([1]TBMapping!O$3,'[1]TrialBalance (Quarter)'!$7:$7,0)),0)</f>
        <v>0</v>
      </c>
    </row>
    <row r="589" spans="1:14">
      <c r="A589" s="2">
        <v>13</v>
      </c>
      <c r="B589" s="3">
        <v>212230</v>
      </c>
      <c r="C589" s="10" t="s">
        <v>533</v>
      </c>
      <c r="D589" s="10" t="s">
        <v>11</v>
      </c>
      <c r="E589" s="10"/>
      <c r="F589" s="5" t="e">
        <f>IF(DataExtraction="Manual",SUMIF('[1]TrialBalance (YTD)'!$C:$C,B589,'[1]TrialBalance (YTD)'!$E:$E),SUMIF('[1]TrialBalance (YTD)'!$G:$G,B589,'[1]TrialBalance (YTD)'!$I:$I))</f>
        <v>#VALUE!</v>
      </c>
      <c r="G589" s="5">
        <f>IFERROR(INDEX('[1]TrialBalance (YTD)'!$G:$S,MATCH([1]TBMapping!$C591,'[1]TrialBalance (YTD)'!G:G,0),MATCH([1]TBMapping!H$3,'[1]TrialBalance (YTD)'!$G$7:$Z$7,0)),0)</f>
        <v>0</v>
      </c>
      <c r="H589" s="5" t="e">
        <f>SUMIF('[1]TrialBalance (YTD)'!G:G,B589,'[1]TrialBalance (YTD)'!H:H)</f>
        <v>#VALUE!</v>
      </c>
      <c r="I589" s="5">
        <f>IFERROR(INDEX('[1]TrialBalance (YTD)'!$G:$S,MATCH([1]TBMapping!$C591,'[1]TrialBalance (YTD)'!G:G,0),MATCH([1]TBMapping!J$3,'[1]TrialBalance (YTD)'!$G$7:$Z$7,0)),0)</f>
        <v>0</v>
      </c>
      <c r="K589" s="5" t="e">
        <f>SUMIF('[1]TrialBalance (Quarter)'!$A:$A,B589,'[1]TrialBalance (Quarter)'!$B:$B)</f>
        <v>#VALUE!</v>
      </c>
      <c r="L589" s="5">
        <f>IFERROR(INDEX('[1]TrialBalance (Quarter)'!$A:$L,MATCH([1]TBMapping!$C591,'[1]TrialBalance (Quarter)'!A:A,0),MATCH([1]TBMapping!M$3,'[1]TrialBalance (Quarter)'!$7:$7,0)),0)</f>
        <v>0</v>
      </c>
      <c r="M589" s="5">
        <f>IFERROR(INDEX('[1]TrialBalance (Quarter)'!$A:$L,MATCH([1]TBMapping!$C591,'[1]TrialBalance (Quarter)'!A:A,0),MATCH([1]TBMapping!N$3,'[1]TrialBalance (Quarter)'!$7:$7,0)),0)</f>
        <v>0</v>
      </c>
      <c r="N589" s="5">
        <f>IFERROR(INDEX('[1]TrialBalance (Quarter)'!$A:$L,MATCH([1]TBMapping!$C591,'[1]TrialBalance (Quarter)'!A:A,0),MATCH([1]TBMapping!O$3,'[1]TrialBalance (Quarter)'!$7:$7,0)),0)</f>
        <v>0</v>
      </c>
    </row>
    <row r="590" spans="1:14">
      <c r="A590" s="2">
        <v>13</v>
      </c>
      <c r="B590" s="3">
        <v>212240</v>
      </c>
      <c r="C590" s="11" t="s">
        <v>528</v>
      </c>
      <c r="D590" s="11" t="s">
        <v>11</v>
      </c>
      <c r="E590" s="11"/>
      <c r="F590" s="5" t="e">
        <f>IF(DataExtraction="Manual",SUMIF('[1]TrialBalance (YTD)'!$C:$C,B590,'[1]TrialBalance (YTD)'!$E:$E),SUMIF('[1]TrialBalance (YTD)'!$G:$G,B590,'[1]TrialBalance (YTD)'!$I:$I))</f>
        <v>#VALUE!</v>
      </c>
      <c r="G590" s="5">
        <f>IFERROR(INDEX('[1]TrialBalance (YTD)'!$G:$S,MATCH([1]TBMapping!$C592,'[1]TrialBalance (YTD)'!G:G,0),MATCH([1]TBMapping!H$3,'[1]TrialBalance (YTD)'!$G$7:$Z$7,0)),0)</f>
        <v>0</v>
      </c>
      <c r="H590" s="5" t="e">
        <f>SUMIF('[1]TrialBalance (YTD)'!G:G,B590,'[1]TrialBalance (YTD)'!H:H)</f>
        <v>#VALUE!</v>
      </c>
      <c r="I590" s="5">
        <f>IFERROR(INDEX('[1]TrialBalance (YTD)'!$G:$S,MATCH([1]TBMapping!$C592,'[1]TrialBalance (YTD)'!G:G,0),MATCH([1]TBMapping!J$3,'[1]TrialBalance (YTD)'!$G$7:$Z$7,0)),0)</f>
        <v>0</v>
      </c>
      <c r="K590" s="5" t="e">
        <f>SUMIF('[1]TrialBalance (Quarter)'!$A:$A,B590,'[1]TrialBalance (Quarter)'!$B:$B)</f>
        <v>#VALUE!</v>
      </c>
      <c r="L590" s="5">
        <f>IFERROR(INDEX('[1]TrialBalance (Quarter)'!$A:$L,MATCH([1]TBMapping!$C592,'[1]TrialBalance (Quarter)'!A:A,0),MATCH([1]TBMapping!M$3,'[1]TrialBalance (Quarter)'!$7:$7,0)),0)</f>
        <v>0</v>
      </c>
      <c r="M590" s="5">
        <f>IFERROR(INDEX('[1]TrialBalance (Quarter)'!$A:$L,MATCH([1]TBMapping!$C592,'[1]TrialBalance (Quarter)'!A:A,0),MATCH([1]TBMapping!N$3,'[1]TrialBalance (Quarter)'!$7:$7,0)),0)</f>
        <v>0</v>
      </c>
      <c r="N590" s="5">
        <f>IFERROR(INDEX('[1]TrialBalance (Quarter)'!$A:$L,MATCH([1]TBMapping!$C592,'[1]TrialBalance (Quarter)'!A:A,0),MATCH([1]TBMapping!O$3,'[1]TrialBalance (Quarter)'!$7:$7,0)),0)</f>
        <v>0</v>
      </c>
    </row>
    <row r="591" spans="1:14">
      <c r="A591" s="2">
        <v>13</v>
      </c>
      <c r="B591" s="3">
        <v>212250</v>
      </c>
      <c r="C591" s="10" t="s">
        <v>530</v>
      </c>
      <c r="D591" s="10" t="s">
        <v>11</v>
      </c>
      <c r="E591" s="10"/>
      <c r="F591" s="5" t="e">
        <f>IF(DataExtraction="Manual",SUMIF('[1]TrialBalance (YTD)'!$C:$C,B591,'[1]TrialBalance (YTD)'!$E:$E),SUMIF('[1]TrialBalance (YTD)'!$G:$G,B591,'[1]TrialBalance (YTD)'!$I:$I))</f>
        <v>#VALUE!</v>
      </c>
      <c r="G591" s="5">
        <f>IFERROR(INDEX('[1]TrialBalance (YTD)'!$G:$S,MATCH([1]TBMapping!$C593,'[1]TrialBalance (YTD)'!G:G,0),MATCH([1]TBMapping!H$3,'[1]TrialBalance (YTD)'!$G$7:$Z$7,0)),0)</f>
        <v>0</v>
      </c>
      <c r="H591" s="5" t="e">
        <f>SUMIF('[1]TrialBalance (YTD)'!G:G,B591,'[1]TrialBalance (YTD)'!H:H)</f>
        <v>#VALUE!</v>
      </c>
      <c r="I591" s="5">
        <f>IFERROR(INDEX('[1]TrialBalance (YTD)'!$G:$S,MATCH([1]TBMapping!$C593,'[1]TrialBalance (YTD)'!G:G,0),MATCH([1]TBMapping!J$3,'[1]TrialBalance (YTD)'!$G$7:$Z$7,0)),0)</f>
        <v>0</v>
      </c>
      <c r="K591" s="5" t="e">
        <f>SUMIF('[1]TrialBalance (Quarter)'!$A:$A,B591,'[1]TrialBalance (Quarter)'!$B:$B)</f>
        <v>#VALUE!</v>
      </c>
      <c r="L591" s="5">
        <f>IFERROR(INDEX('[1]TrialBalance (Quarter)'!$A:$L,MATCH([1]TBMapping!$C593,'[1]TrialBalance (Quarter)'!A:A,0),MATCH([1]TBMapping!M$3,'[1]TrialBalance (Quarter)'!$7:$7,0)),0)</f>
        <v>0</v>
      </c>
      <c r="M591" s="5">
        <f>IFERROR(INDEX('[1]TrialBalance (Quarter)'!$A:$L,MATCH([1]TBMapping!$C593,'[1]TrialBalance (Quarter)'!A:A,0),MATCH([1]TBMapping!N$3,'[1]TrialBalance (Quarter)'!$7:$7,0)),0)</f>
        <v>0</v>
      </c>
      <c r="N591" s="5">
        <f>IFERROR(INDEX('[1]TrialBalance (Quarter)'!$A:$L,MATCH([1]TBMapping!$C593,'[1]TrialBalance (Quarter)'!A:A,0),MATCH([1]TBMapping!O$3,'[1]TrialBalance (Quarter)'!$7:$7,0)),0)</f>
        <v>0</v>
      </c>
    </row>
    <row r="592" spans="1:14">
      <c r="A592" s="2">
        <v>13</v>
      </c>
      <c r="B592" s="3">
        <v>212310</v>
      </c>
      <c r="C592" s="11" t="s">
        <v>515</v>
      </c>
      <c r="D592" s="11" t="s">
        <v>11</v>
      </c>
      <c r="E592" s="11"/>
      <c r="F592" s="5" t="e">
        <f>IF(DataExtraction="Manual",SUMIF('[1]TrialBalance (YTD)'!$C:$C,B592,'[1]TrialBalance (YTD)'!$E:$E),SUMIF('[1]TrialBalance (YTD)'!$G:$G,B592,'[1]TrialBalance (YTD)'!$I:$I))</f>
        <v>#VALUE!</v>
      </c>
      <c r="G592" s="5">
        <f>IFERROR(INDEX('[1]TrialBalance (YTD)'!$G:$S,MATCH([1]TBMapping!$C594,'[1]TrialBalance (YTD)'!G:G,0),MATCH([1]TBMapping!H$3,'[1]TrialBalance (YTD)'!$G$7:$Z$7,0)),0)</f>
        <v>0</v>
      </c>
      <c r="H592" s="5" t="e">
        <f>SUMIF('[1]TrialBalance (YTD)'!G:G,B592,'[1]TrialBalance (YTD)'!H:H)</f>
        <v>#VALUE!</v>
      </c>
      <c r="I592" s="5">
        <f>IFERROR(INDEX('[1]TrialBalance (YTD)'!$G:$S,MATCH([1]TBMapping!$C594,'[1]TrialBalance (YTD)'!G:G,0),MATCH([1]TBMapping!J$3,'[1]TrialBalance (YTD)'!$G$7:$Z$7,0)),0)</f>
        <v>0</v>
      </c>
      <c r="K592" s="5" t="e">
        <f>SUMIF('[1]TrialBalance (Quarter)'!$A:$A,B592,'[1]TrialBalance (Quarter)'!$B:$B)</f>
        <v>#VALUE!</v>
      </c>
      <c r="L592" s="5">
        <f>IFERROR(INDEX('[1]TrialBalance (Quarter)'!$A:$L,MATCH([1]TBMapping!$C594,'[1]TrialBalance (Quarter)'!A:A,0),MATCH([1]TBMapping!M$3,'[1]TrialBalance (Quarter)'!$7:$7,0)),0)</f>
        <v>0</v>
      </c>
      <c r="M592" s="5">
        <f>IFERROR(INDEX('[1]TrialBalance (Quarter)'!$A:$L,MATCH([1]TBMapping!$C594,'[1]TrialBalance (Quarter)'!A:A,0),MATCH([1]TBMapping!N$3,'[1]TrialBalance (Quarter)'!$7:$7,0)),0)</f>
        <v>0</v>
      </c>
      <c r="N592" s="5">
        <f>IFERROR(INDEX('[1]TrialBalance (Quarter)'!$A:$L,MATCH([1]TBMapping!$C594,'[1]TrialBalance (Quarter)'!A:A,0),MATCH([1]TBMapping!O$3,'[1]TrialBalance (Quarter)'!$7:$7,0)),0)</f>
        <v>0</v>
      </c>
    </row>
    <row r="593" spans="1:14">
      <c r="A593" s="2">
        <v>13</v>
      </c>
      <c r="B593" s="3">
        <v>212320</v>
      </c>
      <c r="C593" s="10" t="s">
        <v>534</v>
      </c>
      <c r="D593" s="10" t="s">
        <v>11</v>
      </c>
      <c r="E593" s="10"/>
      <c r="F593" s="5" t="e">
        <f>IF(DataExtraction="Manual",SUMIF('[1]TrialBalance (YTD)'!$C:$C,B593,'[1]TrialBalance (YTD)'!$E:$E),SUMIF('[1]TrialBalance (YTD)'!$G:$G,B593,'[1]TrialBalance (YTD)'!$I:$I))</f>
        <v>#VALUE!</v>
      </c>
      <c r="G593" s="5">
        <f>IFERROR(INDEX('[1]TrialBalance (YTD)'!$G:$S,MATCH([1]TBMapping!$C595,'[1]TrialBalance (YTD)'!G:G,0),MATCH([1]TBMapping!H$3,'[1]TrialBalance (YTD)'!$G$7:$Z$7,0)),0)</f>
        <v>0</v>
      </c>
      <c r="H593" s="5" t="e">
        <f>SUMIF('[1]TrialBalance (YTD)'!G:G,B593,'[1]TrialBalance (YTD)'!H:H)</f>
        <v>#VALUE!</v>
      </c>
      <c r="I593" s="5">
        <f>IFERROR(INDEX('[1]TrialBalance (YTD)'!$G:$S,MATCH([1]TBMapping!$C595,'[1]TrialBalance (YTD)'!G:G,0),MATCH([1]TBMapping!J$3,'[1]TrialBalance (YTD)'!$G$7:$Z$7,0)),0)</f>
        <v>0</v>
      </c>
      <c r="K593" s="5" t="e">
        <f>SUMIF('[1]TrialBalance (Quarter)'!$A:$A,B593,'[1]TrialBalance (Quarter)'!$B:$B)</f>
        <v>#VALUE!</v>
      </c>
      <c r="L593" s="5">
        <f>IFERROR(INDEX('[1]TrialBalance (Quarter)'!$A:$L,MATCH([1]TBMapping!$C595,'[1]TrialBalance (Quarter)'!A:A,0),MATCH([1]TBMapping!M$3,'[1]TrialBalance (Quarter)'!$7:$7,0)),0)</f>
        <v>0</v>
      </c>
      <c r="M593" s="5">
        <f>IFERROR(INDEX('[1]TrialBalance (Quarter)'!$A:$L,MATCH([1]TBMapping!$C595,'[1]TrialBalance (Quarter)'!A:A,0),MATCH([1]TBMapping!N$3,'[1]TrialBalance (Quarter)'!$7:$7,0)),0)</f>
        <v>0</v>
      </c>
      <c r="N593" s="5">
        <f>IFERROR(INDEX('[1]TrialBalance (Quarter)'!$A:$L,MATCH([1]TBMapping!$C595,'[1]TrialBalance (Quarter)'!A:A,0),MATCH([1]TBMapping!O$3,'[1]TrialBalance (Quarter)'!$7:$7,0)),0)</f>
        <v>0</v>
      </c>
    </row>
    <row r="594" spans="1:14">
      <c r="A594" s="2">
        <v>13</v>
      </c>
      <c r="B594" s="3">
        <v>212330</v>
      </c>
      <c r="C594" s="11" t="s">
        <v>535</v>
      </c>
      <c r="D594" s="11" t="s">
        <v>11</v>
      </c>
      <c r="E594" s="11"/>
      <c r="F594" s="5" t="e">
        <f>IF(DataExtraction="Manual",SUMIF('[1]TrialBalance (YTD)'!$C:$C,B594,'[1]TrialBalance (YTD)'!$E:$E),SUMIF('[1]TrialBalance (YTD)'!$G:$G,B594,'[1]TrialBalance (YTD)'!$I:$I))</f>
        <v>#VALUE!</v>
      </c>
      <c r="G594" s="5">
        <f>IFERROR(INDEX('[1]TrialBalance (YTD)'!$G:$S,MATCH([1]TBMapping!$C596,'[1]TrialBalance (YTD)'!G:G,0),MATCH([1]TBMapping!H$3,'[1]TrialBalance (YTD)'!$G$7:$Z$7,0)),0)</f>
        <v>0</v>
      </c>
      <c r="H594" s="5" t="e">
        <f>SUMIF('[1]TrialBalance (YTD)'!G:G,B594,'[1]TrialBalance (YTD)'!H:H)</f>
        <v>#VALUE!</v>
      </c>
      <c r="I594" s="5">
        <f>IFERROR(INDEX('[1]TrialBalance (YTD)'!$G:$S,MATCH([1]TBMapping!$C596,'[1]TrialBalance (YTD)'!G:G,0),MATCH([1]TBMapping!J$3,'[1]TrialBalance (YTD)'!$G$7:$Z$7,0)),0)</f>
        <v>0</v>
      </c>
      <c r="K594" s="5" t="e">
        <f>SUMIF('[1]TrialBalance (Quarter)'!$A:$A,B594,'[1]TrialBalance (Quarter)'!$B:$B)</f>
        <v>#VALUE!</v>
      </c>
      <c r="L594" s="5">
        <f>IFERROR(INDEX('[1]TrialBalance (Quarter)'!$A:$L,MATCH([1]TBMapping!$C596,'[1]TrialBalance (Quarter)'!A:A,0),MATCH([1]TBMapping!M$3,'[1]TrialBalance (Quarter)'!$7:$7,0)),0)</f>
        <v>0</v>
      </c>
      <c r="M594" s="5">
        <f>IFERROR(INDEX('[1]TrialBalance (Quarter)'!$A:$L,MATCH([1]TBMapping!$C596,'[1]TrialBalance (Quarter)'!A:A,0),MATCH([1]TBMapping!N$3,'[1]TrialBalance (Quarter)'!$7:$7,0)),0)</f>
        <v>0</v>
      </c>
      <c r="N594" s="5">
        <f>IFERROR(INDEX('[1]TrialBalance (Quarter)'!$A:$L,MATCH([1]TBMapping!$C596,'[1]TrialBalance (Quarter)'!A:A,0),MATCH([1]TBMapping!O$3,'[1]TrialBalance (Quarter)'!$7:$7,0)),0)</f>
        <v>0</v>
      </c>
    </row>
    <row r="595" spans="1:14">
      <c r="A595" s="2">
        <v>13</v>
      </c>
      <c r="B595" s="3">
        <v>212340</v>
      </c>
      <c r="C595" s="10" t="s">
        <v>528</v>
      </c>
      <c r="D595" s="10" t="s">
        <v>11</v>
      </c>
      <c r="E595" s="10"/>
      <c r="F595" s="5" t="e">
        <f>IF(DataExtraction="Manual",SUMIF('[1]TrialBalance (YTD)'!$C:$C,B595,'[1]TrialBalance (YTD)'!$E:$E),SUMIF('[1]TrialBalance (YTD)'!$G:$G,B595,'[1]TrialBalance (YTD)'!$I:$I))</f>
        <v>#VALUE!</v>
      </c>
      <c r="G595" s="5">
        <f>IFERROR(INDEX('[1]TrialBalance (YTD)'!$G:$S,MATCH([1]TBMapping!$C597,'[1]TrialBalance (YTD)'!G:G,0),MATCH([1]TBMapping!H$3,'[1]TrialBalance (YTD)'!$G$7:$Z$7,0)),0)</f>
        <v>0</v>
      </c>
      <c r="H595" s="5" t="e">
        <f>SUMIF('[1]TrialBalance (YTD)'!G:G,B595,'[1]TrialBalance (YTD)'!H:H)</f>
        <v>#VALUE!</v>
      </c>
      <c r="I595" s="5">
        <f>IFERROR(INDEX('[1]TrialBalance (YTD)'!$G:$S,MATCH([1]TBMapping!$C597,'[1]TrialBalance (YTD)'!G:G,0),MATCH([1]TBMapping!J$3,'[1]TrialBalance (YTD)'!$G$7:$Z$7,0)),0)</f>
        <v>0</v>
      </c>
      <c r="K595" s="5" t="e">
        <f>SUMIF('[1]TrialBalance (Quarter)'!$A:$A,B595,'[1]TrialBalance (Quarter)'!$B:$B)</f>
        <v>#VALUE!</v>
      </c>
      <c r="L595" s="5">
        <f>IFERROR(INDEX('[1]TrialBalance (Quarter)'!$A:$L,MATCH([1]TBMapping!$C597,'[1]TrialBalance (Quarter)'!A:A,0),MATCH([1]TBMapping!M$3,'[1]TrialBalance (Quarter)'!$7:$7,0)),0)</f>
        <v>0</v>
      </c>
      <c r="M595" s="5">
        <f>IFERROR(INDEX('[1]TrialBalance (Quarter)'!$A:$L,MATCH([1]TBMapping!$C597,'[1]TrialBalance (Quarter)'!A:A,0),MATCH([1]TBMapping!N$3,'[1]TrialBalance (Quarter)'!$7:$7,0)),0)</f>
        <v>0</v>
      </c>
      <c r="N595" s="5">
        <f>IFERROR(INDEX('[1]TrialBalance (Quarter)'!$A:$L,MATCH([1]TBMapping!$C597,'[1]TrialBalance (Quarter)'!A:A,0),MATCH([1]TBMapping!O$3,'[1]TrialBalance (Quarter)'!$7:$7,0)),0)</f>
        <v>0</v>
      </c>
    </row>
    <row r="596" spans="1:14">
      <c r="A596" s="2">
        <v>13</v>
      </c>
      <c r="B596" s="3">
        <v>212350</v>
      </c>
      <c r="C596" s="11" t="s">
        <v>530</v>
      </c>
      <c r="D596" s="11" t="s">
        <v>11</v>
      </c>
      <c r="E596" s="11"/>
      <c r="F596" s="5" t="e">
        <f>IF(DataExtraction="Manual",SUMIF('[1]TrialBalance (YTD)'!$C:$C,B596,'[1]TrialBalance (YTD)'!$E:$E),SUMIF('[1]TrialBalance (YTD)'!$G:$G,B596,'[1]TrialBalance (YTD)'!$I:$I))</f>
        <v>#VALUE!</v>
      </c>
      <c r="G596" s="5">
        <f>IFERROR(INDEX('[1]TrialBalance (YTD)'!$G:$S,MATCH([1]TBMapping!$C598,'[1]TrialBalance (YTD)'!G:G,0),MATCH([1]TBMapping!H$3,'[1]TrialBalance (YTD)'!$G$7:$Z$7,0)),0)</f>
        <v>0</v>
      </c>
      <c r="H596" s="5" t="e">
        <f>SUMIF('[1]TrialBalance (YTD)'!G:G,B596,'[1]TrialBalance (YTD)'!H:H)</f>
        <v>#VALUE!</v>
      </c>
      <c r="I596" s="5">
        <f>IFERROR(INDEX('[1]TrialBalance (YTD)'!$G:$S,MATCH([1]TBMapping!$C598,'[1]TrialBalance (YTD)'!G:G,0),MATCH([1]TBMapping!J$3,'[1]TrialBalance (YTD)'!$G$7:$Z$7,0)),0)</f>
        <v>0</v>
      </c>
      <c r="K596" s="5" t="e">
        <f>SUMIF('[1]TrialBalance (Quarter)'!$A:$A,B596,'[1]TrialBalance (Quarter)'!$B:$B)</f>
        <v>#VALUE!</v>
      </c>
      <c r="L596" s="5">
        <f>IFERROR(INDEX('[1]TrialBalance (Quarter)'!$A:$L,MATCH([1]TBMapping!$C598,'[1]TrialBalance (Quarter)'!A:A,0),MATCH([1]TBMapping!M$3,'[1]TrialBalance (Quarter)'!$7:$7,0)),0)</f>
        <v>0</v>
      </c>
      <c r="M596" s="5">
        <f>IFERROR(INDEX('[1]TrialBalance (Quarter)'!$A:$L,MATCH([1]TBMapping!$C598,'[1]TrialBalance (Quarter)'!A:A,0),MATCH([1]TBMapping!N$3,'[1]TrialBalance (Quarter)'!$7:$7,0)),0)</f>
        <v>0</v>
      </c>
      <c r="N596" s="5">
        <f>IFERROR(INDEX('[1]TrialBalance (Quarter)'!$A:$L,MATCH([1]TBMapping!$C598,'[1]TrialBalance (Quarter)'!A:A,0),MATCH([1]TBMapping!O$3,'[1]TrialBalance (Quarter)'!$7:$7,0)),0)</f>
        <v>0</v>
      </c>
    </row>
    <row r="597" spans="1:14">
      <c r="B597" s="3">
        <v>212999</v>
      </c>
      <c r="C597" s="10" t="s">
        <v>386</v>
      </c>
      <c r="D597" s="10" t="s">
        <v>16</v>
      </c>
      <c r="E597" s="10"/>
      <c r="F597" s="5" t="e">
        <f>IF(DataExtraction="Manual",SUMIF('[1]TrialBalance (YTD)'!$C:$C,B597,'[1]TrialBalance (YTD)'!$E:$E),SUMIF('[1]TrialBalance (YTD)'!$G:$G,B597,'[1]TrialBalance (YTD)'!$I:$I))</f>
        <v>#VALUE!</v>
      </c>
      <c r="G597" s="5">
        <f>IFERROR(INDEX('[1]TrialBalance (YTD)'!$G:$S,MATCH([1]TBMapping!$C599,'[1]TrialBalance (YTD)'!G:G,0),MATCH([1]TBMapping!H$3,'[1]TrialBalance (YTD)'!$G$7:$Z$7,0)),0)</f>
        <v>0</v>
      </c>
      <c r="H597" s="5" t="e">
        <f>SUMIF('[1]TrialBalance (YTD)'!G:G,B597,'[1]TrialBalance (YTD)'!H:H)</f>
        <v>#VALUE!</v>
      </c>
      <c r="I597" s="5">
        <f>IFERROR(INDEX('[1]TrialBalance (YTD)'!$G:$S,MATCH([1]TBMapping!$C599,'[1]TrialBalance (YTD)'!G:G,0),MATCH([1]TBMapping!J$3,'[1]TrialBalance (YTD)'!$G$7:$Z$7,0)),0)</f>
        <v>0</v>
      </c>
      <c r="K597" s="5" t="e">
        <f>SUMIF('[1]TrialBalance (Quarter)'!$A:$A,B597,'[1]TrialBalance (Quarter)'!$B:$B)</f>
        <v>#VALUE!</v>
      </c>
      <c r="L597" s="5">
        <f>IFERROR(INDEX('[1]TrialBalance (Quarter)'!$A:$L,MATCH([1]TBMapping!$C599,'[1]TrialBalance (Quarter)'!A:A,0),MATCH([1]TBMapping!M$3,'[1]TrialBalance (Quarter)'!$7:$7,0)),0)</f>
        <v>0</v>
      </c>
      <c r="M597" s="5">
        <f>IFERROR(INDEX('[1]TrialBalance (Quarter)'!$A:$L,MATCH([1]TBMapping!$C599,'[1]TrialBalance (Quarter)'!A:A,0),MATCH([1]TBMapping!N$3,'[1]TrialBalance (Quarter)'!$7:$7,0)),0)</f>
        <v>0</v>
      </c>
      <c r="N597" s="5">
        <f>IFERROR(INDEX('[1]TrialBalance (Quarter)'!$A:$L,MATCH([1]TBMapping!$C599,'[1]TrialBalance (Quarter)'!A:A,0),MATCH([1]TBMapping!O$3,'[1]TrialBalance (Quarter)'!$7:$7,0)),0)</f>
        <v>0</v>
      </c>
    </row>
    <row r="598" spans="1:14">
      <c r="B598" s="3">
        <v>213000</v>
      </c>
      <c r="C598" s="11" t="s">
        <v>536</v>
      </c>
      <c r="D598" s="11" t="s">
        <v>5</v>
      </c>
      <c r="E598" s="11"/>
      <c r="F598" s="5" t="e">
        <f>IF(DataExtraction="Manual",SUMIF('[1]TrialBalance (YTD)'!$C:$C,B598,'[1]TrialBalance (YTD)'!$E:$E),SUMIF('[1]TrialBalance (YTD)'!$G:$G,B598,'[1]TrialBalance (YTD)'!$I:$I))</f>
        <v>#VALUE!</v>
      </c>
      <c r="G598" s="5">
        <f>IFERROR(INDEX('[1]TrialBalance (YTD)'!$G:$S,MATCH([1]TBMapping!$C600,'[1]TrialBalance (YTD)'!G:G,0),MATCH([1]TBMapping!H$3,'[1]TrialBalance (YTD)'!$G$7:$Z$7,0)),0)</f>
        <v>0</v>
      </c>
      <c r="H598" s="5" t="e">
        <f>SUMIF('[1]TrialBalance (YTD)'!G:G,B598,'[1]TrialBalance (YTD)'!H:H)</f>
        <v>#VALUE!</v>
      </c>
      <c r="I598" s="5">
        <f>IFERROR(INDEX('[1]TrialBalance (YTD)'!$G:$S,MATCH([1]TBMapping!$C600,'[1]TrialBalance (YTD)'!G:G,0),MATCH([1]TBMapping!J$3,'[1]TrialBalance (YTD)'!$G$7:$Z$7,0)),0)</f>
        <v>0</v>
      </c>
      <c r="K598" s="5" t="e">
        <f>SUMIF('[1]TrialBalance (Quarter)'!$A:$A,B598,'[1]TrialBalance (Quarter)'!$B:$B)</f>
        <v>#VALUE!</v>
      </c>
      <c r="L598" s="5">
        <f>IFERROR(INDEX('[1]TrialBalance (Quarter)'!$A:$L,MATCH([1]TBMapping!$C600,'[1]TrialBalance (Quarter)'!A:A,0),MATCH([1]TBMapping!M$3,'[1]TrialBalance (Quarter)'!$7:$7,0)),0)</f>
        <v>0</v>
      </c>
      <c r="M598" s="5">
        <f>IFERROR(INDEX('[1]TrialBalance (Quarter)'!$A:$L,MATCH([1]TBMapping!$C600,'[1]TrialBalance (Quarter)'!A:A,0),MATCH([1]TBMapping!N$3,'[1]TrialBalance (Quarter)'!$7:$7,0)),0)</f>
        <v>0</v>
      </c>
      <c r="N598" s="5">
        <f>IFERROR(INDEX('[1]TrialBalance (Quarter)'!$A:$L,MATCH([1]TBMapping!$C600,'[1]TrialBalance (Quarter)'!A:A,0),MATCH([1]TBMapping!O$3,'[1]TrialBalance (Quarter)'!$7:$7,0)),0)</f>
        <v>0</v>
      </c>
    </row>
    <row r="599" spans="1:14">
      <c r="A599" s="2">
        <v>13</v>
      </c>
      <c r="B599" s="3">
        <v>213110</v>
      </c>
      <c r="C599" s="10" t="s">
        <v>537</v>
      </c>
      <c r="D599" s="10" t="s">
        <v>11</v>
      </c>
      <c r="E599" s="10"/>
      <c r="F599" s="5" t="e">
        <f>IF(DataExtraction="Manual",SUMIF('[1]TrialBalance (YTD)'!$C:$C,B599,'[1]TrialBalance (YTD)'!$E:$E),SUMIF('[1]TrialBalance (YTD)'!$G:$G,B599,'[1]TrialBalance (YTD)'!$I:$I))</f>
        <v>#VALUE!</v>
      </c>
      <c r="G599" s="5">
        <f>IFERROR(INDEX('[1]TrialBalance (YTD)'!$G:$S,MATCH([1]TBMapping!$C601,'[1]TrialBalance (YTD)'!G:G,0),MATCH([1]TBMapping!H$3,'[1]TrialBalance (YTD)'!$G$7:$Z$7,0)),0)</f>
        <v>0</v>
      </c>
      <c r="H599" s="5" t="e">
        <f>SUMIF('[1]TrialBalance (YTD)'!G:G,B599,'[1]TrialBalance (YTD)'!H:H)</f>
        <v>#VALUE!</v>
      </c>
      <c r="I599" s="5">
        <f>IFERROR(INDEX('[1]TrialBalance (YTD)'!$G:$S,MATCH([1]TBMapping!$C601,'[1]TrialBalance (YTD)'!G:G,0),MATCH([1]TBMapping!J$3,'[1]TrialBalance (YTD)'!$G$7:$Z$7,0)),0)</f>
        <v>0</v>
      </c>
      <c r="K599" s="5" t="e">
        <f>SUMIF('[1]TrialBalance (Quarter)'!$A:$A,B599,'[1]TrialBalance (Quarter)'!$B:$B)</f>
        <v>#VALUE!</v>
      </c>
      <c r="L599" s="5">
        <f>IFERROR(INDEX('[1]TrialBalance (Quarter)'!$A:$L,MATCH([1]TBMapping!$C601,'[1]TrialBalance (Quarter)'!A:A,0),MATCH([1]TBMapping!M$3,'[1]TrialBalance (Quarter)'!$7:$7,0)),0)</f>
        <v>0</v>
      </c>
      <c r="M599" s="5">
        <f>IFERROR(INDEX('[1]TrialBalance (Quarter)'!$A:$L,MATCH([1]TBMapping!$C601,'[1]TrialBalance (Quarter)'!A:A,0),MATCH([1]TBMapping!N$3,'[1]TrialBalance (Quarter)'!$7:$7,0)),0)</f>
        <v>0</v>
      </c>
      <c r="N599" s="5">
        <f>IFERROR(INDEX('[1]TrialBalance (Quarter)'!$A:$L,MATCH([1]TBMapping!$C601,'[1]TrialBalance (Quarter)'!A:A,0),MATCH([1]TBMapping!O$3,'[1]TrialBalance (Quarter)'!$7:$7,0)),0)</f>
        <v>0</v>
      </c>
    </row>
    <row r="600" spans="1:14">
      <c r="A600" s="2">
        <v>13</v>
      </c>
      <c r="B600" s="3">
        <v>213112</v>
      </c>
      <c r="C600" s="11" t="s">
        <v>538</v>
      </c>
      <c r="D600" s="11" t="s">
        <v>11</v>
      </c>
      <c r="E600" s="11"/>
      <c r="F600" s="5" t="e">
        <f>IF(DataExtraction="Manual",SUMIF('[1]TrialBalance (YTD)'!$C:$C,B600,'[1]TrialBalance (YTD)'!$E:$E),SUMIF('[1]TrialBalance (YTD)'!$G:$G,B600,'[1]TrialBalance (YTD)'!$I:$I))</f>
        <v>#VALUE!</v>
      </c>
      <c r="G600" s="5">
        <f>IFERROR(INDEX('[1]TrialBalance (YTD)'!$G:$S,MATCH([1]TBMapping!$C602,'[1]TrialBalance (YTD)'!G:G,0),MATCH([1]TBMapping!H$3,'[1]TrialBalance (YTD)'!$G$7:$Z$7,0)),0)</f>
        <v>0</v>
      </c>
      <c r="H600" s="5" t="e">
        <f>SUMIF('[1]TrialBalance (YTD)'!G:G,B600,'[1]TrialBalance (YTD)'!H:H)</f>
        <v>#VALUE!</v>
      </c>
      <c r="I600" s="5">
        <f>IFERROR(INDEX('[1]TrialBalance (YTD)'!$G:$S,MATCH([1]TBMapping!$C602,'[1]TrialBalance (YTD)'!G:G,0),MATCH([1]TBMapping!J$3,'[1]TrialBalance (YTD)'!$G$7:$Z$7,0)),0)</f>
        <v>0</v>
      </c>
      <c r="K600" s="5" t="e">
        <f>SUMIF('[1]TrialBalance (Quarter)'!$A:$A,B600,'[1]TrialBalance (Quarter)'!$B:$B)</f>
        <v>#VALUE!</v>
      </c>
      <c r="L600" s="5">
        <f>IFERROR(INDEX('[1]TrialBalance (Quarter)'!$A:$L,MATCH([1]TBMapping!$C602,'[1]TrialBalance (Quarter)'!A:A,0),MATCH([1]TBMapping!M$3,'[1]TrialBalance (Quarter)'!$7:$7,0)),0)</f>
        <v>0</v>
      </c>
      <c r="M600" s="5">
        <f>IFERROR(INDEX('[1]TrialBalance (Quarter)'!$A:$L,MATCH([1]TBMapping!$C602,'[1]TrialBalance (Quarter)'!A:A,0),MATCH([1]TBMapping!N$3,'[1]TrialBalance (Quarter)'!$7:$7,0)),0)</f>
        <v>0</v>
      </c>
      <c r="N600" s="5">
        <f>IFERROR(INDEX('[1]TrialBalance (Quarter)'!$A:$L,MATCH([1]TBMapping!$C602,'[1]TrialBalance (Quarter)'!A:A,0),MATCH([1]TBMapping!O$3,'[1]TrialBalance (Quarter)'!$7:$7,0)),0)</f>
        <v>0</v>
      </c>
    </row>
    <row r="601" spans="1:14">
      <c r="A601" s="2">
        <v>13</v>
      </c>
      <c r="B601" s="3">
        <v>213120</v>
      </c>
      <c r="C601" s="10" t="s">
        <v>539</v>
      </c>
      <c r="D601" s="10" t="s">
        <v>11</v>
      </c>
      <c r="E601" s="10"/>
      <c r="F601" s="5" t="e">
        <f>IF(DataExtraction="Manual",SUMIF('[1]TrialBalance (YTD)'!$C:$C,B601,'[1]TrialBalance (YTD)'!$E:$E),SUMIF('[1]TrialBalance (YTD)'!$G:$G,B601,'[1]TrialBalance (YTD)'!$I:$I))</f>
        <v>#VALUE!</v>
      </c>
      <c r="G601" s="5">
        <f>IFERROR(INDEX('[1]TrialBalance (YTD)'!$G:$S,MATCH([1]TBMapping!$C603,'[1]TrialBalance (YTD)'!G:G,0),MATCH([1]TBMapping!H$3,'[1]TrialBalance (YTD)'!$G$7:$Z$7,0)),0)</f>
        <v>0</v>
      </c>
      <c r="H601" s="5" t="e">
        <f>SUMIF('[1]TrialBalance (YTD)'!G:G,B601,'[1]TrialBalance (YTD)'!H:H)</f>
        <v>#VALUE!</v>
      </c>
      <c r="I601" s="5">
        <f>IFERROR(INDEX('[1]TrialBalance (YTD)'!$G:$S,MATCH([1]TBMapping!$C603,'[1]TrialBalance (YTD)'!G:G,0),MATCH([1]TBMapping!J$3,'[1]TrialBalance (YTD)'!$G$7:$Z$7,0)),0)</f>
        <v>0</v>
      </c>
      <c r="K601" s="5" t="e">
        <f>SUMIF('[1]TrialBalance (Quarter)'!$A:$A,B601,'[1]TrialBalance (Quarter)'!$B:$B)</f>
        <v>#VALUE!</v>
      </c>
      <c r="L601" s="5">
        <f>IFERROR(INDEX('[1]TrialBalance (Quarter)'!$A:$L,MATCH([1]TBMapping!$C603,'[1]TrialBalance (Quarter)'!A:A,0),MATCH([1]TBMapping!M$3,'[1]TrialBalance (Quarter)'!$7:$7,0)),0)</f>
        <v>0</v>
      </c>
      <c r="M601" s="5">
        <f>IFERROR(INDEX('[1]TrialBalance (Quarter)'!$A:$L,MATCH([1]TBMapping!$C603,'[1]TrialBalance (Quarter)'!A:A,0),MATCH([1]TBMapping!N$3,'[1]TrialBalance (Quarter)'!$7:$7,0)),0)</f>
        <v>0</v>
      </c>
      <c r="N601" s="5">
        <f>IFERROR(INDEX('[1]TrialBalance (Quarter)'!$A:$L,MATCH([1]TBMapping!$C603,'[1]TrialBalance (Quarter)'!A:A,0),MATCH([1]TBMapping!O$3,'[1]TrialBalance (Quarter)'!$7:$7,0)),0)</f>
        <v>0</v>
      </c>
    </row>
    <row r="602" spans="1:14">
      <c r="A602" s="2">
        <v>13</v>
      </c>
      <c r="B602" s="3">
        <v>213130</v>
      </c>
      <c r="C602" s="11" t="s">
        <v>540</v>
      </c>
      <c r="D602" s="11" t="s">
        <v>11</v>
      </c>
      <c r="E602" s="11"/>
      <c r="F602" s="5" t="e">
        <f>IF(DataExtraction="Manual",SUMIF('[1]TrialBalance (YTD)'!$C:$C,B602,'[1]TrialBalance (YTD)'!$E:$E),SUMIF('[1]TrialBalance (YTD)'!$G:$G,B602,'[1]TrialBalance (YTD)'!$I:$I))</f>
        <v>#VALUE!</v>
      </c>
      <c r="G602" s="5">
        <f>IFERROR(INDEX('[1]TrialBalance (YTD)'!$G:$S,MATCH([1]TBMapping!$C604,'[1]TrialBalance (YTD)'!G:G,0),MATCH([1]TBMapping!H$3,'[1]TrialBalance (YTD)'!$G$7:$Z$7,0)),0)</f>
        <v>0</v>
      </c>
      <c r="H602" s="5" t="e">
        <f>SUMIF('[1]TrialBalance (YTD)'!G:G,B602,'[1]TrialBalance (YTD)'!H:H)</f>
        <v>#VALUE!</v>
      </c>
      <c r="I602" s="5">
        <f>IFERROR(INDEX('[1]TrialBalance (YTD)'!$G:$S,MATCH([1]TBMapping!$C604,'[1]TrialBalance (YTD)'!G:G,0),MATCH([1]TBMapping!J$3,'[1]TrialBalance (YTD)'!$G$7:$Z$7,0)),0)</f>
        <v>0</v>
      </c>
      <c r="K602" s="5" t="e">
        <f>SUMIF('[1]TrialBalance (Quarter)'!$A:$A,B602,'[1]TrialBalance (Quarter)'!$B:$B)</f>
        <v>#VALUE!</v>
      </c>
      <c r="L602" s="5">
        <f>IFERROR(INDEX('[1]TrialBalance (Quarter)'!$A:$L,MATCH([1]TBMapping!$C604,'[1]TrialBalance (Quarter)'!A:A,0),MATCH([1]TBMapping!M$3,'[1]TrialBalance (Quarter)'!$7:$7,0)),0)</f>
        <v>0</v>
      </c>
      <c r="M602" s="5">
        <f>IFERROR(INDEX('[1]TrialBalance (Quarter)'!$A:$L,MATCH([1]TBMapping!$C604,'[1]TrialBalance (Quarter)'!A:A,0),MATCH([1]TBMapping!N$3,'[1]TrialBalance (Quarter)'!$7:$7,0)),0)</f>
        <v>0</v>
      </c>
      <c r="N602" s="5">
        <f>IFERROR(INDEX('[1]TrialBalance (Quarter)'!$A:$L,MATCH([1]TBMapping!$C604,'[1]TrialBalance (Quarter)'!A:A,0),MATCH([1]TBMapping!O$3,'[1]TrialBalance (Quarter)'!$7:$7,0)),0)</f>
        <v>0</v>
      </c>
    </row>
    <row r="603" spans="1:14">
      <c r="A603" s="2">
        <v>13</v>
      </c>
      <c r="B603" s="3">
        <v>213135</v>
      </c>
      <c r="C603" s="10" t="s">
        <v>541</v>
      </c>
      <c r="D603" s="10" t="s">
        <v>11</v>
      </c>
      <c r="E603" s="10"/>
      <c r="F603" s="5" t="e">
        <f>IF(DataExtraction="Manual",SUMIF('[1]TrialBalance (YTD)'!$C:$C,B603,'[1]TrialBalance (YTD)'!$E:$E),SUMIF('[1]TrialBalance (YTD)'!$G:$G,B603,'[1]TrialBalance (YTD)'!$I:$I))</f>
        <v>#VALUE!</v>
      </c>
      <c r="G603" s="5">
        <f>IFERROR(INDEX('[1]TrialBalance (YTD)'!$G:$S,MATCH([1]TBMapping!$C605,'[1]TrialBalance (YTD)'!G:G,0),MATCH([1]TBMapping!H$3,'[1]TrialBalance (YTD)'!$G$7:$Z$7,0)),0)</f>
        <v>0</v>
      </c>
      <c r="H603" s="5" t="e">
        <f>SUMIF('[1]TrialBalance (YTD)'!G:G,B603,'[1]TrialBalance (YTD)'!H:H)</f>
        <v>#VALUE!</v>
      </c>
      <c r="I603" s="5">
        <f>IFERROR(INDEX('[1]TrialBalance (YTD)'!$G:$S,MATCH([1]TBMapping!$C605,'[1]TrialBalance (YTD)'!G:G,0),MATCH([1]TBMapping!J$3,'[1]TrialBalance (YTD)'!$G$7:$Z$7,0)),0)</f>
        <v>0</v>
      </c>
      <c r="K603" s="5" t="e">
        <f>SUMIF('[1]TrialBalance (Quarter)'!$A:$A,B603,'[1]TrialBalance (Quarter)'!$B:$B)</f>
        <v>#VALUE!</v>
      </c>
      <c r="L603" s="5">
        <f>IFERROR(INDEX('[1]TrialBalance (Quarter)'!$A:$L,MATCH([1]TBMapping!$C605,'[1]TrialBalance (Quarter)'!A:A,0),MATCH([1]TBMapping!M$3,'[1]TrialBalance (Quarter)'!$7:$7,0)),0)</f>
        <v>0</v>
      </c>
      <c r="M603" s="5">
        <f>IFERROR(INDEX('[1]TrialBalance (Quarter)'!$A:$L,MATCH([1]TBMapping!$C605,'[1]TrialBalance (Quarter)'!A:A,0),MATCH([1]TBMapping!N$3,'[1]TrialBalance (Quarter)'!$7:$7,0)),0)</f>
        <v>0</v>
      </c>
      <c r="N603" s="5">
        <f>IFERROR(INDEX('[1]TrialBalance (Quarter)'!$A:$L,MATCH([1]TBMapping!$C605,'[1]TrialBalance (Quarter)'!A:A,0),MATCH([1]TBMapping!O$3,'[1]TrialBalance (Quarter)'!$7:$7,0)),0)</f>
        <v>0</v>
      </c>
    </row>
    <row r="604" spans="1:14">
      <c r="A604" s="2">
        <v>13</v>
      </c>
      <c r="B604" s="3">
        <v>213140</v>
      </c>
      <c r="C604" s="11" t="s">
        <v>542</v>
      </c>
      <c r="D604" s="11" t="s">
        <v>11</v>
      </c>
      <c r="E604" s="11"/>
      <c r="F604" s="5" t="e">
        <f>IF(DataExtraction="Manual",SUMIF('[1]TrialBalance (YTD)'!$C:$C,B604,'[1]TrialBalance (YTD)'!$E:$E),SUMIF('[1]TrialBalance (YTD)'!$G:$G,B604,'[1]TrialBalance (YTD)'!$I:$I))</f>
        <v>#VALUE!</v>
      </c>
      <c r="G604" s="5">
        <f>IFERROR(INDEX('[1]TrialBalance (YTD)'!$G:$S,MATCH([1]TBMapping!$C606,'[1]TrialBalance (YTD)'!G:G,0),MATCH([1]TBMapping!H$3,'[1]TrialBalance (YTD)'!$G$7:$Z$7,0)),0)</f>
        <v>0</v>
      </c>
      <c r="H604" s="5" t="e">
        <f>SUMIF('[1]TrialBalance (YTD)'!G:G,B604,'[1]TrialBalance (YTD)'!H:H)</f>
        <v>#VALUE!</v>
      </c>
      <c r="I604" s="5">
        <f>IFERROR(INDEX('[1]TrialBalance (YTD)'!$G:$S,MATCH([1]TBMapping!$C606,'[1]TrialBalance (YTD)'!G:G,0),MATCH([1]TBMapping!J$3,'[1]TrialBalance (YTD)'!$G$7:$Z$7,0)),0)</f>
        <v>0</v>
      </c>
      <c r="K604" s="5" t="e">
        <f>SUMIF('[1]TrialBalance (Quarter)'!$A:$A,B604,'[1]TrialBalance (Quarter)'!$B:$B)</f>
        <v>#VALUE!</v>
      </c>
      <c r="L604" s="5">
        <f>IFERROR(INDEX('[1]TrialBalance (Quarter)'!$A:$L,MATCH([1]TBMapping!$C606,'[1]TrialBalance (Quarter)'!A:A,0),MATCH([1]TBMapping!M$3,'[1]TrialBalance (Quarter)'!$7:$7,0)),0)</f>
        <v>0</v>
      </c>
      <c r="M604" s="5">
        <f>IFERROR(INDEX('[1]TrialBalance (Quarter)'!$A:$L,MATCH([1]TBMapping!$C606,'[1]TrialBalance (Quarter)'!A:A,0),MATCH([1]TBMapping!N$3,'[1]TrialBalance (Quarter)'!$7:$7,0)),0)</f>
        <v>0</v>
      </c>
      <c r="N604" s="5">
        <f>IFERROR(INDEX('[1]TrialBalance (Quarter)'!$A:$L,MATCH([1]TBMapping!$C606,'[1]TrialBalance (Quarter)'!A:A,0),MATCH([1]TBMapping!O$3,'[1]TrialBalance (Quarter)'!$7:$7,0)),0)</f>
        <v>0</v>
      </c>
    </row>
    <row r="605" spans="1:14">
      <c r="A605" s="2">
        <v>13</v>
      </c>
      <c r="B605" s="3">
        <v>213150</v>
      </c>
      <c r="C605" s="10" t="s">
        <v>543</v>
      </c>
      <c r="D605" s="10" t="s">
        <v>11</v>
      </c>
      <c r="E605" s="10"/>
      <c r="F605" s="5" t="e">
        <f>IF(DataExtraction="Manual",SUMIF('[1]TrialBalance (YTD)'!$C:$C,B605,'[1]TrialBalance (YTD)'!$E:$E),SUMIF('[1]TrialBalance (YTD)'!$G:$G,B605,'[1]TrialBalance (YTD)'!$I:$I))</f>
        <v>#VALUE!</v>
      </c>
      <c r="G605" s="5">
        <f>IFERROR(INDEX('[1]TrialBalance (YTD)'!$G:$S,MATCH([1]TBMapping!$C607,'[1]TrialBalance (YTD)'!G:G,0),MATCH([1]TBMapping!H$3,'[1]TrialBalance (YTD)'!$G$7:$Z$7,0)),0)</f>
        <v>0</v>
      </c>
      <c r="H605" s="5" t="e">
        <f>SUMIF('[1]TrialBalance (YTD)'!G:G,B605,'[1]TrialBalance (YTD)'!H:H)</f>
        <v>#VALUE!</v>
      </c>
      <c r="I605" s="5">
        <f>IFERROR(INDEX('[1]TrialBalance (YTD)'!$G:$S,MATCH([1]TBMapping!$C607,'[1]TrialBalance (YTD)'!G:G,0),MATCH([1]TBMapping!J$3,'[1]TrialBalance (YTD)'!$G$7:$Z$7,0)),0)</f>
        <v>0</v>
      </c>
      <c r="K605" s="5" t="e">
        <f>SUMIF('[1]TrialBalance (Quarter)'!$A:$A,B605,'[1]TrialBalance (Quarter)'!$B:$B)</f>
        <v>#VALUE!</v>
      </c>
      <c r="L605" s="5">
        <f>IFERROR(INDEX('[1]TrialBalance (Quarter)'!$A:$L,MATCH([1]TBMapping!$C607,'[1]TrialBalance (Quarter)'!A:A,0),MATCH([1]TBMapping!M$3,'[1]TrialBalance (Quarter)'!$7:$7,0)),0)</f>
        <v>0</v>
      </c>
      <c r="M605" s="5">
        <f>IFERROR(INDEX('[1]TrialBalance (Quarter)'!$A:$L,MATCH([1]TBMapping!$C607,'[1]TrialBalance (Quarter)'!A:A,0),MATCH([1]TBMapping!N$3,'[1]TrialBalance (Quarter)'!$7:$7,0)),0)</f>
        <v>0</v>
      </c>
      <c r="N605" s="5">
        <f>IFERROR(INDEX('[1]TrialBalance (Quarter)'!$A:$L,MATCH([1]TBMapping!$C607,'[1]TrialBalance (Quarter)'!A:A,0),MATCH([1]TBMapping!O$3,'[1]TrialBalance (Quarter)'!$7:$7,0)),0)</f>
        <v>0</v>
      </c>
    </row>
    <row r="606" spans="1:14">
      <c r="A606" s="2">
        <v>13</v>
      </c>
      <c r="B606" s="3">
        <v>213210</v>
      </c>
      <c r="C606" s="11" t="s">
        <v>544</v>
      </c>
      <c r="D606" s="11" t="s">
        <v>11</v>
      </c>
      <c r="E606" s="11"/>
      <c r="F606" s="5" t="e">
        <f>IF(DataExtraction="Manual",SUMIF('[1]TrialBalance (YTD)'!$C:$C,B606,'[1]TrialBalance (YTD)'!$E:$E),SUMIF('[1]TrialBalance (YTD)'!$G:$G,B606,'[1]TrialBalance (YTD)'!$I:$I))</f>
        <v>#VALUE!</v>
      </c>
      <c r="G606" s="5">
        <f>IFERROR(INDEX('[1]TrialBalance (YTD)'!$G:$S,MATCH([1]TBMapping!$C608,'[1]TrialBalance (YTD)'!G:G,0),MATCH([1]TBMapping!H$3,'[1]TrialBalance (YTD)'!$G$7:$Z$7,0)),0)</f>
        <v>0</v>
      </c>
      <c r="H606" s="5" t="e">
        <f>SUMIF('[1]TrialBalance (YTD)'!G:G,B606,'[1]TrialBalance (YTD)'!H:H)</f>
        <v>#VALUE!</v>
      </c>
      <c r="I606" s="5">
        <f>IFERROR(INDEX('[1]TrialBalance (YTD)'!$G:$S,MATCH([1]TBMapping!$C608,'[1]TrialBalance (YTD)'!G:G,0),MATCH([1]TBMapping!J$3,'[1]TrialBalance (YTD)'!$G$7:$Z$7,0)),0)</f>
        <v>0</v>
      </c>
      <c r="K606" s="5" t="e">
        <f>SUMIF('[1]TrialBalance (Quarter)'!$A:$A,B606,'[1]TrialBalance (Quarter)'!$B:$B)</f>
        <v>#VALUE!</v>
      </c>
      <c r="L606" s="5">
        <f>IFERROR(INDEX('[1]TrialBalance (Quarter)'!$A:$L,MATCH([1]TBMapping!$C608,'[1]TrialBalance (Quarter)'!A:A,0),MATCH([1]TBMapping!M$3,'[1]TrialBalance (Quarter)'!$7:$7,0)),0)</f>
        <v>0</v>
      </c>
      <c r="M606" s="5">
        <f>IFERROR(INDEX('[1]TrialBalance (Quarter)'!$A:$L,MATCH([1]TBMapping!$C608,'[1]TrialBalance (Quarter)'!A:A,0),MATCH([1]TBMapping!N$3,'[1]TrialBalance (Quarter)'!$7:$7,0)),0)</f>
        <v>0</v>
      </c>
      <c r="N606" s="5">
        <f>IFERROR(INDEX('[1]TrialBalance (Quarter)'!$A:$L,MATCH([1]TBMapping!$C608,'[1]TrialBalance (Quarter)'!A:A,0),MATCH([1]TBMapping!O$3,'[1]TrialBalance (Quarter)'!$7:$7,0)),0)</f>
        <v>0</v>
      </c>
    </row>
    <row r="607" spans="1:14">
      <c r="A607" s="2">
        <v>13</v>
      </c>
      <c r="B607" s="3">
        <v>213220</v>
      </c>
      <c r="C607" s="10" t="s">
        <v>545</v>
      </c>
      <c r="D607" s="10" t="s">
        <v>11</v>
      </c>
      <c r="E607" s="10"/>
      <c r="F607" s="5" t="e">
        <f>IF(DataExtraction="Manual",SUMIF('[1]TrialBalance (YTD)'!$C:$C,B607,'[1]TrialBalance (YTD)'!$E:$E),SUMIF('[1]TrialBalance (YTD)'!$G:$G,B607,'[1]TrialBalance (YTD)'!$I:$I))</f>
        <v>#VALUE!</v>
      </c>
      <c r="G607" s="5">
        <f>IFERROR(INDEX('[1]TrialBalance (YTD)'!$G:$S,MATCH([1]TBMapping!$C609,'[1]TrialBalance (YTD)'!G:G,0),MATCH([1]TBMapping!H$3,'[1]TrialBalance (YTD)'!$G$7:$Z$7,0)),0)</f>
        <v>0</v>
      </c>
      <c r="H607" s="5" t="e">
        <f>SUMIF('[1]TrialBalance (YTD)'!G:G,B607,'[1]TrialBalance (YTD)'!H:H)</f>
        <v>#VALUE!</v>
      </c>
      <c r="I607" s="5">
        <f>IFERROR(INDEX('[1]TrialBalance (YTD)'!$G:$S,MATCH([1]TBMapping!$C609,'[1]TrialBalance (YTD)'!G:G,0),MATCH([1]TBMapping!J$3,'[1]TrialBalance (YTD)'!$G$7:$Z$7,0)),0)</f>
        <v>0</v>
      </c>
      <c r="K607" s="5" t="e">
        <f>SUMIF('[1]TrialBalance (Quarter)'!$A:$A,B607,'[1]TrialBalance (Quarter)'!$B:$B)</f>
        <v>#VALUE!</v>
      </c>
      <c r="L607" s="5">
        <f>IFERROR(INDEX('[1]TrialBalance (Quarter)'!$A:$L,MATCH([1]TBMapping!$C609,'[1]TrialBalance (Quarter)'!A:A,0),MATCH([1]TBMapping!M$3,'[1]TrialBalance (Quarter)'!$7:$7,0)),0)</f>
        <v>0</v>
      </c>
      <c r="M607" s="5">
        <f>IFERROR(INDEX('[1]TrialBalance (Quarter)'!$A:$L,MATCH([1]TBMapping!$C609,'[1]TrialBalance (Quarter)'!A:A,0),MATCH([1]TBMapping!N$3,'[1]TrialBalance (Quarter)'!$7:$7,0)),0)</f>
        <v>0</v>
      </c>
      <c r="N607" s="5">
        <f>IFERROR(INDEX('[1]TrialBalance (Quarter)'!$A:$L,MATCH([1]TBMapping!$C609,'[1]TrialBalance (Quarter)'!A:A,0),MATCH([1]TBMapping!O$3,'[1]TrialBalance (Quarter)'!$7:$7,0)),0)</f>
        <v>0</v>
      </c>
    </row>
    <row r="608" spans="1:14">
      <c r="A608" s="2">
        <v>13</v>
      </c>
      <c r="B608" s="3">
        <v>213230</v>
      </c>
      <c r="C608" s="11" t="s">
        <v>546</v>
      </c>
      <c r="D608" s="11" t="s">
        <v>11</v>
      </c>
      <c r="E608" s="11"/>
      <c r="F608" s="5" t="e">
        <f>IF(DataExtraction="Manual",SUMIF('[1]TrialBalance (YTD)'!$C:$C,B608,'[1]TrialBalance (YTD)'!$E:$E),SUMIF('[1]TrialBalance (YTD)'!$G:$G,B608,'[1]TrialBalance (YTD)'!$I:$I))</f>
        <v>#VALUE!</v>
      </c>
      <c r="G608" s="5">
        <f>IFERROR(INDEX('[1]TrialBalance (YTD)'!$G:$S,MATCH([1]TBMapping!$C610,'[1]TrialBalance (YTD)'!G:G,0),MATCH([1]TBMapping!H$3,'[1]TrialBalance (YTD)'!$G$7:$Z$7,0)),0)</f>
        <v>0</v>
      </c>
      <c r="H608" s="5" t="e">
        <f>SUMIF('[1]TrialBalance (YTD)'!G:G,B608,'[1]TrialBalance (YTD)'!H:H)</f>
        <v>#VALUE!</v>
      </c>
      <c r="I608" s="5">
        <f>IFERROR(INDEX('[1]TrialBalance (YTD)'!$G:$S,MATCH([1]TBMapping!$C610,'[1]TrialBalance (YTD)'!G:G,0),MATCH([1]TBMapping!J$3,'[1]TrialBalance (YTD)'!$G$7:$Z$7,0)),0)</f>
        <v>0</v>
      </c>
      <c r="K608" s="5" t="e">
        <f>SUMIF('[1]TrialBalance (Quarter)'!$A:$A,B608,'[1]TrialBalance (Quarter)'!$B:$B)</f>
        <v>#VALUE!</v>
      </c>
      <c r="L608" s="5">
        <f>IFERROR(INDEX('[1]TrialBalance (Quarter)'!$A:$L,MATCH([1]TBMapping!$C610,'[1]TrialBalance (Quarter)'!A:A,0),MATCH([1]TBMapping!M$3,'[1]TrialBalance (Quarter)'!$7:$7,0)),0)</f>
        <v>0</v>
      </c>
      <c r="M608" s="5">
        <f>IFERROR(INDEX('[1]TrialBalance (Quarter)'!$A:$L,MATCH([1]TBMapping!$C610,'[1]TrialBalance (Quarter)'!A:A,0),MATCH([1]TBMapping!N$3,'[1]TrialBalance (Quarter)'!$7:$7,0)),0)</f>
        <v>0</v>
      </c>
      <c r="N608" s="5">
        <f>IFERROR(INDEX('[1]TrialBalance (Quarter)'!$A:$L,MATCH([1]TBMapping!$C610,'[1]TrialBalance (Quarter)'!A:A,0),MATCH([1]TBMapping!O$3,'[1]TrialBalance (Quarter)'!$7:$7,0)),0)</f>
        <v>0</v>
      </c>
    </row>
    <row r="609" spans="1:14">
      <c r="A609" s="2">
        <v>13</v>
      </c>
      <c r="B609" s="3">
        <v>213240</v>
      </c>
      <c r="C609" s="10" t="s">
        <v>542</v>
      </c>
      <c r="D609" s="10" t="s">
        <v>11</v>
      </c>
      <c r="E609" s="10"/>
      <c r="F609" s="5" t="e">
        <f>IF(DataExtraction="Manual",SUMIF('[1]TrialBalance (YTD)'!$C:$C,B609,'[1]TrialBalance (YTD)'!$E:$E),SUMIF('[1]TrialBalance (YTD)'!$G:$G,B609,'[1]TrialBalance (YTD)'!$I:$I))</f>
        <v>#VALUE!</v>
      </c>
      <c r="G609" s="5">
        <f>IFERROR(INDEX('[1]TrialBalance (YTD)'!$G:$S,MATCH([1]TBMapping!$C611,'[1]TrialBalance (YTD)'!G:G,0),MATCH([1]TBMapping!H$3,'[1]TrialBalance (YTD)'!$G$7:$Z$7,0)),0)</f>
        <v>0</v>
      </c>
      <c r="H609" s="5" t="e">
        <f>SUMIF('[1]TrialBalance (YTD)'!G:G,B609,'[1]TrialBalance (YTD)'!H:H)</f>
        <v>#VALUE!</v>
      </c>
      <c r="I609" s="5">
        <f>IFERROR(INDEX('[1]TrialBalance (YTD)'!$G:$S,MATCH([1]TBMapping!$C611,'[1]TrialBalance (YTD)'!G:G,0),MATCH([1]TBMapping!J$3,'[1]TrialBalance (YTD)'!$G$7:$Z$7,0)),0)</f>
        <v>0</v>
      </c>
      <c r="K609" s="5" t="e">
        <f>SUMIF('[1]TrialBalance (Quarter)'!$A:$A,B609,'[1]TrialBalance (Quarter)'!$B:$B)</f>
        <v>#VALUE!</v>
      </c>
      <c r="L609" s="5">
        <f>IFERROR(INDEX('[1]TrialBalance (Quarter)'!$A:$L,MATCH([1]TBMapping!$C611,'[1]TrialBalance (Quarter)'!A:A,0),MATCH([1]TBMapping!M$3,'[1]TrialBalance (Quarter)'!$7:$7,0)),0)</f>
        <v>0</v>
      </c>
      <c r="M609" s="5">
        <f>IFERROR(INDEX('[1]TrialBalance (Quarter)'!$A:$L,MATCH([1]TBMapping!$C611,'[1]TrialBalance (Quarter)'!A:A,0),MATCH([1]TBMapping!N$3,'[1]TrialBalance (Quarter)'!$7:$7,0)),0)</f>
        <v>0</v>
      </c>
      <c r="N609" s="5">
        <f>IFERROR(INDEX('[1]TrialBalance (Quarter)'!$A:$L,MATCH([1]TBMapping!$C611,'[1]TrialBalance (Quarter)'!A:A,0),MATCH([1]TBMapping!O$3,'[1]TrialBalance (Quarter)'!$7:$7,0)),0)</f>
        <v>0</v>
      </c>
    </row>
    <row r="610" spans="1:14">
      <c r="A610" s="2">
        <v>13</v>
      </c>
      <c r="B610" s="3">
        <v>213250</v>
      </c>
      <c r="C610" s="11" t="s">
        <v>543</v>
      </c>
      <c r="D610" s="11" t="s">
        <v>11</v>
      </c>
      <c r="E610" s="11"/>
      <c r="F610" s="5" t="e">
        <f>IF(DataExtraction="Manual",SUMIF('[1]TrialBalance (YTD)'!$C:$C,B610,'[1]TrialBalance (YTD)'!$E:$E),SUMIF('[1]TrialBalance (YTD)'!$G:$G,B610,'[1]TrialBalance (YTD)'!$I:$I))</f>
        <v>#VALUE!</v>
      </c>
      <c r="G610" s="5">
        <f>IFERROR(INDEX('[1]TrialBalance (YTD)'!$G:$S,MATCH([1]TBMapping!$C612,'[1]TrialBalance (YTD)'!G:G,0),MATCH([1]TBMapping!H$3,'[1]TrialBalance (YTD)'!$G$7:$Z$7,0)),0)</f>
        <v>0</v>
      </c>
      <c r="H610" s="5" t="e">
        <f>SUMIF('[1]TrialBalance (YTD)'!G:G,B610,'[1]TrialBalance (YTD)'!H:H)</f>
        <v>#VALUE!</v>
      </c>
      <c r="I610" s="5">
        <f>IFERROR(INDEX('[1]TrialBalance (YTD)'!$G:$S,MATCH([1]TBMapping!$C612,'[1]TrialBalance (YTD)'!G:G,0),MATCH([1]TBMapping!J$3,'[1]TrialBalance (YTD)'!$G$7:$Z$7,0)),0)</f>
        <v>0</v>
      </c>
      <c r="K610" s="5" t="e">
        <f>SUMIF('[1]TrialBalance (Quarter)'!$A:$A,B610,'[1]TrialBalance (Quarter)'!$B:$B)</f>
        <v>#VALUE!</v>
      </c>
      <c r="L610" s="5">
        <f>IFERROR(INDEX('[1]TrialBalance (Quarter)'!$A:$L,MATCH([1]TBMapping!$C612,'[1]TrialBalance (Quarter)'!A:A,0),MATCH([1]TBMapping!M$3,'[1]TrialBalance (Quarter)'!$7:$7,0)),0)</f>
        <v>0</v>
      </c>
      <c r="M610" s="5">
        <f>IFERROR(INDEX('[1]TrialBalance (Quarter)'!$A:$L,MATCH([1]TBMapping!$C612,'[1]TrialBalance (Quarter)'!A:A,0),MATCH([1]TBMapping!N$3,'[1]TrialBalance (Quarter)'!$7:$7,0)),0)</f>
        <v>0</v>
      </c>
      <c r="N610" s="5">
        <f>IFERROR(INDEX('[1]TrialBalance (Quarter)'!$A:$L,MATCH([1]TBMapping!$C612,'[1]TrialBalance (Quarter)'!A:A,0),MATCH([1]TBMapping!O$3,'[1]TrialBalance (Quarter)'!$7:$7,0)),0)</f>
        <v>0</v>
      </c>
    </row>
    <row r="611" spans="1:14">
      <c r="A611" s="2">
        <v>13</v>
      </c>
      <c r="B611" s="3">
        <v>213310</v>
      </c>
      <c r="C611" s="10" t="s">
        <v>547</v>
      </c>
      <c r="D611" s="10" t="s">
        <v>11</v>
      </c>
      <c r="E611" s="10"/>
      <c r="F611" s="5" t="e">
        <f>IF(DataExtraction="Manual",SUMIF('[1]TrialBalance (YTD)'!$C:$C,B611,'[1]TrialBalance (YTD)'!$E:$E),SUMIF('[1]TrialBalance (YTD)'!$G:$G,B611,'[1]TrialBalance (YTD)'!$I:$I))</f>
        <v>#VALUE!</v>
      </c>
      <c r="G611" s="5">
        <f>IFERROR(INDEX('[1]TrialBalance (YTD)'!$G:$S,MATCH([1]TBMapping!$C613,'[1]TrialBalance (YTD)'!G:G,0),MATCH([1]TBMapping!H$3,'[1]TrialBalance (YTD)'!$G$7:$Z$7,0)),0)</f>
        <v>0</v>
      </c>
      <c r="H611" s="5" t="e">
        <f>SUMIF('[1]TrialBalance (YTD)'!G:G,B611,'[1]TrialBalance (YTD)'!H:H)</f>
        <v>#VALUE!</v>
      </c>
      <c r="I611" s="5">
        <f>IFERROR(INDEX('[1]TrialBalance (YTD)'!$G:$S,MATCH([1]TBMapping!$C613,'[1]TrialBalance (YTD)'!G:G,0),MATCH([1]TBMapping!J$3,'[1]TrialBalance (YTD)'!$G$7:$Z$7,0)),0)</f>
        <v>0</v>
      </c>
      <c r="K611" s="5" t="e">
        <f>SUMIF('[1]TrialBalance (Quarter)'!$A:$A,B611,'[1]TrialBalance (Quarter)'!$B:$B)</f>
        <v>#VALUE!</v>
      </c>
      <c r="L611" s="5">
        <f>IFERROR(INDEX('[1]TrialBalance (Quarter)'!$A:$L,MATCH([1]TBMapping!$C613,'[1]TrialBalance (Quarter)'!A:A,0),MATCH([1]TBMapping!M$3,'[1]TrialBalance (Quarter)'!$7:$7,0)),0)</f>
        <v>0</v>
      </c>
      <c r="M611" s="5">
        <f>IFERROR(INDEX('[1]TrialBalance (Quarter)'!$A:$L,MATCH([1]TBMapping!$C613,'[1]TrialBalance (Quarter)'!A:A,0),MATCH([1]TBMapping!N$3,'[1]TrialBalance (Quarter)'!$7:$7,0)),0)</f>
        <v>0</v>
      </c>
      <c r="N611" s="5">
        <f>IFERROR(INDEX('[1]TrialBalance (Quarter)'!$A:$L,MATCH([1]TBMapping!$C613,'[1]TrialBalance (Quarter)'!A:A,0),MATCH([1]TBMapping!O$3,'[1]TrialBalance (Quarter)'!$7:$7,0)),0)</f>
        <v>0</v>
      </c>
    </row>
    <row r="612" spans="1:14">
      <c r="A612" s="2">
        <v>13</v>
      </c>
      <c r="B612" s="3">
        <v>213320</v>
      </c>
      <c r="C612" s="11" t="s">
        <v>548</v>
      </c>
      <c r="D612" s="11" t="s">
        <v>11</v>
      </c>
      <c r="E612" s="11"/>
      <c r="F612" s="5" t="e">
        <f>IF(DataExtraction="Manual",SUMIF('[1]TrialBalance (YTD)'!$C:$C,B612,'[1]TrialBalance (YTD)'!$E:$E),SUMIF('[1]TrialBalance (YTD)'!$G:$G,B612,'[1]TrialBalance (YTD)'!$I:$I))</f>
        <v>#VALUE!</v>
      </c>
      <c r="G612" s="5">
        <f>IFERROR(INDEX('[1]TrialBalance (YTD)'!$G:$S,MATCH([1]TBMapping!$C614,'[1]TrialBalance (YTD)'!G:G,0),MATCH([1]TBMapping!H$3,'[1]TrialBalance (YTD)'!$G$7:$Z$7,0)),0)</f>
        <v>0</v>
      </c>
      <c r="H612" s="5" t="e">
        <f>SUMIF('[1]TrialBalance (YTD)'!G:G,B612,'[1]TrialBalance (YTD)'!H:H)</f>
        <v>#VALUE!</v>
      </c>
      <c r="I612" s="5">
        <f>IFERROR(INDEX('[1]TrialBalance (YTD)'!$G:$S,MATCH([1]TBMapping!$C614,'[1]TrialBalance (YTD)'!G:G,0),MATCH([1]TBMapping!J$3,'[1]TrialBalance (YTD)'!$G$7:$Z$7,0)),0)</f>
        <v>0</v>
      </c>
      <c r="K612" s="5" t="e">
        <f>SUMIF('[1]TrialBalance (Quarter)'!$A:$A,B612,'[1]TrialBalance (Quarter)'!$B:$B)</f>
        <v>#VALUE!</v>
      </c>
      <c r="L612" s="5">
        <f>IFERROR(INDEX('[1]TrialBalance (Quarter)'!$A:$L,MATCH([1]TBMapping!$C614,'[1]TrialBalance (Quarter)'!A:A,0),MATCH([1]TBMapping!M$3,'[1]TrialBalance (Quarter)'!$7:$7,0)),0)</f>
        <v>0</v>
      </c>
      <c r="M612" s="5">
        <f>IFERROR(INDEX('[1]TrialBalance (Quarter)'!$A:$L,MATCH([1]TBMapping!$C614,'[1]TrialBalance (Quarter)'!A:A,0),MATCH([1]TBMapping!N$3,'[1]TrialBalance (Quarter)'!$7:$7,0)),0)</f>
        <v>0</v>
      </c>
      <c r="N612" s="5">
        <f>IFERROR(INDEX('[1]TrialBalance (Quarter)'!$A:$L,MATCH([1]TBMapping!$C614,'[1]TrialBalance (Quarter)'!A:A,0),MATCH([1]TBMapping!O$3,'[1]TrialBalance (Quarter)'!$7:$7,0)),0)</f>
        <v>0</v>
      </c>
    </row>
    <row r="613" spans="1:14">
      <c r="A613" s="2">
        <v>13</v>
      </c>
      <c r="B613" s="3">
        <v>213340</v>
      </c>
      <c r="C613" s="10" t="s">
        <v>542</v>
      </c>
      <c r="D613" s="10" t="s">
        <v>11</v>
      </c>
      <c r="E613" s="10"/>
      <c r="F613" s="5" t="e">
        <f>IF(DataExtraction="Manual",SUMIF('[1]TrialBalance (YTD)'!$C:$C,B613,'[1]TrialBalance (YTD)'!$E:$E),SUMIF('[1]TrialBalance (YTD)'!$G:$G,B613,'[1]TrialBalance (YTD)'!$I:$I))</f>
        <v>#VALUE!</v>
      </c>
      <c r="G613" s="5">
        <f>IFERROR(INDEX('[1]TrialBalance (YTD)'!$G:$S,MATCH([1]TBMapping!$C615,'[1]TrialBalance (YTD)'!G:G,0),MATCH([1]TBMapping!H$3,'[1]TrialBalance (YTD)'!$G$7:$Z$7,0)),0)</f>
        <v>0</v>
      </c>
      <c r="H613" s="5" t="e">
        <f>SUMIF('[1]TrialBalance (YTD)'!G:G,B613,'[1]TrialBalance (YTD)'!H:H)</f>
        <v>#VALUE!</v>
      </c>
      <c r="I613" s="5">
        <f>IFERROR(INDEX('[1]TrialBalance (YTD)'!$G:$S,MATCH([1]TBMapping!$C615,'[1]TrialBalance (YTD)'!G:G,0),MATCH([1]TBMapping!J$3,'[1]TrialBalance (YTD)'!$G$7:$Z$7,0)),0)</f>
        <v>0</v>
      </c>
      <c r="K613" s="5" t="e">
        <f>SUMIF('[1]TrialBalance (Quarter)'!$A:$A,B613,'[1]TrialBalance (Quarter)'!$B:$B)</f>
        <v>#VALUE!</v>
      </c>
      <c r="L613" s="5">
        <f>IFERROR(INDEX('[1]TrialBalance (Quarter)'!$A:$L,MATCH([1]TBMapping!$C615,'[1]TrialBalance (Quarter)'!A:A,0),MATCH([1]TBMapping!M$3,'[1]TrialBalance (Quarter)'!$7:$7,0)),0)</f>
        <v>0</v>
      </c>
      <c r="M613" s="5">
        <f>IFERROR(INDEX('[1]TrialBalance (Quarter)'!$A:$L,MATCH([1]TBMapping!$C615,'[1]TrialBalance (Quarter)'!A:A,0),MATCH([1]TBMapping!N$3,'[1]TrialBalance (Quarter)'!$7:$7,0)),0)</f>
        <v>0</v>
      </c>
      <c r="N613" s="5">
        <f>IFERROR(INDEX('[1]TrialBalance (Quarter)'!$A:$L,MATCH([1]TBMapping!$C615,'[1]TrialBalance (Quarter)'!A:A,0),MATCH([1]TBMapping!O$3,'[1]TrialBalance (Quarter)'!$7:$7,0)),0)</f>
        <v>0</v>
      </c>
    </row>
    <row r="614" spans="1:14">
      <c r="A614" s="2">
        <v>13</v>
      </c>
      <c r="B614" s="3">
        <v>213350</v>
      </c>
      <c r="C614" s="11" t="s">
        <v>543</v>
      </c>
      <c r="D614" s="11" t="s">
        <v>11</v>
      </c>
      <c r="E614" s="11"/>
      <c r="F614" s="5" t="e">
        <f>IF(DataExtraction="Manual",SUMIF('[1]TrialBalance (YTD)'!$C:$C,B614,'[1]TrialBalance (YTD)'!$E:$E),SUMIF('[1]TrialBalance (YTD)'!$G:$G,B614,'[1]TrialBalance (YTD)'!$I:$I))</f>
        <v>#VALUE!</v>
      </c>
      <c r="G614" s="5">
        <f>IFERROR(INDEX('[1]TrialBalance (YTD)'!$G:$S,MATCH([1]TBMapping!$C616,'[1]TrialBalance (YTD)'!G:G,0),MATCH([1]TBMapping!H$3,'[1]TrialBalance (YTD)'!$G$7:$Z$7,0)),0)</f>
        <v>0</v>
      </c>
      <c r="H614" s="5" t="e">
        <f>SUMIF('[1]TrialBalance (YTD)'!G:G,B614,'[1]TrialBalance (YTD)'!H:H)</f>
        <v>#VALUE!</v>
      </c>
      <c r="I614" s="5">
        <f>IFERROR(INDEX('[1]TrialBalance (YTD)'!$G:$S,MATCH([1]TBMapping!$C616,'[1]TrialBalance (YTD)'!G:G,0),MATCH([1]TBMapping!J$3,'[1]TrialBalance (YTD)'!$G$7:$Z$7,0)),0)</f>
        <v>0</v>
      </c>
      <c r="K614" s="5" t="e">
        <f>SUMIF('[1]TrialBalance (Quarter)'!$A:$A,B614,'[1]TrialBalance (Quarter)'!$B:$B)</f>
        <v>#VALUE!</v>
      </c>
      <c r="L614" s="5">
        <f>IFERROR(INDEX('[1]TrialBalance (Quarter)'!$A:$L,MATCH([1]TBMapping!$C616,'[1]TrialBalance (Quarter)'!A:A,0),MATCH([1]TBMapping!M$3,'[1]TrialBalance (Quarter)'!$7:$7,0)),0)</f>
        <v>0</v>
      </c>
      <c r="M614" s="5">
        <f>IFERROR(INDEX('[1]TrialBalance (Quarter)'!$A:$L,MATCH([1]TBMapping!$C616,'[1]TrialBalance (Quarter)'!A:A,0),MATCH([1]TBMapping!N$3,'[1]TrialBalance (Quarter)'!$7:$7,0)),0)</f>
        <v>0</v>
      </c>
      <c r="N614" s="5">
        <f>IFERROR(INDEX('[1]TrialBalance (Quarter)'!$A:$L,MATCH([1]TBMapping!$C616,'[1]TrialBalance (Quarter)'!A:A,0),MATCH([1]TBMapping!O$3,'[1]TrialBalance (Quarter)'!$7:$7,0)),0)</f>
        <v>0</v>
      </c>
    </row>
    <row r="615" spans="1:14">
      <c r="A615" s="2">
        <v>13</v>
      </c>
      <c r="B615" s="3">
        <v>213999</v>
      </c>
      <c r="C615" s="10" t="s">
        <v>549</v>
      </c>
      <c r="D615" s="10" t="s">
        <v>16</v>
      </c>
      <c r="E615" s="10"/>
      <c r="F615" s="5" t="e">
        <f>IF(DataExtraction="Manual",SUMIF('[1]TrialBalance (YTD)'!$C:$C,B615,'[1]TrialBalance (YTD)'!$E:$E),SUMIF('[1]TrialBalance (YTD)'!$G:$G,B615,'[1]TrialBalance (YTD)'!$I:$I))</f>
        <v>#VALUE!</v>
      </c>
      <c r="G615" s="5">
        <f>IFERROR(INDEX('[1]TrialBalance (YTD)'!$G:$S,MATCH([1]TBMapping!$C617,'[1]TrialBalance (YTD)'!G:G,0),MATCH([1]TBMapping!H$3,'[1]TrialBalance (YTD)'!$G$7:$Z$7,0)),0)</f>
        <v>0</v>
      </c>
      <c r="H615" s="5" t="e">
        <f>SUMIF('[1]TrialBalance (YTD)'!G:G,B615,'[1]TrialBalance (YTD)'!H:H)</f>
        <v>#VALUE!</v>
      </c>
      <c r="I615" s="5">
        <f>IFERROR(INDEX('[1]TrialBalance (YTD)'!$G:$S,MATCH([1]TBMapping!$C617,'[1]TrialBalance (YTD)'!G:G,0),MATCH([1]TBMapping!J$3,'[1]TrialBalance (YTD)'!$G$7:$Z$7,0)),0)</f>
        <v>0</v>
      </c>
      <c r="K615" s="5" t="e">
        <f>SUMIF('[1]TrialBalance (Quarter)'!$A:$A,B615,'[1]TrialBalance (Quarter)'!$B:$B)</f>
        <v>#VALUE!</v>
      </c>
      <c r="L615" s="5">
        <f>IFERROR(INDEX('[1]TrialBalance (Quarter)'!$A:$L,MATCH([1]TBMapping!$C617,'[1]TrialBalance (Quarter)'!A:A,0),MATCH([1]TBMapping!M$3,'[1]TrialBalance (Quarter)'!$7:$7,0)),0)</f>
        <v>0</v>
      </c>
      <c r="M615" s="5">
        <f>IFERROR(INDEX('[1]TrialBalance (Quarter)'!$A:$L,MATCH([1]TBMapping!$C617,'[1]TrialBalance (Quarter)'!A:A,0),MATCH([1]TBMapping!N$3,'[1]TrialBalance (Quarter)'!$7:$7,0)),0)</f>
        <v>0</v>
      </c>
      <c r="N615" s="5">
        <f>IFERROR(INDEX('[1]TrialBalance (Quarter)'!$A:$L,MATCH([1]TBMapping!$C617,'[1]TrialBalance (Quarter)'!A:A,0),MATCH([1]TBMapping!O$3,'[1]TrialBalance (Quarter)'!$7:$7,0)),0)</f>
        <v>0</v>
      </c>
    </row>
    <row r="616" spans="1:14">
      <c r="A616" s="2">
        <v>13</v>
      </c>
      <c r="B616" s="3">
        <v>214000</v>
      </c>
      <c r="C616" s="11" t="s">
        <v>550</v>
      </c>
      <c r="D616" s="11" t="s">
        <v>5</v>
      </c>
      <c r="E616" s="11"/>
      <c r="F616" s="5" t="e">
        <f>IF(DataExtraction="Manual",SUMIF('[1]TrialBalance (YTD)'!$C:$C,B616,'[1]TrialBalance (YTD)'!$E:$E),SUMIF('[1]TrialBalance (YTD)'!$G:$G,B616,'[1]TrialBalance (YTD)'!$I:$I))</f>
        <v>#VALUE!</v>
      </c>
      <c r="G616" s="5">
        <f>IFERROR(INDEX('[1]TrialBalance (YTD)'!$G:$S,MATCH([1]TBMapping!$C618,'[1]TrialBalance (YTD)'!G:G,0),MATCH([1]TBMapping!H$3,'[1]TrialBalance (YTD)'!$G$7:$Z$7,0)),0)</f>
        <v>0</v>
      </c>
      <c r="H616" s="5" t="e">
        <f>SUMIF('[1]TrialBalance (YTD)'!G:G,B616,'[1]TrialBalance (YTD)'!H:H)</f>
        <v>#VALUE!</v>
      </c>
      <c r="I616" s="5">
        <f>IFERROR(INDEX('[1]TrialBalance (YTD)'!$G:$S,MATCH([1]TBMapping!$C618,'[1]TrialBalance (YTD)'!G:G,0),MATCH([1]TBMapping!J$3,'[1]TrialBalance (YTD)'!$G$7:$Z$7,0)),0)</f>
        <v>0</v>
      </c>
      <c r="K616" s="5" t="e">
        <f>SUMIF('[1]TrialBalance (Quarter)'!$A:$A,B616,'[1]TrialBalance (Quarter)'!$B:$B)</f>
        <v>#VALUE!</v>
      </c>
      <c r="L616" s="5">
        <f>IFERROR(INDEX('[1]TrialBalance (Quarter)'!$A:$L,MATCH([1]TBMapping!$C618,'[1]TrialBalance (Quarter)'!A:A,0),MATCH([1]TBMapping!M$3,'[1]TrialBalance (Quarter)'!$7:$7,0)),0)</f>
        <v>0</v>
      </c>
      <c r="M616" s="5">
        <f>IFERROR(INDEX('[1]TrialBalance (Quarter)'!$A:$L,MATCH([1]TBMapping!$C618,'[1]TrialBalance (Quarter)'!A:A,0),MATCH([1]TBMapping!N$3,'[1]TrialBalance (Quarter)'!$7:$7,0)),0)</f>
        <v>0</v>
      </c>
      <c r="N616" s="5">
        <f>IFERROR(INDEX('[1]TrialBalance (Quarter)'!$A:$L,MATCH([1]TBMapping!$C618,'[1]TrialBalance (Quarter)'!A:A,0),MATCH([1]TBMapping!O$3,'[1]TrialBalance (Quarter)'!$7:$7,0)),0)</f>
        <v>0</v>
      </c>
    </row>
    <row r="617" spans="1:14">
      <c r="A617" s="2">
        <v>13</v>
      </c>
      <c r="B617" s="3">
        <v>214100</v>
      </c>
      <c r="C617" s="10" t="s">
        <v>551</v>
      </c>
      <c r="D617" s="10" t="s">
        <v>11</v>
      </c>
      <c r="E617" s="10"/>
      <c r="F617" s="5" t="e">
        <f>IF(DataExtraction="Manual",SUMIF('[1]TrialBalance (YTD)'!$C:$C,B617,'[1]TrialBalance (YTD)'!$E:$E),SUMIF('[1]TrialBalance (YTD)'!$G:$G,B617,'[1]TrialBalance (YTD)'!$I:$I))</f>
        <v>#VALUE!</v>
      </c>
      <c r="G617" s="5">
        <f>IFERROR(INDEX('[1]TrialBalance (YTD)'!$G:$S,MATCH([1]TBMapping!$C619,'[1]TrialBalance (YTD)'!G:G,0),MATCH([1]TBMapping!H$3,'[1]TrialBalance (YTD)'!$G$7:$Z$7,0)),0)</f>
        <v>0</v>
      </c>
      <c r="H617" s="5" t="e">
        <f>SUMIF('[1]TrialBalance (YTD)'!G:G,B617,'[1]TrialBalance (YTD)'!H:H)</f>
        <v>#VALUE!</v>
      </c>
      <c r="I617" s="5">
        <f>IFERROR(INDEX('[1]TrialBalance (YTD)'!$G:$S,MATCH([1]TBMapping!$C619,'[1]TrialBalance (YTD)'!G:G,0),MATCH([1]TBMapping!J$3,'[1]TrialBalance (YTD)'!$G$7:$Z$7,0)),0)</f>
        <v>0</v>
      </c>
      <c r="K617" s="5" t="e">
        <f>SUMIF('[1]TrialBalance (Quarter)'!$A:$A,B617,'[1]TrialBalance (Quarter)'!$B:$B)</f>
        <v>#VALUE!</v>
      </c>
      <c r="L617" s="5">
        <f>IFERROR(INDEX('[1]TrialBalance (Quarter)'!$A:$L,MATCH([1]TBMapping!$C619,'[1]TrialBalance (Quarter)'!A:A,0),MATCH([1]TBMapping!M$3,'[1]TrialBalance (Quarter)'!$7:$7,0)),0)</f>
        <v>0</v>
      </c>
      <c r="M617" s="5">
        <f>IFERROR(INDEX('[1]TrialBalance (Quarter)'!$A:$L,MATCH([1]TBMapping!$C619,'[1]TrialBalance (Quarter)'!A:A,0),MATCH([1]TBMapping!N$3,'[1]TrialBalance (Quarter)'!$7:$7,0)),0)</f>
        <v>0</v>
      </c>
      <c r="N617" s="5">
        <f>IFERROR(INDEX('[1]TrialBalance (Quarter)'!$A:$L,MATCH([1]TBMapping!$C619,'[1]TrialBalance (Quarter)'!A:A,0),MATCH([1]TBMapping!O$3,'[1]TrialBalance (Quarter)'!$7:$7,0)),0)</f>
        <v>0</v>
      </c>
    </row>
    <row r="618" spans="1:14">
      <c r="A618" s="2">
        <v>13</v>
      </c>
      <c r="B618" s="3">
        <v>214200</v>
      </c>
      <c r="C618" s="11" t="s">
        <v>552</v>
      </c>
      <c r="D618" s="11" t="s">
        <v>11</v>
      </c>
      <c r="E618" s="11"/>
      <c r="F618" s="5" t="e">
        <f>IF(DataExtraction="Manual",SUMIF('[1]TrialBalance (YTD)'!$C:$C,B618,'[1]TrialBalance (YTD)'!$E:$E),SUMIF('[1]TrialBalance (YTD)'!$G:$G,B618,'[1]TrialBalance (YTD)'!$I:$I))</f>
        <v>#VALUE!</v>
      </c>
      <c r="G618" s="5">
        <f>IFERROR(INDEX('[1]TrialBalance (YTD)'!$G:$S,MATCH([1]TBMapping!$C620,'[1]TrialBalance (YTD)'!G:G,0),MATCH([1]TBMapping!H$3,'[1]TrialBalance (YTD)'!$G$7:$Z$7,0)),0)</f>
        <v>0</v>
      </c>
      <c r="H618" s="5" t="e">
        <f>SUMIF('[1]TrialBalance (YTD)'!G:G,B618,'[1]TrialBalance (YTD)'!H:H)</f>
        <v>#VALUE!</v>
      </c>
      <c r="I618" s="5">
        <f>IFERROR(INDEX('[1]TrialBalance (YTD)'!$G:$S,MATCH([1]TBMapping!$C620,'[1]TrialBalance (YTD)'!G:G,0),MATCH([1]TBMapping!J$3,'[1]TrialBalance (YTD)'!$G$7:$Z$7,0)),0)</f>
        <v>0</v>
      </c>
      <c r="K618" s="5" t="e">
        <f>SUMIF('[1]TrialBalance (Quarter)'!$A:$A,B618,'[1]TrialBalance (Quarter)'!$B:$B)</f>
        <v>#VALUE!</v>
      </c>
      <c r="L618" s="5">
        <f>IFERROR(INDEX('[1]TrialBalance (Quarter)'!$A:$L,MATCH([1]TBMapping!$C620,'[1]TrialBalance (Quarter)'!A:A,0),MATCH([1]TBMapping!M$3,'[1]TrialBalance (Quarter)'!$7:$7,0)),0)</f>
        <v>0</v>
      </c>
      <c r="M618" s="5">
        <f>IFERROR(INDEX('[1]TrialBalance (Quarter)'!$A:$L,MATCH([1]TBMapping!$C620,'[1]TrialBalance (Quarter)'!A:A,0),MATCH([1]TBMapping!N$3,'[1]TrialBalance (Quarter)'!$7:$7,0)),0)</f>
        <v>0</v>
      </c>
      <c r="N618" s="5">
        <f>IFERROR(INDEX('[1]TrialBalance (Quarter)'!$A:$L,MATCH([1]TBMapping!$C620,'[1]TrialBalance (Quarter)'!A:A,0),MATCH([1]TBMapping!O$3,'[1]TrialBalance (Quarter)'!$7:$7,0)),0)</f>
        <v>0</v>
      </c>
    </row>
    <row r="619" spans="1:14">
      <c r="B619" s="3">
        <v>214999</v>
      </c>
      <c r="C619" s="10" t="s">
        <v>553</v>
      </c>
      <c r="D619" s="10" t="s">
        <v>16</v>
      </c>
      <c r="E619" s="10"/>
      <c r="F619" s="5" t="e">
        <f>IF(DataExtraction="Manual",SUMIF('[1]TrialBalance (YTD)'!$C:$C,B619,'[1]TrialBalance (YTD)'!$E:$E),SUMIF('[1]TrialBalance (YTD)'!$G:$G,B619,'[1]TrialBalance (YTD)'!$I:$I))</f>
        <v>#VALUE!</v>
      </c>
      <c r="G619" s="5">
        <f>IFERROR(INDEX('[1]TrialBalance (YTD)'!$G:$S,MATCH([1]TBMapping!$C621,'[1]TrialBalance (YTD)'!G:G,0),MATCH([1]TBMapping!H$3,'[1]TrialBalance (YTD)'!$G$7:$Z$7,0)),0)</f>
        <v>0</v>
      </c>
      <c r="H619" s="5" t="e">
        <f>SUMIF('[1]TrialBalance (YTD)'!G:G,B619,'[1]TrialBalance (YTD)'!H:H)</f>
        <v>#VALUE!</v>
      </c>
      <c r="I619" s="5">
        <f>IFERROR(INDEX('[1]TrialBalance (YTD)'!$G:$S,MATCH([1]TBMapping!$C621,'[1]TrialBalance (YTD)'!G:G,0),MATCH([1]TBMapping!J$3,'[1]TrialBalance (YTD)'!$G$7:$Z$7,0)),0)</f>
        <v>0</v>
      </c>
      <c r="K619" s="5" t="e">
        <f>SUMIF('[1]TrialBalance (Quarter)'!$A:$A,B619,'[1]TrialBalance (Quarter)'!$B:$B)</f>
        <v>#VALUE!</v>
      </c>
      <c r="L619" s="5">
        <f>IFERROR(INDEX('[1]TrialBalance (Quarter)'!$A:$L,MATCH([1]TBMapping!$C621,'[1]TrialBalance (Quarter)'!A:A,0),MATCH([1]TBMapping!M$3,'[1]TrialBalance (Quarter)'!$7:$7,0)),0)</f>
        <v>0</v>
      </c>
      <c r="M619" s="5">
        <f>IFERROR(INDEX('[1]TrialBalance (Quarter)'!$A:$L,MATCH([1]TBMapping!$C621,'[1]TrialBalance (Quarter)'!A:A,0),MATCH([1]TBMapping!N$3,'[1]TrialBalance (Quarter)'!$7:$7,0)),0)</f>
        <v>0</v>
      </c>
      <c r="N619" s="5">
        <f>IFERROR(INDEX('[1]TrialBalance (Quarter)'!$A:$L,MATCH([1]TBMapping!$C621,'[1]TrialBalance (Quarter)'!A:A,0),MATCH([1]TBMapping!O$3,'[1]TrialBalance (Quarter)'!$7:$7,0)),0)</f>
        <v>0</v>
      </c>
    </row>
    <row r="620" spans="1:14">
      <c r="A620" s="2">
        <v>13</v>
      </c>
      <c r="B620" s="3">
        <v>215000</v>
      </c>
      <c r="C620" s="11" t="s">
        <v>554</v>
      </c>
      <c r="D620" s="11" t="s">
        <v>5</v>
      </c>
      <c r="E620" s="11"/>
      <c r="F620" s="5" t="e">
        <f>IF(DataExtraction="Manual",SUMIF('[1]TrialBalance (YTD)'!$C:$C,B620,'[1]TrialBalance (YTD)'!$E:$E),SUMIF('[1]TrialBalance (YTD)'!$G:$G,B620,'[1]TrialBalance (YTD)'!$I:$I))</f>
        <v>#VALUE!</v>
      </c>
      <c r="G620" s="5">
        <f>IFERROR(INDEX('[1]TrialBalance (YTD)'!$G:$S,MATCH([1]TBMapping!$C622,'[1]TrialBalance (YTD)'!G:G,0),MATCH([1]TBMapping!H$3,'[1]TrialBalance (YTD)'!$G$7:$Z$7,0)),0)</f>
        <v>0</v>
      </c>
      <c r="H620" s="5" t="e">
        <f>SUMIF('[1]TrialBalance (YTD)'!G:G,B620,'[1]TrialBalance (YTD)'!H:H)</f>
        <v>#VALUE!</v>
      </c>
      <c r="I620" s="5">
        <f>IFERROR(INDEX('[1]TrialBalance (YTD)'!$G:$S,MATCH([1]TBMapping!$C622,'[1]TrialBalance (YTD)'!G:G,0),MATCH([1]TBMapping!J$3,'[1]TrialBalance (YTD)'!$G$7:$Z$7,0)),0)</f>
        <v>0</v>
      </c>
      <c r="K620" s="5" t="e">
        <f>SUMIF('[1]TrialBalance (Quarter)'!$A:$A,B620,'[1]TrialBalance (Quarter)'!$B:$B)</f>
        <v>#VALUE!</v>
      </c>
      <c r="L620" s="5">
        <f>IFERROR(INDEX('[1]TrialBalance (Quarter)'!$A:$L,MATCH([1]TBMapping!$C622,'[1]TrialBalance (Quarter)'!A:A,0),MATCH([1]TBMapping!M$3,'[1]TrialBalance (Quarter)'!$7:$7,0)),0)</f>
        <v>0</v>
      </c>
      <c r="M620" s="5">
        <f>IFERROR(INDEX('[1]TrialBalance (Quarter)'!$A:$L,MATCH([1]TBMapping!$C622,'[1]TrialBalance (Quarter)'!A:A,0),MATCH([1]TBMapping!N$3,'[1]TrialBalance (Quarter)'!$7:$7,0)),0)</f>
        <v>0</v>
      </c>
      <c r="N620" s="5">
        <f>IFERROR(INDEX('[1]TrialBalance (Quarter)'!$A:$L,MATCH([1]TBMapping!$C622,'[1]TrialBalance (Quarter)'!A:A,0),MATCH([1]TBMapping!O$3,'[1]TrialBalance (Quarter)'!$7:$7,0)),0)</f>
        <v>0</v>
      </c>
    </row>
    <row r="621" spans="1:14">
      <c r="A621" s="2">
        <v>13</v>
      </c>
      <c r="B621" s="3">
        <v>215100</v>
      </c>
      <c r="C621" s="10" t="s">
        <v>554</v>
      </c>
      <c r="D621" s="10" t="s">
        <v>11</v>
      </c>
      <c r="E621" s="10"/>
      <c r="F621" s="5" t="e">
        <f>IF(DataExtraction="Manual",SUMIF('[1]TrialBalance (YTD)'!$C:$C,B621,'[1]TrialBalance (YTD)'!$E:$E),SUMIF('[1]TrialBalance (YTD)'!$G:$G,B621,'[1]TrialBalance (YTD)'!$I:$I))</f>
        <v>#VALUE!</v>
      </c>
      <c r="G621" s="5">
        <f>IFERROR(INDEX('[1]TrialBalance (YTD)'!$G:$S,MATCH([1]TBMapping!$C623,'[1]TrialBalance (YTD)'!G:G,0),MATCH([1]TBMapping!H$3,'[1]TrialBalance (YTD)'!$G$7:$Z$7,0)),0)</f>
        <v>0</v>
      </c>
      <c r="H621" s="5" t="e">
        <f>SUMIF('[1]TrialBalance (YTD)'!G:G,B621,'[1]TrialBalance (YTD)'!H:H)</f>
        <v>#VALUE!</v>
      </c>
      <c r="I621" s="5">
        <f>IFERROR(INDEX('[1]TrialBalance (YTD)'!$G:$S,MATCH([1]TBMapping!$C623,'[1]TrialBalance (YTD)'!G:G,0),MATCH([1]TBMapping!J$3,'[1]TrialBalance (YTD)'!$G$7:$Z$7,0)),0)</f>
        <v>0</v>
      </c>
      <c r="K621" s="5" t="e">
        <f>SUMIF('[1]TrialBalance (Quarter)'!$A:$A,B621,'[1]TrialBalance (Quarter)'!$B:$B)</f>
        <v>#VALUE!</v>
      </c>
      <c r="L621" s="5">
        <f>IFERROR(INDEX('[1]TrialBalance (Quarter)'!$A:$L,MATCH([1]TBMapping!$C623,'[1]TrialBalance (Quarter)'!A:A,0),MATCH([1]TBMapping!M$3,'[1]TrialBalance (Quarter)'!$7:$7,0)),0)</f>
        <v>0</v>
      </c>
      <c r="M621" s="5">
        <f>IFERROR(INDEX('[1]TrialBalance (Quarter)'!$A:$L,MATCH([1]TBMapping!$C623,'[1]TrialBalance (Quarter)'!A:A,0),MATCH([1]TBMapping!N$3,'[1]TrialBalance (Quarter)'!$7:$7,0)),0)</f>
        <v>0</v>
      </c>
      <c r="N621" s="5">
        <f>IFERROR(INDEX('[1]TrialBalance (Quarter)'!$A:$L,MATCH([1]TBMapping!$C623,'[1]TrialBalance (Quarter)'!A:A,0),MATCH([1]TBMapping!O$3,'[1]TrialBalance (Quarter)'!$7:$7,0)),0)</f>
        <v>0</v>
      </c>
    </row>
    <row r="622" spans="1:14">
      <c r="A622" s="2">
        <v>13</v>
      </c>
      <c r="B622" s="3">
        <v>215200</v>
      </c>
      <c r="C622" s="11" t="s">
        <v>555</v>
      </c>
      <c r="D622" s="11" t="s">
        <v>11</v>
      </c>
      <c r="E622" s="11"/>
      <c r="F622" s="5" t="e">
        <f>IF(DataExtraction="Manual",SUMIF('[1]TrialBalance (YTD)'!$C:$C,B622,'[1]TrialBalance (YTD)'!$E:$E),SUMIF('[1]TrialBalance (YTD)'!$G:$G,B622,'[1]TrialBalance (YTD)'!$I:$I))</f>
        <v>#VALUE!</v>
      </c>
      <c r="G622" s="5">
        <f>IFERROR(INDEX('[1]TrialBalance (YTD)'!$G:$S,MATCH([1]TBMapping!$C624,'[1]TrialBalance (YTD)'!G:G,0),MATCH([1]TBMapping!H$3,'[1]TrialBalance (YTD)'!$G$7:$Z$7,0)),0)</f>
        <v>0</v>
      </c>
      <c r="H622" s="5" t="e">
        <f>SUMIF('[1]TrialBalance (YTD)'!G:G,B622,'[1]TrialBalance (YTD)'!H:H)</f>
        <v>#VALUE!</v>
      </c>
      <c r="I622" s="5">
        <f>IFERROR(INDEX('[1]TrialBalance (YTD)'!$G:$S,MATCH([1]TBMapping!$C624,'[1]TrialBalance (YTD)'!G:G,0),MATCH([1]TBMapping!J$3,'[1]TrialBalance (YTD)'!$G$7:$Z$7,0)),0)</f>
        <v>0</v>
      </c>
      <c r="K622" s="5" t="e">
        <f>SUMIF('[1]TrialBalance (Quarter)'!$A:$A,B622,'[1]TrialBalance (Quarter)'!$B:$B)</f>
        <v>#VALUE!</v>
      </c>
      <c r="L622" s="5">
        <f>IFERROR(INDEX('[1]TrialBalance (Quarter)'!$A:$L,MATCH([1]TBMapping!$C624,'[1]TrialBalance (Quarter)'!A:A,0),MATCH([1]TBMapping!M$3,'[1]TrialBalance (Quarter)'!$7:$7,0)),0)</f>
        <v>0</v>
      </c>
      <c r="M622" s="5">
        <f>IFERROR(INDEX('[1]TrialBalance (Quarter)'!$A:$L,MATCH([1]TBMapping!$C624,'[1]TrialBalance (Quarter)'!A:A,0),MATCH([1]TBMapping!N$3,'[1]TrialBalance (Quarter)'!$7:$7,0)),0)</f>
        <v>0</v>
      </c>
      <c r="N622" s="5">
        <f>IFERROR(INDEX('[1]TrialBalance (Quarter)'!$A:$L,MATCH([1]TBMapping!$C624,'[1]TrialBalance (Quarter)'!A:A,0),MATCH([1]TBMapping!O$3,'[1]TrialBalance (Quarter)'!$7:$7,0)),0)</f>
        <v>0</v>
      </c>
    </row>
    <row r="623" spans="1:14">
      <c r="B623" s="3">
        <v>215999</v>
      </c>
      <c r="C623" s="10" t="s">
        <v>556</v>
      </c>
      <c r="D623" s="10" t="s">
        <v>16</v>
      </c>
      <c r="E623" s="10"/>
      <c r="F623" s="5" t="e">
        <f>IF(DataExtraction="Manual",SUMIF('[1]TrialBalance (YTD)'!$C:$C,B623,'[1]TrialBalance (YTD)'!$E:$E),SUMIF('[1]TrialBalance (YTD)'!$G:$G,B623,'[1]TrialBalance (YTD)'!$I:$I))</f>
        <v>#VALUE!</v>
      </c>
      <c r="G623" s="5">
        <f>IFERROR(INDEX('[1]TrialBalance (YTD)'!$G:$S,MATCH([1]TBMapping!$C625,'[1]TrialBalance (YTD)'!G:G,0),MATCH([1]TBMapping!H$3,'[1]TrialBalance (YTD)'!$G$7:$Z$7,0)),0)</f>
        <v>0</v>
      </c>
      <c r="H623" s="5" t="e">
        <f>SUMIF('[1]TrialBalance (YTD)'!G:G,B623,'[1]TrialBalance (YTD)'!H:H)</f>
        <v>#VALUE!</v>
      </c>
      <c r="I623" s="5">
        <f>IFERROR(INDEX('[1]TrialBalance (YTD)'!$G:$S,MATCH([1]TBMapping!$C625,'[1]TrialBalance (YTD)'!G:G,0),MATCH([1]TBMapping!J$3,'[1]TrialBalance (YTD)'!$G$7:$Z$7,0)),0)</f>
        <v>0</v>
      </c>
      <c r="K623" s="5" t="e">
        <f>SUMIF('[1]TrialBalance (Quarter)'!$A:$A,B623,'[1]TrialBalance (Quarter)'!$B:$B)</f>
        <v>#VALUE!</v>
      </c>
      <c r="L623" s="5">
        <f>IFERROR(INDEX('[1]TrialBalance (Quarter)'!$A:$L,MATCH([1]TBMapping!$C625,'[1]TrialBalance (Quarter)'!A:A,0),MATCH([1]TBMapping!M$3,'[1]TrialBalance (Quarter)'!$7:$7,0)),0)</f>
        <v>0</v>
      </c>
      <c r="M623" s="5">
        <f>IFERROR(INDEX('[1]TrialBalance (Quarter)'!$A:$L,MATCH([1]TBMapping!$C625,'[1]TrialBalance (Quarter)'!A:A,0),MATCH([1]TBMapping!N$3,'[1]TrialBalance (Quarter)'!$7:$7,0)),0)</f>
        <v>0</v>
      </c>
      <c r="N623" s="5">
        <f>IFERROR(INDEX('[1]TrialBalance (Quarter)'!$A:$L,MATCH([1]TBMapping!$C625,'[1]TrialBalance (Quarter)'!A:A,0),MATCH([1]TBMapping!O$3,'[1]TrialBalance (Quarter)'!$7:$7,0)),0)</f>
        <v>0</v>
      </c>
    </row>
    <row r="624" spans="1:14">
      <c r="B624" s="3">
        <v>219999</v>
      </c>
      <c r="C624" s="11" t="s">
        <v>557</v>
      </c>
      <c r="D624" s="11" t="s">
        <v>16</v>
      </c>
      <c r="E624" s="11"/>
      <c r="F624" s="5" t="e">
        <f>IF(DataExtraction="Manual",SUMIF('[1]TrialBalance (YTD)'!$C:$C,B624,'[1]TrialBalance (YTD)'!$E:$E),SUMIF('[1]TrialBalance (YTD)'!$G:$G,B624,'[1]TrialBalance (YTD)'!$I:$I))</f>
        <v>#VALUE!</v>
      </c>
      <c r="G624" s="5">
        <f>IFERROR(INDEX('[1]TrialBalance (YTD)'!$G:$S,MATCH([1]TBMapping!$C626,'[1]TrialBalance (YTD)'!G:G,0),MATCH([1]TBMapping!H$3,'[1]TrialBalance (YTD)'!$G$7:$Z$7,0)),0)</f>
        <v>0</v>
      </c>
      <c r="H624" s="5" t="e">
        <f>SUMIF('[1]TrialBalance (YTD)'!G:G,B624,'[1]TrialBalance (YTD)'!H:H)</f>
        <v>#VALUE!</v>
      </c>
      <c r="I624" s="5">
        <f>IFERROR(INDEX('[1]TrialBalance (YTD)'!$G:$S,MATCH([1]TBMapping!$C626,'[1]TrialBalance (YTD)'!G:G,0),MATCH([1]TBMapping!J$3,'[1]TrialBalance (YTD)'!$G$7:$Z$7,0)),0)</f>
        <v>0</v>
      </c>
      <c r="K624" s="5" t="e">
        <f>SUMIF('[1]TrialBalance (Quarter)'!$A:$A,B624,'[1]TrialBalance (Quarter)'!$B:$B)</f>
        <v>#VALUE!</v>
      </c>
      <c r="L624" s="5">
        <f>IFERROR(INDEX('[1]TrialBalance (Quarter)'!$A:$L,MATCH([1]TBMapping!$C626,'[1]TrialBalance (Quarter)'!A:A,0),MATCH([1]TBMapping!M$3,'[1]TrialBalance (Quarter)'!$7:$7,0)),0)</f>
        <v>0</v>
      </c>
      <c r="M624" s="5">
        <f>IFERROR(INDEX('[1]TrialBalance (Quarter)'!$A:$L,MATCH([1]TBMapping!$C626,'[1]TrialBalance (Quarter)'!A:A,0),MATCH([1]TBMapping!N$3,'[1]TrialBalance (Quarter)'!$7:$7,0)),0)</f>
        <v>0</v>
      </c>
      <c r="N624" s="5">
        <f>IFERROR(INDEX('[1]TrialBalance (Quarter)'!$A:$L,MATCH([1]TBMapping!$C626,'[1]TrialBalance (Quarter)'!A:A,0),MATCH([1]TBMapping!O$3,'[1]TrialBalance (Quarter)'!$7:$7,0)),0)</f>
        <v>0</v>
      </c>
    </row>
    <row r="625" spans="1:14">
      <c r="B625" s="3">
        <v>220000</v>
      </c>
      <c r="C625" s="10" t="s">
        <v>558</v>
      </c>
      <c r="D625" s="10" t="s">
        <v>5</v>
      </c>
      <c r="E625" s="10"/>
      <c r="F625" s="5" t="e">
        <f>IF(DataExtraction="Manual",SUMIF('[1]TrialBalance (YTD)'!$C:$C,B625,'[1]TrialBalance (YTD)'!$E:$E),SUMIF('[1]TrialBalance (YTD)'!$G:$G,B625,'[1]TrialBalance (YTD)'!$I:$I))</f>
        <v>#VALUE!</v>
      </c>
      <c r="G625" s="5">
        <f>IFERROR(INDEX('[1]TrialBalance (YTD)'!$G:$S,MATCH([1]TBMapping!$C627,'[1]TrialBalance (YTD)'!G:G,0),MATCH([1]TBMapping!H$3,'[1]TrialBalance (YTD)'!$G$7:$Z$7,0)),0)</f>
        <v>0</v>
      </c>
      <c r="H625" s="5" t="e">
        <f>SUMIF('[1]TrialBalance (YTD)'!G:G,B625,'[1]TrialBalance (YTD)'!H:H)</f>
        <v>#VALUE!</v>
      </c>
      <c r="I625" s="5">
        <f>IFERROR(INDEX('[1]TrialBalance (YTD)'!$G:$S,MATCH([1]TBMapping!$C627,'[1]TrialBalance (YTD)'!G:G,0),MATCH([1]TBMapping!J$3,'[1]TrialBalance (YTD)'!$G$7:$Z$7,0)),0)</f>
        <v>0</v>
      </c>
      <c r="K625" s="5" t="e">
        <f>SUMIF('[1]TrialBalance (Quarter)'!$A:$A,B625,'[1]TrialBalance (Quarter)'!$B:$B)</f>
        <v>#VALUE!</v>
      </c>
      <c r="L625" s="5">
        <f>IFERROR(INDEX('[1]TrialBalance (Quarter)'!$A:$L,MATCH([1]TBMapping!$C627,'[1]TrialBalance (Quarter)'!A:A,0),MATCH([1]TBMapping!M$3,'[1]TrialBalance (Quarter)'!$7:$7,0)),0)</f>
        <v>0</v>
      </c>
      <c r="M625" s="5">
        <f>IFERROR(INDEX('[1]TrialBalance (Quarter)'!$A:$L,MATCH([1]TBMapping!$C627,'[1]TrialBalance (Quarter)'!A:A,0),MATCH([1]TBMapping!N$3,'[1]TrialBalance (Quarter)'!$7:$7,0)),0)</f>
        <v>0</v>
      </c>
      <c r="N625" s="5">
        <f>IFERROR(INDEX('[1]TrialBalance (Quarter)'!$A:$L,MATCH([1]TBMapping!$C627,'[1]TrialBalance (Quarter)'!A:A,0),MATCH([1]TBMapping!O$3,'[1]TrialBalance (Quarter)'!$7:$7,0)),0)</f>
        <v>0</v>
      </c>
    </row>
    <row r="626" spans="1:14">
      <c r="B626" s="3">
        <v>221000</v>
      </c>
      <c r="C626" s="11" t="s">
        <v>559</v>
      </c>
      <c r="D626" s="11" t="s">
        <v>5</v>
      </c>
      <c r="E626" s="11"/>
      <c r="F626" s="5" t="e">
        <f>IF(DataExtraction="Manual",SUMIF('[1]TrialBalance (YTD)'!$C:$C,B626,'[1]TrialBalance (YTD)'!$E:$E),SUMIF('[1]TrialBalance (YTD)'!$G:$G,B626,'[1]TrialBalance (YTD)'!$I:$I))</f>
        <v>#VALUE!</v>
      </c>
      <c r="G626" s="5">
        <f>IFERROR(INDEX('[1]TrialBalance (YTD)'!$G:$S,MATCH([1]TBMapping!$C628,'[1]TrialBalance (YTD)'!G:G,0),MATCH([1]TBMapping!H$3,'[1]TrialBalance (YTD)'!$G$7:$Z$7,0)),0)</f>
        <v>0</v>
      </c>
      <c r="H626" s="5" t="e">
        <f>SUMIF('[1]TrialBalance (YTD)'!G:G,B626,'[1]TrialBalance (YTD)'!H:H)</f>
        <v>#VALUE!</v>
      </c>
      <c r="I626" s="5">
        <f>IFERROR(INDEX('[1]TrialBalance (YTD)'!$G:$S,MATCH([1]TBMapping!$C628,'[1]TrialBalance (YTD)'!G:G,0),MATCH([1]TBMapping!J$3,'[1]TrialBalance (YTD)'!$G$7:$Z$7,0)),0)</f>
        <v>0</v>
      </c>
      <c r="K626" s="5" t="e">
        <f>SUMIF('[1]TrialBalance (Quarter)'!$A:$A,B626,'[1]TrialBalance (Quarter)'!$B:$B)</f>
        <v>#VALUE!</v>
      </c>
      <c r="L626" s="5">
        <f>IFERROR(INDEX('[1]TrialBalance (Quarter)'!$A:$L,MATCH([1]TBMapping!$C628,'[1]TrialBalance (Quarter)'!A:A,0),MATCH([1]TBMapping!M$3,'[1]TrialBalance (Quarter)'!$7:$7,0)),0)</f>
        <v>0</v>
      </c>
      <c r="M626" s="5">
        <f>IFERROR(INDEX('[1]TrialBalance (Quarter)'!$A:$L,MATCH([1]TBMapping!$C628,'[1]TrialBalance (Quarter)'!A:A,0),MATCH([1]TBMapping!N$3,'[1]TrialBalance (Quarter)'!$7:$7,0)),0)</f>
        <v>0</v>
      </c>
      <c r="N626" s="5">
        <f>IFERROR(INDEX('[1]TrialBalance (Quarter)'!$A:$L,MATCH([1]TBMapping!$C628,'[1]TrialBalance (Quarter)'!A:A,0),MATCH([1]TBMapping!O$3,'[1]TrialBalance (Quarter)'!$7:$7,0)),0)</f>
        <v>0</v>
      </c>
    </row>
    <row r="627" spans="1:14">
      <c r="A627" s="2">
        <v>2</v>
      </c>
      <c r="B627" s="3">
        <v>221110</v>
      </c>
      <c r="C627" s="10" t="s">
        <v>507</v>
      </c>
      <c r="D627" s="10" t="s">
        <v>11</v>
      </c>
      <c r="E627" s="10"/>
      <c r="F627" s="5" t="e">
        <f>IF(DataExtraction="Manual",SUMIF('[1]TrialBalance (YTD)'!$C:$C,B627,'[1]TrialBalance (YTD)'!$E:$E),SUMIF('[1]TrialBalance (YTD)'!$G:$G,B627,'[1]TrialBalance (YTD)'!$I:$I))</f>
        <v>#VALUE!</v>
      </c>
      <c r="G627" s="5">
        <f>IFERROR(INDEX('[1]TrialBalance (YTD)'!$G:$S,MATCH([1]TBMapping!$C629,'[1]TrialBalance (YTD)'!G:G,0),MATCH([1]TBMapping!H$3,'[1]TrialBalance (YTD)'!$G$7:$Z$7,0)),0)</f>
        <v>0</v>
      </c>
      <c r="H627" s="5" t="e">
        <f>SUMIF('[1]TrialBalance (YTD)'!G:G,B627,'[1]TrialBalance (YTD)'!H:H)</f>
        <v>#VALUE!</v>
      </c>
      <c r="I627" s="5">
        <f>IFERROR(INDEX('[1]TrialBalance (YTD)'!$G:$S,MATCH([1]TBMapping!$C629,'[1]TrialBalance (YTD)'!G:G,0),MATCH([1]TBMapping!J$3,'[1]TrialBalance (YTD)'!$G$7:$Z$7,0)),0)</f>
        <v>0</v>
      </c>
      <c r="K627" s="5" t="e">
        <f>SUMIF('[1]TrialBalance (Quarter)'!$A:$A,B627,'[1]TrialBalance (Quarter)'!$B:$B)</f>
        <v>#VALUE!</v>
      </c>
      <c r="L627" s="5">
        <f>IFERROR(INDEX('[1]TrialBalance (Quarter)'!$A:$L,MATCH([1]TBMapping!$C629,'[1]TrialBalance (Quarter)'!A:A,0),MATCH([1]TBMapping!M$3,'[1]TrialBalance (Quarter)'!$7:$7,0)),0)</f>
        <v>0</v>
      </c>
      <c r="M627" s="5">
        <f>IFERROR(INDEX('[1]TrialBalance (Quarter)'!$A:$L,MATCH([1]TBMapping!$C629,'[1]TrialBalance (Quarter)'!A:A,0),MATCH([1]TBMapping!N$3,'[1]TrialBalance (Quarter)'!$7:$7,0)),0)</f>
        <v>0</v>
      </c>
      <c r="N627" s="5">
        <f>IFERROR(INDEX('[1]TrialBalance (Quarter)'!$A:$L,MATCH([1]TBMapping!$C629,'[1]TrialBalance (Quarter)'!A:A,0),MATCH([1]TBMapping!O$3,'[1]TrialBalance (Quarter)'!$7:$7,0)),0)</f>
        <v>0</v>
      </c>
    </row>
    <row r="628" spans="1:14">
      <c r="A628" s="2">
        <v>2</v>
      </c>
      <c r="B628" s="3">
        <v>221112</v>
      </c>
      <c r="C628" s="11" t="s">
        <v>508</v>
      </c>
      <c r="D628" s="11" t="s">
        <v>11</v>
      </c>
      <c r="E628" s="11"/>
      <c r="F628" s="5" t="e">
        <f>IF(DataExtraction="Manual",SUMIF('[1]TrialBalance (YTD)'!$C:$C,B628,'[1]TrialBalance (YTD)'!$E:$E),SUMIF('[1]TrialBalance (YTD)'!$G:$G,B628,'[1]TrialBalance (YTD)'!$I:$I))</f>
        <v>#VALUE!</v>
      </c>
      <c r="G628" s="5">
        <f>IFERROR(INDEX('[1]TrialBalance (YTD)'!$G:$S,MATCH([1]TBMapping!$C630,'[1]TrialBalance (YTD)'!G:G,0),MATCH([1]TBMapping!H$3,'[1]TrialBalance (YTD)'!$G$7:$Z$7,0)),0)</f>
        <v>0</v>
      </c>
      <c r="H628" s="5" t="e">
        <f>SUMIF('[1]TrialBalance (YTD)'!G:G,B628,'[1]TrialBalance (YTD)'!H:H)</f>
        <v>#VALUE!</v>
      </c>
      <c r="I628" s="5">
        <f>IFERROR(INDEX('[1]TrialBalance (YTD)'!$G:$S,MATCH([1]TBMapping!$C630,'[1]TrialBalance (YTD)'!G:G,0),MATCH([1]TBMapping!J$3,'[1]TrialBalance (YTD)'!$G$7:$Z$7,0)),0)</f>
        <v>0</v>
      </c>
      <c r="K628" s="5" t="e">
        <f>SUMIF('[1]TrialBalance (Quarter)'!$A:$A,B628,'[1]TrialBalance (Quarter)'!$B:$B)</f>
        <v>#VALUE!</v>
      </c>
      <c r="L628" s="5">
        <f>IFERROR(INDEX('[1]TrialBalance (Quarter)'!$A:$L,MATCH([1]TBMapping!$C630,'[1]TrialBalance (Quarter)'!A:A,0),MATCH([1]TBMapping!M$3,'[1]TrialBalance (Quarter)'!$7:$7,0)),0)</f>
        <v>0</v>
      </c>
      <c r="M628" s="5">
        <f>IFERROR(INDEX('[1]TrialBalance (Quarter)'!$A:$L,MATCH([1]TBMapping!$C630,'[1]TrialBalance (Quarter)'!A:A,0),MATCH([1]TBMapping!N$3,'[1]TrialBalance (Quarter)'!$7:$7,0)),0)</f>
        <v>0</v>
      </c>
      <c r="N628" s="5">
        <f>IFERROR(INDEX('[1]TrialBalance (Quarter)'!$A:$L,MATCH([1]TBMapping!$C630,'[1]TrialBalance (Quarter)'!A:A,0),MATCH([1]TBMapping!O$3,'[1]TrialBalance (Quarter)'!$7:$7,0)),0)</f>
        <v>0</v>
      </c>
    </row>
    <row r="629" spans="1:14">
      <c r="A629" s="2">
        <v>2</v>
      </c>
      <c r="B629" s="3">
        <v>221115</v>
      </c>
      <c r="C629" s="10" t="s">
        <v>560</v>
      </c>
      <c r="D629" s="10" t="s">
        <v>11</v>
      </c>
      <c r="E629" s="10"/>
      <c r="F629" s="5" t="e">
        <f>IF(DataExtraction="Manual",SUMIF('[1]TrialBalance (YTD)'!$C:$C,B629,'[1]TrialBalance (YTD)'!$E:$E),SUMIF('[1]TrialBalance (YTD)'!$G:$G,B629,'[1]TrialBalance (YTD)'!$I:$I))</f>
        <v>#VALUE!</v>
      </c>
      <c r="G629" s="5">
        <f>IFERROR(INDEX('[1]TrialBalance (YTD)'!$G:$S,MATCH([1]TBMapping!$C631,'[1]TrialBalance (YTD)'!G:G,0),MATCH([1]TBMapping!H$3,'[1]TrialBalance (YTD)'!$G$7:$Z$7,0)),0)</f>
        <v>0</v>
      </c>
      <c r="H629" s="5" t="e">
        <f>SUMIF('[1]TrialBalance (YTD)'!G:G,B629,'[1]TrialBalance (YTD)'!H:H)</f>
        <v>#VALUE!</v>
      </c>
      <c r="I629" s="5">
        <f>IFERROR(INDEX('[1]TrialBalance (YTD)'!$G:$S,MATCH([1]TBMapping!$C631,'[1]TrialBalance (YTD)'!G:G,0),MATCH([1]TBMapping!J$3,'[1]TrialBalance (YTD)'!$G$7:$Z$7,0)),0)</f>
        <v>0</v>
      </c>
      <c r="K629" s="5" t="e">
        <f>SUMIF('[1]TrialBalance (Quarter)'!$A:$A,B629,'[1]TrialBalance (Quarter)'!$B:$B)</f>
        <v>#VALUE!</v>
      </c>
      <c r="L629" s="5">
        <f>IFERROR(INDEX('[1]TrialBalance (Quarter)'!$A:$L,MATCH([1]TBMapping!$C631,'[1]TrialBalance (Quarter)'!A:A,0),MATCH([1]TBMapping!M$3,'[1]TrialBalance (Quarter)'!$7:$7,0)),0)</f>
        <v>0</v>
      </c>
      <c r="M629" s="5">
        <f>IFERROR(INDEX('[1]TrialBalance (Quarter)'!$A:$L,MATCH([1]TBMapping!$C631,'[1]TrialBalance (Quarter)'!A:A,0),MATCH([1]TBMapping!N$3,'[1]TrialBalance (Quarter)'!$7:$7,0)),0)</f>
        <v>0</v>
      </c>
      <c r="N629" s="5">
        <f>IFERROR(INDEX('[1]TrialBalance (Quarter)'!$A:$L,MATCH([1]TBMapping!$C631,'[1]TrialBalance (Quarter)'!A:A,0),MATCH([1]TBMapping!O$3,'[1]TrialBalance (Quarter)'!$7:$7,0)),0)</f>
        <v>0</v>
      </c>
    </row>
    <row r="630" spans="1:14">
      <c r="A630" s="2">
        <v>2</v>
      </c>
      <c r="B630" s="3">
        <v>221120</v>
      </c>
      <c r="C630" s="11" t="s">
        <v>509</v>
      </c>
      <c r="D630" s="11" t="s">
        <v>11</v>
      </c>
      <c r="E630" s="11"/>
      <c r="F630" s="5" t="e">
        <f>IF(DataExtraction="Manual",SUMIF('[1]TrialBalance (YTD)'!$C:$C,B630,'[1]TrialBalance (YTD)'!$E:$E),SUMIF('[1]TrialBalance (YTD)'!$G:$G,B630,'[1]TrialBalance (YTD)'!$I:$I))</f>
        <v>#VALUE!</v>
      </c>
      <c r="G630" s="5">
        <f>IFERROR(INDEX('[1]TrialBalance (YTD)'!$G:$S,MATCH([1]TBMapping!$C632,'[1]TrialBalance (YTD)'!G:G,0),MATCH([1]TBMapping!H$3,'[1]TrialBalance (YTD)'!$G$7:$Z$7,0)),0)</f>
        <v>0</v>
      </c>
      <c r="H630" s="5" t="e">
        <f>SUMIF('[1]TrialBalance (YTD)'!G:G,B630,'[1]TrialBalance (YTD)'!H:H)</f>
        <v>#VALUE!</v>
      </c>
      <c r="I630" s="5">
        <f>IFERROR(INDEX('[1]TrialBalance (YTD)'!$G:$S,MATCH([1]TBMapping!$C632,'[1]TrialBalance (YTD)'!G:G,0),MATCH([1]TBMapping!J$3,'[1]TrialBalance (YTD)'!$G$7:$Z$7,0)),0)</f>
        <v>0</v>
      </c>
      <c r="K630" s="5" t="e">
        <f>SUMIF('[1]TrialBalance (Quarter)'!$A:$A,B630,'[1]TrialBalance (Quarter)'!$B:$B)</f>
        <v>#VALUE!</v>
      </c>
      <c r="L630" s="5">
        <f>IFERROR(INDEX('[1]TrialBalance (Quarter)'!$A:$L,MATCH([1]TBMapping!$C632,'[1]TrialBalance (Quarter)'!A:A,0),MATCH([1]TBMapping!M$3,'[1]TrialBalance (Quarter)'!$7:$7,0)),0)</f>
        <v>0</v>
      </c>
      <c r="M630" s="5">
        <f>IFERROR(INDEX('[1]TrialBalance (Quarter)'!$A:$L,MATCH([1]TBMapping!$C632,'[1]TrialBalance (Quarter)'!A:A,0),MATCH([1]TBMapping!N$3,'[1]TrialBalance (Quarter)'!$7:$7,0)),0)</f>
        <v>0</v>
      </c>
      <c r="N630" s="5">
        <f>IFERROR(INDEX('[1]TrialBalance (Quarter)'!$A:$L,MATCH([1]TBMapping!$C632,'[1]TrialBalance (Quarter)'!A:A,0),MATCH([1]TBMapping!O$3,'[1]TrialBalance (Quarter)'!$7:$7,0)),0)</f>
        <v>0</v>
      </c>
    </row>
    <row r="631" spans="1:14">
      <c r="A631" s="2">
        <v>2</v>
      </c>
      <c r="B631" s="3">
        <v>221130</v>
      </c>
      <c r="C631" s="10" t="s">
        <v>510</v>
      </c>
      <c r="D631" s="10" t="s">
        <v>11</v>
      </c>
      <c r="E631" s="10"/>
      <c r="F631" s="5" t="e">
        <f>IF(DataExtraction="Manual",SUMIF('[1]TrialBalance (YTD)'!$C:$C,B631,'[1]TrialBalance (YTD)'!$E:$E),SUMIF('[1]TrialBalance (YTD)'!$G:$G,B631,'[1]TrialBalance (YTD)'!$I:$I))</f>
        <v>#VALUE!</v>
      </c>
      <c r="G631" s="5">
        <f>IFERROR(INDEX('[1]TrialBalance (YTD)'!$G:$S,MATCH([1]TBMapping!$C633,'[1]TrialBalance (YTD)'!G:G,0),MATCH([1]TBMapping!H$3,'[1]TrialBalance (YTD)'!$G$7:$Z$7,0)),0)</f>
        <v>0</v>
      </c>
      <c r="H631" s="5" t="e">
        <f>SUMIF('[1]TrialBalance (YTD)'!G:G,B631,'[1]TrialBalance (YTD)'!H:H)</f>
        <v>#VALUE!</v>
      </c>
      <c r="I631" s="5">
        <f>IFERROR(INDEX('[1]TrialBalance (YTD)'!$G:$S,MATCH([1]TBMapping!$C633,'[1]TrialBalance (YTD)'!G:G,0),MATCH([1]TBMapping!J$3,'[1]TrialBalance (YTD)'!$G$7:$Z$7,0)),0)</f>
        <v>0</v>
      </c>
      <c r="K631" s="5" t="e">
        <f>SUMIF('[1]TrialBalance (Quarter)'!$A:$A,B631,'[1]TrialBalance (Quarter)'!$B:$B)</f>
        <v>#VALUE!</v>
      </c>
      <c r="L631" s="5">
        <f>IFERROR(INDEX('[1]TrialBalance (Quarter)'!$A:$L,MATCH([1]TBMapping!$C633,'[1]TrialBalance (Quarter)'!A:A,0),MATCH([1]TBMapping!M$3,'[1]TrialBalance (Quarter)'!$7:$7,0)),0)</f>
        <v>0</v>
      </c>
      <c r="M631" s="5">
        <f>IFERROR(INDEX('[1]TrialBalance (Quarter)'!$A:$L,MATCH([1]TBMapping!$C633,'[1]TrialBalance (Quarter)'!A:A,0),MATCH([1]TBMapping!N$3,'[1]TrialBalance (Quarter)'!$7:$7,0)),0)</f>
        <v>0</v>
      </c>
      <c r="N631" s="5">
        <f>IFERROR(INDEX('[1]TrialBalance (Quarter)'!$A:$L,MATCH([1]TBMapping!$C633,'[1]TrialBalance (Quarter)'!A:A,0),MATCH([1]TBMapping!O$3,'[1]TrialBalance (Quarter)'!$7:$7,0)),0)</f>
        <v>0</v>
      </c>
    </row>
    <row r="632" spans="1:14">
      <c r="A632" s="2">
        <v>2</v>
      </c>
      <c r="B632" s="3">
        <v>221135</v>
      </c>
      <c r="C632" s="11" t="s">
        <v>511</v>
      </c>
      <c r="D632" s="11" t="s">
        <v>11</v>
      </c>
      <c r="E632" s="11"/>
      <c r="F632" s="5" t="e">
        <f>IF(DataExtraction="Manual",SUMIF('[1]TrialBalance (YTD)'!$C:$C,B632,'[1]TrialBalance (YTD)'!$E:$E),SUMIF('[1]TrialBalance (YTD)'!$G:$G,B632,'[1]TrialBalance (YTD)'!$I:$I))</f>
        <v>#VALUE!</v>
      </c>
      <c r="G632" s="5">
        <f>IFERROR(INDEX('[1]TrialBalance (YTD)'!$G:$S,MATCH([1]TBMapping!$C634,'[1]TrialBalance (YTD)'!G:G,0),MATCH([1]TBMapping!H$3,'[1]TrialBalance (YTD)'!$G$7:$Z$7,0)),0)</f>
        <v>0</v>
      </c>
      <c r="H632" s="5" t="e">
        <f>SUMIF('[1]TrialBalance (YTD)'!G:G,B632,'[1]TrialBalance (YTD)'!H:H)</f>
        <v>#VALUE!</v>
      </c>
      <c r="I632" s="5">
        <f>IFERROR(INDEX('[1]TrialBalance (YTD)'!$G:$S,MATCH([1]TBMapping!$C634,'[1]TrialBalance (YTD)'!G:G,0),MATCH([1]TBMapping!J$3,'[1]TrialBalance (YTD)'!$G$7:$Z$7,0)),0)</f>
        <v>0</v>
      </c>
      <c r="K632" s="5" t="e">
        <f>SUMIF('[1]TrialBalance (Quarter)'!$A:$A,B632,'[1]TrialBalance (Quarter)'!$B:$B)</f>
        <v>#VALUE!</v>
      </c>
      <c r="L632" s="5">
        <f>IFERROR(INDEX('[1]TrialBalance (Quarter)'!$A:$L,MATCH([1]TBMapping!$C634,'[1]TrialBalance (Quarter)'!A:A,0),MATCH([1]TBMapping!M$3,'[1]TrialBalance (Quarter)'!$7:$7,0)),0)</f>
        <v>0</v>
      </c>
      <c r="M632" s="5">
        <f>IFERROR(INDEX('[1]TrialBalance (Quarter)'!$A:$L,MATCH([1]TBMapping!$C634,'[1]TrialBalance (Quarter)'!A:A,0),MATCH([1]TBMapping!N$3,'[1]TrialBalance (Quarter)'!$7:$7,0)),0)</f>
        <v>0</v>
      </c>
      <c r="N632" s="5">
        <f>IFERROR(INDEX('[1]TrialBalance (Quarter)'!$A:$L,MATCH([1]TBMapping!$C634,'[1]TrialBalance (Quarter)'!A:A,0),MATCH([1]TBMapping!O$3,'[1]TrialBalance (Quarter)'!$7:$7,0)),0)</f>
        <v>0</v>
      </c>
    </row>
    <row r="633" spans="1:14">
      <c r="A633" s="2">
        <v>2</v>
      </c>
      <c r="B633" s="3">
        <v>221137</v>
      </c>
      <c r="C633" s="10" t="s">
        <v>530</v>
      </c>
      <c r="D633" s="10" t="s">
        <v>11</v>
      </c>
      <c r="E633" s="10"/>
      <c r="F633" s="5" t="e">
        <f>IF(DataExtraction="Manual",SUMIF('[1]TrialBalance (YTD)'!$C:$C,B633,'[1]TrialBalance (YTD)'!$E:$E),SUMIF('[1]TrialBalance (YTD)'!$G:$G,B633,'[1]TrialBalance (YTD)'!$I:$I))</f>
        <v>#VALUE!</v>
      </c>
      <c r="G633" s="5">
        <f>IFERROR(INDEX('[1]TrialBalance (YTD)'!$G:$S,MATCH([1]TBMapping!$C635,'[1]TrialBalance (YTD)'!G:G,0),MATCH([1]TBMapping!H$3,'[1]TrialBalance (YTD)'!$G$7:$Z$7,0)),0)</f>
        <v>0</v>
      </c>
      <c r="H633" s="5" t="e">
        <f>SUMIF('[1]TrialBalance (YTD)'!G:G,B633,'[1]TrialBalance (YTD)'!H:H)</f>
        <v>#VALUE!</v>
      </c>
      <c r="I633" s="5">
        <f>IFERROR(INDEX('[1]TrialBalance (YTD)'!$G:$S,MATCH([1]TBMapping!$C635,'[1]TrialBalance (YTD)'!G:G,0),MATCH([1]TBMapping!J$3,'[1]TrialBalance (YTD)'!$G$7:$Z$7,0)),0)</f>
        <v>0</v>
      </c>
      <c r="K633" s="5" t="e">
        <f>SUMIF('[1]TrialBalance (Quarter)'!$A:$A,B633,'[1]TrialBalance (Quarter)'!$B:$B)</f>
        <v>#VALUE!</v>
      </c>
      <c r="L633" s="5">
        <f>IFERROR(INDEX('[1]TrialBalance (Quarter)'!$A:$L,MATCH([1]TBMapping!$C635,'[1]TrialBalance (Quarter)'!A:A,0),MATCH([1]TBMapping!M$3,'[1]TrialBalance (Quarter)'!$7:$7,0)),0)</f>
        <v>0</v>
      </c>
      <c r="M633" s="5">
        <f>IFERROR(INDEX('[1]TrialBalance (Quarter)'!$A:$L,MATCH([1]TBMapping!$C635,'[1]TrialBalance (Quarter)'!A:A,0),MATCH([1]TBMapping!N$3,'[1]TrialBalance (Quarter)'!$7:$7,0)),0)</f>
        <v>0</v>
      </c>
      <c r="N633" s="5">
        <f>IFERROR(INDEX('[1]TrialBalance (Quarter)'!$A:$L,MATCH([1]TBMapping!$C635,'[1]TrialBalance (Quarter)'!A:A,0),MATCH([1]TBMapping!O$3,'[1]TrialBalance (Quarter)'!$7:$7,0)),0)</f>
        <v>0</v>
      </c>
    </row>
    <row r="634" spans="1:14">
      <c r="A634" s="2">
        <v>2</v>
      </c>
      <c r="B634" s="3">
        <v>221210</v>
      </c>
      <c r="C634" s="11" t="s">
        <v>561</v>
      </c>
      <c r="D634" s="11" t="s">
        <v>11</v>
      </c>
      <c r="E634" s="11"/>
      <c r="F634" s="5" t="e">
        <f>IF(DataExtraction="Manual",SUMIF('[1]TrialBalance (YTD)'!$C:$C,B634,'[1]TrialBalance (YTD)'!$E:$E),SUMIF('[1]TrialBalance (YTD)'!$G:$G,B634,'[1]TrialBalance (YTD)'!$I:$I))</f>
        <v>#VALUE!</v>
      </c>
      <c r="G634" s="5">
        <f>IFERROR(INDEX('[1]TrialBalance (YTD)'!$G:$S,MATCH([1]TBMapping!$C636,'[1]TrialBalance (YTD)'!G:G,0),MATCH([1]TBMapping!H$3,'[1]TrialBalance (YTD)'!$G$7:$Z$7,0)),0)</f>
        <v>0</v>
      </c>
      <c r="H634" s="5" t="e">
        <f>SUMIF('[1]TrialBalance (YTD)'!G:G,B634,'[1]TrialBalance (YTD)'!H:H)</f>
        <v>#VALUE!</v>
      </c>
      <c r="I634" s="5">
        <f>IFERROR(INDEX('[1]TrialBalance (YTD)'!$G:$S,MATCH([1]TBMapping!$C636,'[1]TrialBalance (YTD)'!G:G,0),MATCH([1]TBMapping!J$3,'[1]TrialBalance (YTD)'!$G$7:$Z$7,0)),0)</f>
        <v>0</v>
      </c>
      <c r="K634" s="5" t="e">
        <f>SUMIF('[1]TrialBalance (Quarter)'!$A:$A,B634,'[1]TrialBalance (Quarter)'!$B:$B)</f>
        <v>#VALUE!</v>
      </c>
      <c r="L634" s="5">
        <f>IFERROR(INDEX('[1]TrialBalance (Quarter)'!$A:$L,MATCH([1]TBMapping!$C636,'[1]TrialBalance (Quarter)'!A:A,0),MATCH([1]TBMapping!M$3,'[1]TrialBalance (Quarter)'!$7:$7,0)),0)</f>
        <v>0</v>
      </c>
      <c r="M634" s="5">
        <f>IFERROR(INDEX('[1]TrialBalance (Quarter)'!$A:$L,MATCH([1]TBMapping!$C636,'[1]TrialBalance (Quarter)'!A:A,0),MATCH([1]TBMapping!N$3,'[1]TrialBalance (Quarter)'!$7:$7,0)),0)</f>
        <v>0</v>
      </c>
      <c r="N634" s="5">
        <f>IFERROR(INDEX('[1]TrialBalance (Quarter)'!$A:$L,MATCH([1]TBMapping!$C636,'[1]TrialBalance (Quarter)'!A:A,0),MATCH([1]TBMapping!O$3,'[1]TrialBalance (Quarter)'!$7:$7,0)),0)</f>
        <v>0</v>
      </c>
    </row>
    <row r="635" spans="1:14">
      <c r="A635" s="2">
        <v>2</v>
      </c>
      <c r="B635" s="3">
        <v>221220</v>
      </c>
      <c r="C635" s="10" t="s">
        <v>562</v>
      </c>
      <c r="D635" s="10" t="s">
        <v>11</v>
      </c>
      <c r="E635" s="10"/>
      <c r="F635" s="5" t="e">
        <f>IF(DataExtraction="Manual",SUMIF('[1]TrialBalance (YTD)'!$C:$C,B635,'[1]TrialBalance (YTD)'!$E:$E),SUMIF('[1]TrialBalance (YTD)'!$G:$G,B635,'[1]TrialBalance (YTD)'!$I:$I))</f>
        <v>#VALUE!</v>
      </c>
      <c r="G635" s="5">
        <f>IFERROR(INDEX('[1]TrialBalance (YTD)'!$G:$S,MATCH([1]TBMapping!$C637,'[1]TrialBalance (YTD)'!G:G,0),MATCH([1]TBMapping!H$3,'[1]TrialBalance (YTD)'!$G$7:$Z$7,0)),0)</f>
        <v>0</v>
      </c>
      <c r="H635" s="5" t="e">
        <f>SUMIF('[1]TrialBalance (YTD)'!G:G,B635,'[1]TrialBalance (YTD)'!H:H)</f>
        <v>#VALUE!</v>
      </c>
      <c r="I635" s="5">
        <f>IFERROR(INDEX('[1]TrialBalance (YTD)'!$G:$S,MATCH([1]TBMapping!$C637,'[1]TrialBalance (YTD)'!G:G,0),MATCH([1]TBMapping!J$3,'[1]TrialBalance (YTD)'!$G$7:$Z$7,0)),0)</f>
        <v>0</v>
      </c>
      <c r="K635" s="5" t="e">
        <f>SUMIF('[1]TrialBalance (Quarter)'!$A:$A,B635,'[1]TrialBalance (Quarter)'!$B:$B)</f>
        <v>#VALUE!</v>
      </c>
      <c r="L635" s="5">
        <f>IFERROR(INDEX('[1]TrialBalance (Quarter)'!$A:$L,MATCH([1]TBMapping!$C637,'[1]TrialBalance (Quarter)'!A:A,0),MATCH([1]TBMapping!M$3,'[1]TrialBalance (Quarter)'!$7:$7,0)),0)</f>
        <v>0</v>
      </c>
      <c r="M635" s="5">
        <f>IFERROR(INDEX('[1]TrialBalance (Quarter)'!$A:$L,MATCH([1]TBMapping!$C637,'[1]TrialBalance (Quarter)'!A:A,0),MATCH([1]TBMapping!N$3,'[1]TrialBalance (Quarter)'!$7:$7,0)),0)</f>
        <v>0</v>
      </c>
      <c r="N635" s="5">
        <f>IFERROR(INDEX('[1]TrialBalance (Quarter)'!$A:$L,MATCH([1]TBMapping!$C637,'[1]TrialBalance (Quarter)'!A:A,0),MATCH([1]TBMapping!O$3,'[1]TrialBalance (Quarter)'!$7:$7,0)),0)</f>
        <v>0</v>
      </c>
    </row>
    <row r="636" spans="1:14">
      <c r="A636" s="2">
        <v>2</v>
      </c>
      <c r="B636" s="3">
        <v>221250</v>
      </c>
      <c r="C636" s="11" t="s">
        <v>530</v>
      </c>
      <c r="D636" s="11" t="s">
        <v>11</v>
      </c>
      <c r="E636" s="11"/>
      <c r="F636" s="5" t="e">
        <f>IF(DataExtraction="Manual",SUMIF('[1]TrialBalance (YTD)'!$C:$C,B636,'[1]TrialBalance (YTD)'!$E:$E),SUMIF('[1]TrialBalance (YTD)'!$G:$G,B636,'[1]TrialBalance (YTD)'!$I:$I))</f>
        <v>#VALUE!</v>
      </c>
      <c r="G636" s="5">
        <f>IFERROR(INDEX('[1]TrialBalance (YTD)'!$G:$S,MATCH([1]TBMapping!$C638,'[1]TrialBalance (YTD)'!G:G,0),MATCH([1]TBMapping!H$3,'[1]TrialBalance (YTD)'!$G$7:$Z$7,0)),0)</f>
        <v>0</v>
      </c>
      <c r="H636" s="5" t="e">
        <f>SUMIF('[1]TrialBalance (YTD)'!G:G,B636,'[1]TrialBalance (YTD)'!H:H)</f>
        <v>#VALUE!</v>
      </c>
      <c r="I636" s="5">
        <f>IFERROR(INDEX('[1]TrialBalance (YTD)'!$G:$S,MATCH([1]TBMapping!$C638,'[1]TrialBalance (YTD)'!G:G,0),MATCH([1]TBMapping!J$3,'[1]TrialBalance (YTD)'!$G$7:$Z$7,0)),0)</f>
        <v>0</v>
      </c>
      <c r="K636" s="5" t="e">
        <f>SUMIF('[1]TrialBalance (Quarter)'!$A:$A,B636,'[1]TrialBalance (Quarter)'!$B:$B)</f>
        <v>#VALUE!</v>
      </c>
      <c r="L636" s="5">
        <f>IFERROR(INDEX('[1]TrialBalance (Quarter)'!$A:$L,MATCH([1]TBMapping!$C638,'[1]TrialBalance (Quarter)'!A:A,0),MATCH([1]TBMapping!M$3,'[1]TrialBalance (Quarter)'!$7:$7,0)),0)</f>
        <v>0</v>
      </c>
      <c r="M636" s="5">
        <f>IFERROR(INDEX('[1]TrialBalance (Quarter)'!$A:$L,MATCH([1]TBMapping!$C638,'[1]TrialBalance (Quarter)'!A:A,0),MATCH([1]TBMapping!N$3,'[1]TrialBalance (Quarter)'!$7:$7,0)),0)</f>
        <v>0</v>
      </c>
      <c r="N636" s="5">
        <f>IFERROR(INDEX('[1]TrialBalance (Quarter)'!$A:$L,MATCH([1]TBMapping!$C638,'[1]TrialBalance (Quarter)'!A:A,0),MATCH([1]TBMapping!O$3,'[1]TrialBalance (Quarter)'!$7:$7,0)),0)</f>
        <v>0</v>
      </c>
    </row>
    <row r="637" spans="1:14">
      <c r="A637" s="2">
        <v>2</v>
      </c>
      <c r="B637" s="3">
        <v>221310</v>
      </c>
      <c r="C637" s="10" t="s">
        <v>512</v>
      </c>
      <c r="D637" s="10" t="s">
        <v>11</v>
      </c>
      <c r="E637" s="10"/>
      <c r="F637" s="5" t="e">
        <f>IF(DataExtraction="Manual",SUMIF('[1]TrialBalance (YTD)'!$C:$C,B637,'[1]TrialBalance (YTD)'!$E:$E),SUMIF('[1]TrialBalance (YTD)'!$G:$G,B637,'[1]TrialBalance (YTD)'!$I:$I))</f>
        <v>#VALUE!</v>
      </c>
      <c r="G637" s="5">
        <f>IFERROR(INDEX('[1]TrialBalance (YTD)'!$G:$S,MATCH([1]TBMapping!$C639,'[1]TrialBalance (YTD)'!G:G,0),MATCH([1]TBMapping!H$3,'[1]TrialBalance (YTD)'!$G$7:$Z$7,0)),0)</f>
        <v>0</v>
      </c>
      <c r="H637" s="5" t="e">
        <f>SUMIF('[1]TrialBalance (YTD)'!G:G,B637,'[1]TrialBalance (YTD)'!H:H)</f>
        <v>#VALUE!</v>
      </c>
      <c r="I637" s="5">
        <f>IFERROR(INDEX('[1]TrialBalance (YTD)'!$G:$S,MATCH([1]TBMapping!$C639,'[1]TrialBalance (YTD)'!G:G,0),MATCH([1]TBMapping!J$3,'[1]TrialBalance (YTD)'!$G$7:$Z$7,0)),0)</f>
        <v>0</v>
      </c>
      <c r="K637" s="5" t="e">
        <f>SUMIF('[1]TrialBalance (Quarter)'!$A:$A,B637,'[1]TrialBalance (Quarter)'!$B:$B)</f>
        <v>#VALUE!</v>
      </c>
      <c r="L637" s="5">
        <f>IFERROR(INDEX('[1]TrialBalance (Quarter)'!$A:$L,MATCH([1]TBMapping!$C639,'[1]TrialBalance (Quarter)'!A:A,0),MATCH([1]TBMapping!M$3,'[1]TrialBalance (Quarter)'!$7:$7,0)),0)</f>
        <v>0</v>
      </c>
      <c r="M637" s="5">
        <f>IFERROR(INDEX('[1]TrialBalance (Quarter)'!$A:$L,MATCH([1]TBMapping!$C639,'[1]TrialBalance (Quarter)'!A:A,0),MATCH([1]TBMapping!N$3,'[1]TrialBalance (Quarter)'!$7:$7,0)),0)</f>
        <v>0</v>
      </c>
      <c r="N637" s="5">
        <f>IFERROR(INDEX('[1]TrialBalance (Quarter)'!$A:$L,MATCH([1]TBMapping!$C639,'[1]TrialBalance (Quarter)'!A:A,0),MATCH([1]TBMapping!O$3,'[1]TrialBalance (Quarter)'!$7:$7,0)),0)</f>
        <v>0</v>
      </c>
    </row>
    <row r="638" spans="1:14">
      <c r="A638" s="2">
        <v>2</v>
      </c>
      <c r="B638" s="3">
        <v>221315</v>
      </c>
      <c r="C638" s="11" t="s">
        <v>560</v>
      </c>
      <c r="D638" s="11" t="s">
        <v>11</v>
      </c>
      <c r="E638" s="11"/>
      <c r="F638" s="5" t="e">
        <f>IF(DataExtraction="Manual",SUMIF('[1]TrialBalance (YTD)'!$C:$C,B638,'[1]TrialBalance (YTD)'!$E:$E),SUMIF('[1]TrialBalance (YTD)'!$G:$G,B638,'[1]TrialBalance (YTD)'!$I:$I))</f>
        <v>#VALUE!</v>
      </c>
      <c r="G638" s="5">
        <f>IFERROR(INDEX('[1]TrialBalance (YTD)'!$G:$S,MATCH([1]TBMapping!$C640,'[1]TrialBalance (YTD)'!G:G,0),MATCH([1]TBMapping!H$3,'[1]TrialBalance (YTD)'!$G$7:$Z$7,0)),0)</f>
        <v>0</v>
      </c>
      <c r="H638" s="5" t="e">
        <f>SUMIF('[1]TrialBalance (YTD)'!G:G,B638,'[1]TrialBalance (YTD)'!H:H)</f>
        <v>#VALUE!</v>
      </c>
      <c r="I638" s="5">
        <f>IFERROR(INDEX('[1]TrialBalance (YTD)'!$G:$S,MATCH([1]TBMapping!$C640,'[1]TrialBalance (YTD)'!G:G,0),MATCH([1]TBMapping!J$3,'[1]TrialBalance (YTD)'!$G$7:$Z$7,0)),0)</f>
        <v>0</v>
      </c>
      <c r="K638" s="5" t="e">
        <f>SUMIF('[1]TrialBalance (Quarter)'!$A:$A,B638,'[1]TrialBalance (Quarter)'!$B:$B)</f>
        <v>#VALUE!</v>
      </c>
      <c r="L638" s="5">
        <f>IFERROR(INDEX('[1]TrialBalance (Quarter)'!$A:$L,MATCH([1]TBMapping!$C640,'[1]TrialBalance (Quarter)'!A:A,0),MATCH([1]TBMapping!M$3,'[1]TrialBalance (Quarter)'!$7:$7,0)),0)</f>
        <v>0</v>
      </c>
      <c r="M638" s="5">
        <f>IFERROR(INDEX('[1]TrialBalance (Quarter)'!$A:$L,MATCH([1]TBMapping!$C640,'[1]TrialBalance (Quarter)'!A:A,0),MATCH([1]TBMapping!N$3,'[1]TrialBalance (Quarter)'!$7:$7,0)),0)</f>
        <v>0</v>
      </c>
      <c r="N638" s="5">
        <f>IFERROR(INDEX('[1]TrialBalance (Quarter)'!$A:$L,MATCH([1]TBMapping!$C640,'[1]TrialBalance (Quarter)'!A:A,0),MATCH([1]TBMapping!O$3,'[1]TrialBalance (Quarter)'!$7:$7,0)),0)</f>
        <v>0</v>
      </c>
    </row>
    <row r="639" spans="1:14">
      <c r="A639" s="2">
        <v>2</v>
      </c>
      <c r="B639" s="3">
        <v>221320</v>
      </c>
      <c r="C639" s="10" t="s">
        <v>513</v>
      </c>
      <c r="D639" s="10" t="s">
        <v>11</v>
      </c>
      <c r="E639" s="10"/>
      <c r="F639" s="5" t="e">
        <f>IF(DataExtraction="Manual",SUMIF('[1]TrialBalance (YTD)'!$C:$C,B639,'[1]TrialBalance (YTD)'!$E:$E),SUMIF('[1]TrialBalance (YTD)'!$G:$G,B639,'[1]TrialBalance (YTD)'!$I:$I))</f>
        <v>#VALUE!</v>
      </c>
      <c r="G639" s="5">
        <f>IFERROR(INDEX('[1]TrialBalance (YTD)'!$G:$S,MATCH([1]TBMapping!$C641,'[1]TrialBalance (YTD)'!G:G,0),MATCH([1]TBMapping!H$3,'[1]TrialBalance (YTD)'!$G$7:$Z$7,0)),0)</f>
        <v>0</v>
      </c>
      <c r="H639" s="5" t="e">
        <f>SUMIF('[1]TrialBalance (YTD)'!G:G,B639,'[1]TrialBalance (YTD)'!H:H)</f>
        <v>#VALUE!</v>
      </c>
      <c r="I639" s="5">
        <f>IFERROR(INDEX('[1]TrialBalance (YTD)'!$G:$S,MATCH([1]TBMapping!$C641,'[1]TrialBalance (YTD)'!G:G,0),MATCH([1]TBMapping!J$3,'[1]TrialBalance (YTD)'!$G$7:$Z$7,0)),0)</f>
        <v>0</v>
      </c>
      <c r="K639" s="5" t="e">
        <f>SUMIF('[1]TrialBalance (Quarter)'!$A:$A,B639,'[1]TrialBalance (Quarter)'!$B:$B)</f>
        <v>#VALUE!</v>
      </c>
      <c r="L639" s="5">
        <f>IFERROR(INDEX('[1]TrialBalance (Quarter)'!$A:$L,MATCH([1]TBMapping!$C641,'[1]TrialBalance (Quarter)'!A:A,0),MATCH([1]TBMapping!M$3,'[1]TrialBalance (Quarter)'!$7:$7,0)),0)</f>
        <v>0</v>
      </c>
      <c r="M639" s="5">
        <f>IFERROR(INDEX('[1]TrialBalance (Quarter)'!$A:$L,MATCH([1]TBMapping!$C641,'[1]TrialBalance (Quarter)'!A:A,0),MATCH([1]TBMapping!N$3,'[1]TrialBalance (Quarter)'!$7:$7,0)),0)</f>
        <v>0</v>
      </c>
      <c r="N639" s="5">
        <f>IFERROR(INDEX('[1]TrialBalance (Quarter)'!$A:$L,MATCH([1]TBMapping!$C641,'[1]TrialBalance (Quarter)'!A:A,0),MATCH([1]TBMapping!O$3,'[1]TrialBalance (Quarter)'!$7:$7,0)),0)</f>
        <v>0</v>
      </c>
    </row>
    <row r="640" spans="1:14">
      <c r="A640" s="2">
        <v>2</v>
      </c>
      <c r="B640" s="3">
        <v>221330</v>
      </c>
      <c r="C640" s="11" t="s">
        <v>514</v>
      </c>
      <c r="D640" s="11" t="s">
        <v>11</v>
      </c>
      <c r="E640" s="11"/>
      <c r="F640" s="5" t="e">
        <f>IF(DataExtraction="Manual",SUMIF('[1]TrialBalance (YTD)'!$C:$C,B640,'[1]TrialBalance (YTD)'!$E:$E),SUMIF('[1]TrialBalance (YTD)'!$G:$G,B640,'[1]TrialBalance (YTD)'!$I:$I))</f>
        <v>#VALUE!</v>
      </c>
      <c r="G640" s="5">
        <f>IFERROR(INDEX('[1]TrialBalance (YTD)'!$G:$S,MATCH([1]TBMapping!$C642,'[1]TrialBalance (YTD)'!G:G,0),MATCH([1]TBMapping!H$3,'[1]TrialBalance (YTD)'!$G$7:$Z$7,0)),0)</f>
        <v>0</v>
      </c>
      <c r="H640" s="5" t="e">
        <f>SUMIF('[1]TrialBalance (YTD)'!G:G,B640,'[1]TrialBalance (YTD)'!H:H)</f>
        <v>#VALUE!</v>
      </c>
      <c r="I640" s="5">
        <f>IFERROR(INDEX('[1]TrialBalance (YTD)'!$G:$S,MATCH([1]TBMapping!$C642,'[1]TrialBalance (YTD)'!G:G,0),MATCH([1]TBMapping!J$3,'[1]TrialBalance (YTD)'!$G$7:$Z$7,0)),0)</f>
        <v>0</v>
      </c>
      <c r="K640" s="5" t="e">
        <f>SUMIF('[1]TrialBalance (Quarter)'!$A:$A,B640,'[1]TrialBalance (Quarter)'!$B:$B)</f>
        <v>#VALUE!</v>
      </c>
      <c r="L640" s="5">
        <f>IFERROR(INDEX('[1]TrialBalance (Quarter)'!$A:$L,MATCH([1]TBMapping!$C642,'[1]TrialBalance (Quarter)'!A:A,0),MATCH([1]TBMapping!M$3,'[1]TrialBalance (Quarter)'!$7:$7,0)),0)</f>
        <v>0</v>
      </c>
      <c r="M640" s="5">
        <f>IFERROR(INDEX('[1]TrialBalance (Quarter)'!$A:$L,MATCH([1]TBMapping!$C642,'[1]TrialBalance (Quarter)'!A:A,0),MATCH([1]TBMapping!N$3,'[1]TrialBalance (Quarter)'!$7:$7,0)),0)</f>
        <v>0</v>
      </c>
      <c r="N640" s="5">
        <f>IFERROR(INDEX('[1]TrialBalance (Quarter)'!$A:$L,MATCH([1]TBMapping!$C642,'[1]TrialBalance (Quarter)'!A:A,0),MATCH([1]TBMapping!O$3,'[1]TrialBalance (Quarter)'!$7:$7,0)),0)</f>
        <v>0</v>
      </c>
    </row>
    <row r="641" spans="1:14">
      <c r="A641" s="2">
        <v>2</v>
      </c>
      <c r="B641" s="3">
        <v>221350</v>
      </c>
      <c r="C641" s="10" t="s">
        <v>530</v>
      </c>
      <c r="D641" s="10" t="s">
        <v>11</v>
      </c>
      <c r="E641" s="10"/>
      <c r="F641" s="5" t="e">
        <f>IF(DataExtraction="Manual",SUMIF('[1]TrialBalance (YTD)'!$C:$C,B641,'[1]TrialBalance (YTD)'!$E:$E),SUMIF('[1]TrialBalance (YTD)'!$G:$G,B641,'[1]TrialBalance (YTD)'!$I:$I))</f>
        <v>#VALUE!</v>
      </c>
      <c r="G641" s="5">
        <f>IFERROR(INDEX('[1]TrialBalance (YTD)'!$G:$S,MATCH([1]TBMapping!$C643,'[1]TrialBalance (YTD)'!G:G,0),MATCH([1]TBMapping!H$3,'[1]TrialBalance (YTD)'!$G$7:$Z$7,0)),0)</f>
        <v>0</v>
      </c>
      <c r="H641" s="5" t="e">
        <f>SUMIF('[1]TrialBalance (YTD)'!G:G,B641,'[1]TrialBalance (YTD)'!H:H)</f>
        <v>#VALUE!</v>
      </c>
      <c r="I641" s="5">
        <f>IFERROR(INDEX('[1]TrialBalance (YTD)'!$G:$S,MATCH([1]TBMapping!$C643,'[1]TrialBalance (YTD)'!G:G,0),MATCH([1]TBMapping!J$3,'[1]TrialBalance (YTD)'!$G$7:$Z$7,0)),0)</f>
        <v>0</v>
      </c>
      <c r="K641" s="5" t="e">
        <f>SUMIF('[1]TrialBalance (Quarter)'!$A:$A,B641,'[1]TrialBalance (Quarter)'!$B:$B)</f>
        <v>#VALUE!</v>
      </c>
      <c r="L641" s="5">
        <f>IFERROR(INDEX('[1]TrialBalance (Quarter)'!$A:$L,MATCH([1]TBMapping!$C643,'[1]TrialBalance (Quarter)'!A:A,0),MATCH([1]TBMapping!M$3,'[1]TrialBalance (Quarter)'!$7:$7,0)),0)</f>
        <v>0</v>
      </c>
      <c r="M641" s="5">
        <f>IFERROR(INDEX('[1]TrialBalance (Quarter)'!$A:$L,MATCH([1]TBMapping!$C643,'[1]TrialBalance (Quarter)'!A:A,0),MATCH([1]TBMapping!N$3,'[1]TrialBalance (Quarter)'!$7:$7,0)),0)</f>
        <v>0</v>
      </c>
      <c r="N641" s="5">
        <f>IFERROR(INDEX('[1]TrialBalance (Quarter)'!$A:$L,MATCH([1]TBMapping!$C643,'[1]TrialBalance (Quarter)'!A:A,0),MATCH([1]TBMapping!O$3,'[1]TrialBalance (Quarter)'!$7:$7,0)),0)</f>
        <v>0</v>
      </c>
    </row>
    <row r="642" spans="1:14">
      <c r="A642" s="2">
        <v>2</v>
      </c>
      <c r="B642" s="3">
        <v>221410</v>
      </c>
      <c r="C642" s="11" t="s">
        <v>515</v>
      </c>
      <c r="D642" s="11" t="s">
        <v>11</v>
      </c>
      <c r="E642" s="11"/>
      <c r="F642" s="5" t="e">
        <f>IF(DataExtraction="Manual",SUMIF('[1]TrialBalance (YTD)'!$C:$C,B642,'[1]TrialBalance (YTD)'!$E:$E),SUMIF('[1]TrialBalance (YTD)'!$G:$G,B642,'[1]TrialBalance (YTD)'!$I:$I))</f>
        <v>#VALUE!</v>
      </c>
      <c r="G642" s="5">
        <f>IFERROR(INDEX('[1]TrialBalance (YTD)'!$G:$S,MATCH([1]TBMapping!$C644,'[1]TrialBalance (YTD)'!G:G,0),MATCH([1]TBMapping!H$3,'[1]TrialBalance (YTD)'!$G$7:$Z$7,0)),0)</f>
        <v>0</v>
      </c>
      <c r="H642" s="5" t="e">
        <f>SUMIF('[1]TrialBalance (YTD)'!G:G,B642,'[1]TrialBalance (YTD)'!H:H)</f>
        <v>#VALUE!</v>
      </c>
      <c r="I642" s="5">
        <f>IFERROR(INDEX('[1]TrialBalance (YTD)'!$G:$S,MATCH([1]TBMapping!$C644,'[1]TrialBalance (YTD)'!G:G,0),MATCH([1]TBMapping!J$3,'[1]TrialBalance (YTD)'!$G$7:$Z$7,0)),0)</f>
        <v>0</v>
      </c>
      <c r="K642" s="5" t="e">
        <f>SUMIF('[1]TrialBalance (Quarter)'!$A:$A,B642,'[1]TrialBalance (Quarter)'!$B:$B)</f>
        <v>#VALUE!</v>
      </c>
      <c r="L642" s="5">
        <f>IFERROR(INDEX('[1]TrialBalance (Quarter)'!$A:$L,MATCH([1]TBMapping!$C644,'[1]TrialBalance (Quarter)'!A:A,0),MATCH([1]TBMapping!M$3,'[1]TrialBalance (Quarter)'!$7:$7,0)),0)</f>
        <v>0</v>
      </c>
      <c r="M642" s="5">
        <f>IFERROR(INDEX('[1]TrialBalance (Quarter)'!$A:$L,MATCH([1]TBMapping!$C644,'[1]TrialBalance (Quarter)'!A:A,0),MATCH([1]TBMapping!N$3,'[1]TrialBalance (Quarter)'!$7:$7,0)),0)</f>
        <v>0</v>
      </c>
      <c r="N642" s="5">
        <f>IFERROR(INDEX('[1]TrialBalance (Quarter)'!$A:$L,MATCH([1]TBMapping!$C644,'[1]TrialBalance (Quarter)'!A:A,0),MATCH([1]TBMapping!O$3,'[1]TrialBalance (Quarter)'!$7:$7,0)),0)</f>
        <v>0</v>
      </c>
    </row>
    <row r="643" spans="1:14">
      <c r="A643" s="2">
        <v>2</v>
      </c>
      <c r="B643" s="3">
        <v>221420</v>
      </c>
      <c r="C643" s="10" t="s">
        <v>516</v>
      </c>
      <c r="D643" s="10" t="s">
        <v>11</v>
      </c>
      <c r="E643" s="10"/>
      <c r="F643" s="5" t="e">
        <f>IF(DataExtraction="Manual",SUMIF('[1]TrialBalance (YTD)'!$C:$C,B643,'[1]TrialBalance (YTD)'!$E:$E),SUMIF('[1]TrialBalance (YTD)'!$G:$G,B643,'[1]TrialBalance (YTD)'!$I:$I))</f>
        <v>#VALUE!</v>
      </c>
      <c r="G643" s="5">
        <f>IFERROR(INDEX('[1]TrialBalance (YTD)'!$G:$S,MATCH([1]TBMapping!$C645,'[1]TrialBalance (YTD)'!G:G,0),MATCH([1]TBMapping!H$3,'[1]TrialBalance (YTD)'!$G$7:$Z$7,0)),0)</f>
        <v>0</v>
      </c>
      <c r="H643" s="5" t="e">
        <f>SUMIF('[1]TrialBalance (YTD)'!G:G,B643,'[1]TrialBalance (YTD)'!H:H)</f>
        <v>#VALUE!</v>
      </c>
      <c r="I643" s="5">
        <f>IFERROR(INDEX('[1]TrialBalance (YTD)'!$G:$S,MATCH([1]TBMapping!$C645,'[1]TrialBalance (YTD)'!G:G,0),MATCH([1]TBMapping!J$3,'[1]TrialBalance (YTD)'!$G$7:$Z$7,0)),0)</f>
        <v>0</v>
      </c>
      <c r="K643" s="5" t="e">
        <f>SUMIF('[1]TrialBalance (Quarter)'!$A:$A,B643,'[1]TrialBalance (Quarter)'!$B:$B)</f>
        <v>#VALUE!</v>
      </c>
      <c r="L643" s="5">
        <f>IFERROR(INDEX('[1]TrialBalance (Quarter)'!$A:$L,MATCH([1]TBMapping!$C645,'[1]TrialBalance (Quarter)'!A:A,0),MATCH([1]TBMapping!M$3,'[1]TrialBalance (Quarter)'!$7:$7,0)),0)</f>
        <v>0</v>
      </c>
      <c r="M643" s="5">
        <f>IFERROR(INDEX('[1]TrialBalance (Quarter)'!$A:$L,MATCH([1]TBMapping!$C645,'[1]TrialBalance (Quarter)'!A:A,0),MATCH([1]TBMapping!N$3,'[1]TrialBalance (Quarter)'!$7:$7,0)),0)</f>
        <v>0</v>
      </c>
      <c r="N643" s="5">
        <f>IFERROR(INDEX('[1]TrialBalance (Quarter)'!$A:$L,MATCH([1]TBMapping!$C645,'[1]TrialBalance (Quarter)'!A:A,0),MATCH([1]TBMapping!O$3,'[1]TrialBalance (Quarter)'!$7:$7,0)),0)</f>
        <v>0</v>
      </c>
    </row>
    <row r="644" spans="1:14">
      <c r="A644" s="2">
        <v>2</v>
      </c>
      <c r="B644" s="3">
        <v>221450</v>
      </c>
      <c r="C644" s="11" t="s">
        <v>530</v>
      </c>
      <c r="D644" s="11" t="s">
        <v>11</v>
      </c>
      <c r="E644" s="11"/>
      <c r="F644" s="5" t="e">
        <f>IF(DataExtraction="Manual",SUMIF('[1]TrialBalance (YTD)'!$C:$C,B644,'[1]TrialBalance (YTD)'!$E:$E),SUMIF('[1]TrialBalance (YTD)'!$G:$G,B644,'[1]TrialBalance (YTD)'!$I:$I))</f>
        <v>#VALUE!</v>
      </c>
      <c r="G644" s="5">
        <f>IFERROR(INDEX('[1]TrialBalance (YTD)'!$G:$S,MATCH([1]TBMapping!$C646,'[1]TrialBalance (YTD)'!G:G,0),MATCH([1]TBMapping!H$3,'[1]TrialBalance (YTD)'!$G$7:$Z$7,0)),0)</f>
        <v>0</v>
      </c>
      <c r="H644" s="5" t="e">
        <f>SUMIF('[1]TrialBalance (YTD)'!G:G,B644,'[1]TrialBalance (YTD)'!H:H)</f>
        <v>#VALUE!</v>
      </c>
      <c r="I644" s="5">
        <f>IFERROR(INDEX('[1]TrialBalance (YTD)'!$G:$S,MATCH([1]TBMapping!$C646,'[1]TrialBalance (YTD)'!G:G,0),MATCH([1]TBMapping!J$3,'[1]TrialBalance (YTD)'!$G$7:$Z$7,0)),0)</f>
        <v>0</v>
      </c>
      <c r="K644" s="5" t="e">
        <f>SUMIF('[1]TrialBalance (Quarter)'!$A:$A,B644,'[1]TrialBalance (Quarter)'!$B:$B)</f>
        <v>#VALUE!</v>
      </c>
      <c r="L644" s="5">
        <f>IFERROR(INDEX('[1]TrialBalance (Quarter)'!$A:$L,MATCH([1]TBMapping!$C646,'[1]TrialBalance (Quarter)'!A:A,0),MATCH([1]TBMapping!M$3,'[1]TrialBalance (Quarter)'!$7:$7,0)),0)</f>
        <v>0</v>
      </c>
      <c r="M644" s="5">
        <f>IFERROR(INDEX('[1]TrialBalance (Quarter)'!$A:$L,MATCH([1]TBMapping!$C646,'[1]TrialBalance (Quarter)'!A:A,0),MATCH([1]TBMapping!N$3,'[1]TrialBalance (Quarter)'!$7:$7,0)),0)</f>
        <v>0</v>
      </c>
      <c r="N644" s="5">
        <f>IFERROR(INDEX('[1]TrialBalance (Quarter)'!$A:$L,MATCH([1]TBMapping!$C646,'[1]TrialBalance (Quarter)'!A:A,0),MATCH([1]TBMapping!O$3,'[1]TrialBalance (Quarter)'!$7:$7,0)),0)</f>
        <v>0</v>
      </c>
    </row>
    <row r="645" spans="1:14">
      <c r="B645" s="3">
        <v>221999</v>
      </c>
      <c r="C645" s="10" t="s">
        <v>395</v>
      </c>
      <c r="D645" s="10" t="s">
        <v>16</v>
      </c>
      <c r="E645" s="10"/>
      <c r="F645" s="5" t="e">
        <f>IF(DataExtraction="Manual",SUMIF('[1]TrialBalance (YTD)'!$C:$C,B645,'[1]TrialBalance (YTD)'!$E:$E),SUMIF('[1]TrialBalance (YTD)'!$G:$G,B645,'[1]TrialBalance (YTD)'!$I:$I))</f>
        <v>#VALUE!</v>
      </c>
      <c r="G645" s="5">
        <f>IFERROR(INDEX('[1]TrialBalance (YTD)'!$G:$S,MATCH([1]TBMapping!$C647,'[1]TrialBalance (YTD)'!G:G,0),MATCH([1]TBMapping!H$3,'[1]TrialBalance (YTD)'!$G$7:$Z$7,0)),0)</f>
        <v>0</v>
      </c>
      <c r="H645" s="5" t="e">
        <f>SUMIF('[1]TrialBalance (YTD)'!G:G,B645,'[1]TrialBalance (YTD)'!H:H)</f>
        <v>#VALUE!</v>
      </c>
      <c r="I645" s="5">
        <f>IFERROR(INDEX('[1]TrialBalance (YTD)'!$G:$S,MATCH([1]TBMapping!$C647,'[1]TrialBalance (YTD)'!G:G,0),MATCH([1]TBMapping!J$3,'[1]TrialBalance (YTD)'!$G$7:$Z$7,0)),0)</f>
        <v>0</v>
      </c>
      <c r="K645" s="5" t="e">
        <f>SUMIF('[1]TrialBalance (Quarter)'!$A:$A,B645,'[1]TrialBalance (Quarter)'!$B:$B)</f>
        <v>#VALUE!</v>
      </c>
      <c r="L645" s="5">
        <f>IFERROR(INDEX('[1]TrialBalance (Quarter)'!$A:$L,MATCH([1]TBMapping!$C647,'[1]TrialBalance (Quarter)'!A:A,0),MATCH([1]TBMapping!M$3,'[1]TrialBalance (Quarter)'!$7:$7,0)),0)</f>
        <v>0</v>
      </c>
      <c r="M645" s="5">
        <f>IFERROR(INDEX('[1]TrialBalance (Quarter)'!$A:$L,MATCH([1]TBMapping!$C647,'[1]TrialBalance (Quarter)'!A:A,0),MATCH([1]TBMapping!N$3,'[1]TrialBalance (Quarter)'!$7:$7,0)),0)</f>
        <v>0</v>
      </c>
      <c r="N645" s="5">
        <f>IFERROR(INDEX('[1]TrialBalance (Quarter)'!$A:$L,MATCH([1]TBMapping!$C647,'[1]TrialBalance (Quarter)'!A:A,0),MATCH([1]TBMapping!O$3,'[1]TrialBalance (Quarter)'!$7:$7,0)),0)</f>
        <v>0</v>
      </c>
    </row>
    <row r="646" spans="1:14">
      <c r="B646" s="3">
        <v>222000</v>
      </c>
      <c r="C646" s="11" t="s">
        <v>396</v>
      </c>
      <c r="D646" s="11" t="s">
        <v>5</v>
      </c>
      <c r="E646" s="11"/>
      <c r="F646" s="5" t="e">
        <f>IF(DataExtraction="Manual",SUMIF('[1]TrialBalance (YTD)'!$C:$C,B646,'[1]TrialBalance (YTD)'!$E:$E),SUMIF('[1]TrialBalance (YTD)'!$G:$G,B646,'[1]TrialBalance (YTD)'!$I:$I))</f>
        <v>#VALUE!</v>
      </c>
      <c r="G646" s="5">
        <f>IFERROR(INDEX('[1]TrialBalance (YTD)'!$G:$S,MATCH([1]TBMapping!$C648,'[1]TrialBalance (YTD)'!G:G,0),MATCH([1]TBMapping!H$3,'[1]TrialBalance (YTD)'!$G$7:$Z$7,0)),0)</f>
        <v>0</v>
      </c>
      <c r="H646" s="5" t="e">
        <f>SUMIF('[1]TrialBalance (YTD)'!G:G,B646,'[1]TrialBalance (YTD)'!H:H)</f>
        <v>#VALUE!</v>
      </c>
      <c r="I646" s="5">
        <f>IFERROR(INDEX('[1]TrialBalance (YTD)'!$G:$S,MATCH([1]TBMapping!$C648,'[1]TrialBalance (YTD)'!G:G,0),MATCH([1]TBMapping!J$3,'[1]TrialBalance (YTD)'!$G$7:$Z$7,0)),0)</f>
        <v>0</v>
      </c>
      <c r="K646" s="5" t="e">
        <f>SUMIF('[1]TrialBalance (Quarter)'!$A:$A,B646,'[1]TrialBalance (Quarter)'!$B:$B)</f>
        <v>#VALUE!</v>
      </c>
      <c r="L646" s="5">
        <f>IFERROR(INDEX('[1]TrialBalance (Quarter)'!$A:$L,MATCH([1]TBMapping!$C648,'[1]TrialBalance (Quarter)'!A:A,0),MATCH([1]TBMapping!M$3,'[1]TrialBalance (Quarter)'!$7:$7,0)),0)</f>
        <v>0</v>
      </c>
      <c r="M646" s="5">
        <f>IFERROR(INDEX('[1]TrialBalance (Quarter)'!$A:$L,MATCH([1]TBMapping!$C648,'[1]TrialBalance (Quarter)'!A:A,0),MATCH([1]TBMapping!N$3,'[1]TrialBalance (Quarter)'!$7:$7,0)),0)</f>
        <v>0</v>
      </c>
      <c r="N646" s="5">
        <f>IFERROR(INDEX('[1]TrialBalance (Quarter)'!$A:$L,MATCH([1]TBMapping!$C648,'[1]TrialBalance (Quarter)'!A:A,0),MATCH([1]TBMapping!O$3,'[1]TrialBalance (Quarter)'!$7:$7,0)),0)</f>
        <v>0</v>
      </c>
    </row>
    <row r="647" spans="1:14">
      <c r="A647" s="2">
        <v>2</v>
      </c>
      <c r="B647" s="3">
        <v>222110</v>
      </c>
      <c r="C647" s="10" t="s">
        <v>507</v>
      </c>
      <c r="D647" s="10" t="s">
        <v>11</v>
      </c>
      <c r="E647" s="10"/>
      <c r="F647" s="5" t="e">
        <f>IF(DataExtraction="Manual",SUMIF('[1]TrialBalance (YTD)'!$C:$C,B647,'[1]TrialBalance (YTD)'!$E:$E),SUMIF('[1]TrialBalance (YTD)'!$G:$G,B647,'[1]TrialBalance (YTD)'!$I:$I))</f>
        <v>#VALUE!</v>
      </c>
      <c r="G647" s="5">
        <f>IFERROR(INDEX('[1]TrialBalance (YTD)'!$G:$S,MATCH([1]TBMapping!$C649,'[1]TrialBalance (YTD)'!G:G,0),MATCH([1]TBMapping!H$3,'[1]TrialBalance (YTD)'!$G$7:$Z$7,0)),0)</f>
        <v>0</v>
      </c>
      <c r="H647" s="5" t="e">
        <f>SUMIF('[1]TrialBalance (YTD)'!G:G,B647,'[1]TrialBalance (YTD)'!H:H)</f>
        <v>#VALUE!</v>
      </c>
      <c r="I647" s="5">
        <f>IFERROR(INDEX('[1]TrialBalance (YTD)'!$G:$S,MATCH([1]TBMapping!$C649,'[1]TrialBalance (YTD)'!G:G,0),MATCH([1]TBMapping!J$3,'[1]TrialBalance (YTD)'!$G$7:$Z$7,0)),0)</f>
        <v>0</v>
      </c>
      <c r="K647" s="5" t="e">
        <f>SUMIF('[1]TrialBalance (Quarter)'!$A:$A,B647,'[1]TrialBalance (Quarter)'!$B:$B)</f>
        <v>#VALUE!</v>
      </c>
      <c r="L647" s="5">
        <f>IFERROR(INDEX('[1]TrialBalance (Quarter)'!$A:$L,MATCH([1]TBMapping!$C649,'[1]TrialBalance (Quarter)'!A:A,0),MATCH([1]TBMapping!M$3,'[1]TrialBalance (Quarter)'!$7:$7,0)),0)</f>
        <v>0</v>
      </c>
      <c r="M647" s="5">
        <f>IFERROR(INDEX('[1]TrialBalance (Quarter)'!$A:$L,MATCH([1]TBMapping!$C649,'[1]TrialBalance (Quarter)'!A:A,0),MATCH([1]TBMapping!N$3,'[1]TrialBalance (Quarter)'!$7:$7,0)),0)</f>
        <v>0</v>
      </c>
      <c r="N647" s="5">
        <f>IFERROR(INDEX('[1]TrialBalance (Quarter)'!$A:$L,MATCH([1]TBMapping!$C649,'[1]TrialBalance (Quarter)'!A:A,0),MATCH([1]TBMapping!O$3,'[1]TrialBalance (Quarter)'!$7:$7,0)),0)</f>
        <v>0</v>
      </c>
    </row>
    <row r="648" spans="1:14">
      <c r="A648" s="2">
        <v>2</v>
      </c>
      <c r="B648" s="3">
        <v>222112</v>
      </c>
      <c r="C648" s="11" t="s">
        <v>508</v>
      </c>
      <c r="D648" s="11" t="s">
        <v>11</v>
      </c>
      <c r="E648" s="11"/>
      <c r="F648" s="5" t="e">
        <f>IF(DataExtraction="Manual",SUMIF('[1]TrialBalance (YTD)'!$C:$C,B648,'[1]TrialBalance (YTD)'!$E:$E),SUMIF('[1]TrialBalance (YTD)'!$G:$G,B648,'[1]TrialBalance (YTD)'!$I:$I))</f>
        <v>#VALUE!</v>
      </c>
      <c r="G648" s="5">
        <f>IFERROR(INDEX('[1]TrialBalance (YTD)'!$G:$S,MATCH([1]TBMapping!$C650,'[1]TrialBalance (YTD)'!G:G,0),MATCH([1]TBMapping!H$3,'[1]TrialBalance (YTD)'!$G$7:$Z$7,0)),0)</f>
        <v>0</v>
      </c>
      <c r="H648" s="5" t="e">
        <f>SUMIF('[1]TrialBalance (YTD)'!G:G,B648,'[1]TrialBalance (YTD)'!H:H)</f>
        <v>#VALUE!</v>
      </c>
      <c r="I648" s="5">
        <f>IFERROR(INDEX('[1]TrialBalance (YTD)'!$G:$S,MATCH([1]TBMapping!$C650,'[1]TrialBalance (YTD)'!G:G,0),MATCH([1]TBMapping!J$3,'[1]TrialBalance (YTD)'!$G$7:$Z$7,0)),0)</f>
        <v>0</v>
      </c>
      <c r="K648" s="5" t="e">
        <f>SUMIF('[1]TrialBalance (Quarter)'!$A:$A,B648,'[1]TrialBalance (Quarter)'!$B:$B)</f>
        <v>#VALUE!</v>
      </c>
      <c r="L648" s="5">
        <f>IFERROR(INDEX('[1]TrialBalance (Quarter)'!$A:$L,MATCH([1]TBMapping!$C650,'[1]TrialBalance (Quarter)'!A:A,0),MATCH([1]TBMapping!M$3,'[1]TrialBalance (Quarter)'!$7:$7,0)),0)</f>
        <v>0</v>
      </c>
      <c r="M648" s="5">
        <f>IFERROR(INDEX('[1]TrialBalance (Quarter)'!$A:$L,MATCH([1]TBMapping!$C650,'[1]TrialBalance (Quarter)'!A:A,0),MATCH([1]TBMapping!N$3,'[1]TrialBalance (Quarter)'!$7:$7,0)),0)</f>
        <v>0</v>
      </c>
      <c r="N648" s="5">
        <f>IFERROR(INDEX('[1]TrialBalance (Quarter)'!$A:$L,MATCH([1]TBMapping!$C650,'[1]TrialBalance (Quarter)'!A:A,0),MATCH([1]TBMapping!O$3,'[1]TrialBalance (Quarter)'!$7:$7,0)),0)</f>
        <v>0</v>
      </c>
    </row>
    <row r="649" spans="1:14">
      <c r="A649" s="2">
        <v>2</v>
      </c>
      <c r="B649" s="3">
        <v>222115</v>
      </c>
      <c r="C649" s="10" t="s">
        <v>560</v>
      </c>
      <c r="D649" s="10" t="s">
        <v>11</v>
      </c>
      <c r="E649" s="10"/>
      <c r="F649" s="5" t="e">
        <f>IF(DataExtraction="Manual",SUMIF('[1]TrialBalance (YTD)'!$C:$C,B649,'[1]TrialBalance (YTD)'!$E:$E),SUMIF('[1]TrialBalance (YTD)'!$G:$G,B649,'[1]TrialBalance (YTD)'!$I:$I))</f>
        <v>#VALUE!</v>
      </c>
      <c r="G649" s="5">
        <f>IFERROR(INDEX('[1]TrialBalance (YTD)'!$G:$S,MATCH([1]TBMapping!$C651,'[1]TrialBalance (YTD)'!G:G,0),MATCH([1]TBMapping!H$3,'[1]TrialBalance (YTD)'!$G$7:$Z$7,0)),0)</f>
        <v>0</v>
      </c>
      <c r="H649" s="5" t="e">
        <f>SUMIF('[1]TrialBalance (YTD)'!G:G,B649,'[1]TrialBalance (YTD)'!H:H)</f>
        <v>#VALUE!</v>
      </c>
      <c r="I649" s="5">
        <f>IFERROR(INDEX('[1]TrialBalance (YTD)'!$G:$S,MATCH([1]TBMapping!$C651,'[1]TrialBalance (YTD)'!G:G,0),MATCH([1]TBMapping!J$3,'[1]TrialBalance (YTD)'!$G$7:$Z$7,0)),0)</f>
        <v>0</v>
      </c>
      <c r="K649" s="5" t="e">
        <f>SUMIF('[1]TrialBalance (Quarter)'!$A:$A,B649,'[1]TrialBalance (Quarter)'!$B:$B)</f>
        <v>#VALUE!</v>
      </c>
      <c r="L649" s="5">
        <f>IFERROR(INDEX('[1]TrialBalance (Quarter)'!$A:$L,MATCH([1]TBMapping!$C651,'[1]TrialBalance (Quarter)'!A:A,0),MATCH([1]TBMapping!M$3,'[1]TrialBalance (Quarter)'!$7:$7,0)),0)</f>
        <v>0</v>
      </c>
      <c r="M649" s="5">
        <f>IFERROR(INDEX('[1]TrialBalance (Quarter)'!$A:$L,MATCH([1]TBMapping!$C651,'[1]TrialBalance (Quarter)'!A:A,0),MATCH([1]TBMapping!N$3,'[1]TrialBalance (Quarter)'!$7:$7,0)),0)</f>
        <v>0</v>
      </c>
      <c r="N649" s="5">
        <f>IFERROR(INDEX('[1]TrialBalance (Quarter)'!$A:$L,MATCH([1]TBMapping!$C651,'[1]TrialBalance (Quarter)'!A:A,0),MATCH([1]TBMapping!O$3,'[1]TrialBalance (Quarter)'!$7:$7,0)),0)</f>
        <v>0</v>
      </c>
    </row>
    <row r="650" spans="1:14">
      <c r="A650" s="2">
        <v>2</v>
      </c>
      <c r="B650" s="3">
        <v>222120</v>
      </c>
      <c r="C650" s="11" t="s">
        <v>509</v>
      </c>
      <c r="D650" s="11" t="s">
        <v>11</v>
      </c>
      <c r="E650" s="11"/>
      <c r="F650" s="5" t="e">
        <f>IF(DataExtraction="Manual",SUMIF('[1]TrialBalance (YTD)'!$C:$C,B650,'[1]TrialBalance (YTD)'!$E:$E),SUMIF('[1]TrialBalance (YTD)'!$G:$G,B650,'[1]TrialBalance (YTD)'!$I:$I))</f>
        <v>#VALUE!</v>
      </c>
      <c r="G650" s="5">
        <f>IFERROR(INDEX('[1]TrialBalance (YTD)'!$G:$S,MATCH([1]TBMapping!$C652,'[1]TrialBalance (YTD)'!G:G,0),MATCH([1]TBMapping!H$3,'[1]TrialBalance (YTD)'!$G$7:$Z$7,0)),0)</f>
        <v>0</v>
      </c>
      <c r="H650" s="5" t="e">
        <f>SUMIF('[1]TrialBalance (YTD)'!G:G,B650,'[1]TrialBalance (YTD)'!H:H)</f>
        <v>#VALUE!</v>
      </c>
      <c r="I650" s="5">
        <f>IFERROR(INDEX('[1]TrialBalance (YTD)'!$G:$S,MATCH([1]TBMapping!$C652,'[1]TrialBalance (YTD)'!G:G,0),MATCH([1]TBMapping!J$3,'[1]TrialBalance (YTD)'!$G$7:$Z$7,0)),0)</f>
        <v>0</v>
      </c>
      <c r="K650" s="5" t="e">
        <f>SUMIF('[1]TrialBalance (Quarter)'!$A:$A,B650,'[1]TrialBalance (Quarter)'!$B:$B)</f>
        <v>#VALUE!</v>
      </c>
      <c r="L650" s="5">
        <f>IFERROR(INDEX('[1]TrialBalance (Quarter)'!$A:$L,MATCH([1]TBMapping!$C652,'[1]TrialBalance (Quarter)'!A:A,0),MATCH([1]TBMapping!M$3,'[1]TrialBalance (Quarter)'!$7:$7,0)),0)</f>
        <v>0</v>
      </c>
      <c r="M650" s="5">
        <f>IFERROR(INDEX('[1]TrialBalance (Quarter)'!$A:$L,MATCH([1]TBMapping!$C652,'[1]TrialBalance (Quarter)'!A:A,0),MATCH([1]TBMapping!N$3,'[1]TrialBalance (Quarter)'!$7:$7,0)),0)</f>
        <v>0</v>
      </c>
      <c r="N650" s="5">
        <f>IFERROR(INDEX('[1]TrialBalance (Quarter)'!$A:$L,MATCH([1]TBMapping!$C652,'[1]TrialBalance (Quarter)'!A:A,0),MATCH([1]TBMapping!O$3,'[1]TrialBalance (Quarter)'!$7:$7,0)),0)</f>
        <v>0</v>
      </c>
    </row>
    <row r="651" spans="1:14">
      <c r="A651" s="2">
        <v>2</v>
      </c>
      <c r="B651" s="3">
        <v>222130</v>
      </c>
      <c r="C651" s="10" t="s">
        <v>510</v>
      </c>
      <c r="D651" s="10" t="s">
        <v>11</v>
      </c>
      <c r="E651" s="10"/>
      <c r="F651" s="5" t="e">
        <f>IF(DataExtraction="Manual",SUMIF('[1]TrialBalance (YTD)'!$C:$C,B651,'[1]TrialBalance (YTD)'!$E:$E),SUMIF('[1]TrialBalance (YTD)'!$G:$G,B651,'[1]TrialBalance (YTD)'!$I:$I))</f>
        <v>#VALUE!</v>
      </c>
      <c r="G651" s="5">
        <f>IFERROR(INDEX('[1]TrialBalance (YTD)'!$G:$S,MATCH([1]TBMapping!$C653,'[1]TrialBalance (YTD)'!G:G,0),MATCH([1]TBMapping!H$3,'[1]TrialBalance (YTD)'!$G$7:$Z$7,0)),0)</f>
        <v>0</v>
      </c>
      <c r="H651" s="5" t="e">
        <f>SUMIF('[1]TrialBalance (YTD)'!G:G,B651,'[1]TrialBalance (YTD)'!H:H)</f>
        <v>#VALUE!</v>
      </c>
      <c r="I651" s="5">
        <f>IFERROR(INDEX('[1]TrialBalance (YTD)'!$G:$S,MATCH([1]TBMapping!$C653,'[1]TrialBalance (YTD)'!G:G,0),MATCH([1]TBMapping!J$3,'[1]TrialBalance (YTD)'!$G$7:$Z$7,0)),0)</f>
        <v>0</v>
      </c>
      <c r="K651" s="5" t="e">
        <f>SUMIF('[1]TrialBalance (Quarter)'!$A:$A,B651,'[1]TrialBalance (Quarter)'!$B:$B)</f>
        <v>#VALUE!</v>
      </c>
      <c r="L651" s="5">
        <f>IFERROR(INDEX('[1]TrialBalance (Quarter)'!$A:$L,MATCH([1]TBMapping!$C653,'[1]TrialBalance (Quarter)'!A:A,0),MATCH([1]TBMapping!M$3,'[1]TrialBalance (Quarter)'!$7:$7,0)),0)</f>
        <v>0</v>
      </c>
      <c r="M651" s="5">
        <f>IFERROR(INDEX('[1]TrialBalance (Quarter)'!$A:$L,MATCH([1]TBMapping!$C653,'[1]TrialBalance (Quarter)'!A:A,0),MATCH([1]TBMapping!N$3,'[1]TrialBalance (Quarter)'!$7:$7,0)),0)</f>
        <v>0</v>
      </c>
      <c r="N651" s="5">
        <f>IFERROR(INDEX('[1]TrialBalance (Quarter)'!$A:$L,MATCH([1]TBMapping!$C653,'[1]TrialBalance (Quarter)'!A:A,0),MATCH([1]TBMapping!O$3,'[1]TrialBalance (Quarter)'!$7:$7,0)),0)</f>
        <v>0</v>
      </c>
    </row>
    <row r="652" spans="1:14">
      <c r="A652" s="2">
        <v>2</v>
      </c>
      <c r="B652" s="3">
        <v>222135</v>
      </c>
      <c r="C652" s="11" t="s">
        <v>511</v>
      </c>
      <c r="D652" s="11" t="s">
        <v>11</v>
      </c>
      <c r="E652" s="11"/>
      <c r="F652" s="5" t="e">
        <f>IF(DataExtraction="Manual",SUMIF('[1]TrialBalance (YTD)'!$C:$C,B652,'[1]TrialBalance (YTD)'!$E:$E),SUMIF('[1]TrialBalance (YTD)'!$G:$G,B652,'[1]TrialBalance (YTD)'!$I:$I))</f>
        <v>#VALUE!</v>
      </c>
      <c r="G652" s="5">
        <f>IFERROR(INDEX('[1]TrialBalance (YTD)'!$G:$S,MATCH([1]TBMapping!$C654,'[1]TrialBalance (YTD)'!G:G,0),MATCH([1]TBMapping!H$3,'[1]TrialBalance (YTD)'!$G$7:$Z$7,0)),0)</f>
        <v>0</v>
      </c>
      <c r="H652" s="5" t="e">
        <f>SUMIF('[1]TrialBalance (YTD)'!G:G,B652,'[1]TrialBalance (YTD)'!H:H)</f>
        <v>#VALUE!</v>
      </c>
      <c r="I652" s="5">
        <f>IFERROR(INDEX('[1]TrialBalance (YTD)'!$G:$S,MATCH([1]TBMapping!$C654,'[1]TrialBalance (YTD)'!G:G,0),MATCH([1]TBMapping!J$3,'[1]TrialBalance (YTD)'!$G$7:$Z$7,0)),0)</f>
        <v>0</v>
      </c>
      <c r="K652" s="5" t="e">
        <f>SUMIF('[1]TrialBalance (Quarter)'!$A:$A,B652,'[1]TrialBalance (Quarter)'!$B:$B)</f>
        <v>#VALUE!</v>
      </c>
      <c r="L652" s="5">
        <f>IFERROR(INDEX('[1]TrialBalance (Quarter)'!$A:$L,MATCH([1]TBMapping!$C654,'[1]TrialBalance (Quarter)'!A:A,0),MATCH([1]TBMapping!M$3,'[1]TrialBalance (Quarter)'!$7:$7,0)),0)</f>
        <v>0</v>
      </c>
      <c r="M652" s="5">
        <f>IFERROR(INDEX('[1]TrialBalance (Quarter)'!$A:$L,MATCH([1]TBMapping!$C654,'[1]TrialBalance (Quarter)'!A:A,0),MATCH([1]TBMapping!N$3,'[1]TrialBalance (Quarter)'!$7:$7,0)),0)</f>
        <v>0</v>
      </c>
      <c r="N652" s="5">
        <f>IFERROR(INDEX('[1]TrialBalance (Quarter)'!$A:$L,MATCH([1]TBMapping!$C654,'[1]TrialBalance (Quarter)'!A:A,0),MATCH([1]TBMapping!O$3,'[1]TrialBalance (Quarter)'!$7:$7,0)),0)</f>
        <v>0</v>
      </c>
    </row>
    <row r="653" spans="1:14">
      <c r="A653" s="2">
        <v>2</v>
      </c>
      <c r="B653" s="3">
        <v>222137</v>
      </c>
      <c r="C653" s="10" t="s">
        <v>530</v>
      </c>
      <c r="D653" s="10" t="s">
        <v>11</v>
      </c>
      <c r="E653" s="10"/>
      <c r="F653" s="5" t="e">
        <f>IF(DataExtraction="Manual",SUMIF('[1]TrialBalance (YTD)'!$C:$C,B653,'[1]TrialBalance (YTD)'!$E:$E),SUMIF('[1]TrialBalance (YTD)'!$G:$G,B653,'[1]TrialBalance (YTD)'!$I:$I))</f>
        <v>#VALUE!</v>
      </c>
      <c r="G653" s="5">
        <f>IFERROR(INDEX('[1]TrialBalance (YTD)'!$G:$S,MATCH([1]TBMapping!$C655,'[1]TrialBalance (YTD)'!G:G,0),MATCH([1]TBMapping!H$3,'[1]TrialBalance (YTD)'!$G$7:$Z$7,0)),0)</f>
        <v>0</v>
      </c>
      <c r="H653" s="5" t="e">
        <f>SUMIF('[1]TrialBalance (YTD)'!G:G,B653,'[1]TrialBalance (YTD)'!H:H)</f>
        <v>#VALUE!</v>
      </c>
      <c r="I653" s="5">
        <f>IFERROR(INDEX('[1]TrialBalance (YTD)'!$G:$S,MATCH([1]TBMapping!$C655,'[1]TrialBalance (YTD)'!G:G,0),MATCH([1]TBMapping!J$3,'[1]TrialBalance (YTD)'!$G$7:$Z$7,0)),0)</f>
        <v>0</v>
      </c>
      <c r="K653" s="5" t="e">
        <f>SUMIF('[1]TrialBalance (Quarter)'!$A:$A,B653,'[1]TrialBalance (Quarter)'!$B:$B)</f>
        <v>#VALUE!</v>
      </c>
      <c r="L653" s="5">
        <f>IFERROR(INDEX('[1]TrialBalance (Quarter)'!$A:$L,MATCH([1]TBMapping!$C655,'[1]TrialBalance (Quarter)'!A:A,0),MATCH([1]TBMapping!M$3,'[1]TrialBalance (Quarter)'!$7:$7,0)),0)</f>
        <v>0</v>
      </c>
      <c r="M653" s="5">
        <f>IFERROR(INDEX('[1]TrialBalance (Quarter)'!$A:$L,MATCH([1]TBMapping!$C655,'[1]TrialBalance (Quarter)'!A:A,0),MATCH([1]TBMapping!N$3,'[1]TrialBalance (Quarter)'!$7:$7,0)),0)</f>
        <v>0</v>
      </c>
      <c r="N653" s="5">
        <f>IFERROR(INDEX('[1]TrialBalance (Quarter)'!$A:$L,MATCH([1]TBMapping!$C655,'[1]TrialBalance (Quarter)'!A:A,0),MATCH([1]TBMapping!O$3,'[1]TrialBalance (Quarter)'!$7:$7,0)),0)</f>
        <v>0</v>
      </c>
    </row>
    <row r="654" spans="1:14">
      <c r="A654" s="2">
        <v>2</v>
      </c>
      <c r="B654" s="3">
        <v>222210</v>
      </c>
      <c r="C654" s="11" t="s">
        <v>561</v>
      </c>
      <c r="D654" s="11" t="s">
        <v>11</v>
      </c>
      <c r="E654" s="11"/>
      <c r="F654" s="5" t="e">
        <f>IF(DataExtraction="Manual",SUMIF('[1]TrialBalance (YTD)'!$C:$C,B654,'[1]TrialBalance (YTD)'!$E:$E),SUMIF('[1]TrialBalance (YTD)'!$G:$G,B654,'[1]TrialBalance (YTD)'!$I:$I))</f>
        <v>#VALUE!</v>
      </c>
      <c r="G654" s="5">
        <f>IFERROR(INDEX('[1]TrialBalance (YTD)'!$G:$S,MATCH([1]TBMapping!$C656,'[1]TrialBalance (YTD)'!G:G,0),MATCH([1]TBMapping!H$3,'[1]TrialBalance (YTD)'!$G$7:$Z$7,0)),0)</f>
        <v>0</v>
      </c>
      <c r="H654" s="5" t="e">
        <f>SUMIF('[1]TrialBalance (YTD)'!G:G,B654,'[1]TrialBalance (YTD)'!H:H)</f>
        <v>#VALUE!</v>
      </c>
      <c r="I654" s="5">
        <f>IFERROR(INDEX('[1]TrialBalance (YTD)'!$G:$S,MATCH([1]TBMapping!$C656,'[1]TrialBalance (YTD)'!G:G,0),MATCH([1]TBMapping!J$3,'[1]TrialBalance (YTD)'!$G$7:$Z$7,0)),0)</f>
        <v>0</v>
      </c>
      <c r="K654" s="5" t="e">
        <f>SUMIF('[1]TrialBalance (Quarter)'!$A:$A,B654,'[1]TrialBalance (Quarter)'!$B:$B)</f>
        <v>#VALUE!</v>
      </c>
      <c r="L654" s="5">
        <f>IFERROR(INDEX('[1]TrialBalance (Quarter)'!$A:$L,MATCH([1]TBMapping!$C656,'[1]TrialBalance (Quarter)'!A:A,0),MATCH([1]TBMapping!M$3,'[1]TrialBalance (Quarter)'!$7:$7,0)),0)</f>
        <v>0</v>
      </c>
      <c r="M654" s="5">
        <f>IFERROR(INDEX('[1]TrialBalance (Quarter)'!$A:$L,MATCH([1]TBMapping!$C656,'[1]TrialBalance (Quarter)'!A:A,0),MATCH([1]TBMapping!N$3,'[1]TrialBalance (Quarter)'!$7:$7,0)),0)</f>
        <v>0</v>
      </c>
      <c r="N654" s="5">
        <f>IFERROR(INDEX('[1]TrialBalance (Quarter)'!$A:$L,MATCH([1]TBMapping!$C656,'[1]TrialBalance (Quarter)'!A:A,0),MATCH([1]TBMapping!O$3,'[1]TrialBalance (Quarter)'!$7:$7,0)),0)</f>
        <v>0</v>
      </c>
    </row>
    <row r="655" spans="1:14">
      <c r="A655" s="2">
        <v>2</v>
      </c>
      <c r="B655" s="3">
        <v>222220</v>
      </c>
      <c r="C655" s="10" t="s">
        <v>562</v>
      </c>
      <c r="D655" s="10" t="s">
        <v>11</v>
      </c>
      <c r="E655" s="10"/>
      <c r="F655" s="5" t="e">
        <f>IF(DataExtraction="Manual",SUMIF('[1]TrialBalance (YTD)'!$C:$C,B655,'[1]TrialBalance (YTD)'!$E:$E),SUMIF('[1]TrialBalance (YTD)'!$G:$G,B655,'[1]TrialBalance (YTD)'!$I:$I))</f>
        <v>#VALUE!</v>
      </c>
      <c r="G655" s="5">
        <f>IFERROR(INDEX('[1]TrialBalance (YTD)'!$G:$S,MATCH([1]TBMapping!$C657,'[1]TrialBalance (YTD)'!G:G,0),MATCH([1]TBMapping!H$3,'[1]TrialBalance (YTD)'!$G$7:$Z$7,0)),0)</f>
        <v>0</v>
      </c>
      <c r="H655" s="5" t="e">
        <f>SUMIF('[1]TrialBalance (YTD)'!G:G,B655,'[1]TrialBalance (YTD)'!H:H)</f>
        <v>#VALUE!</v>
      </c>
      <c r="I655" s="5">
        <f>IFERROR(INDEX('[1]TrialBalance (YTD)'!$G:$S,MATCH([1]TBMapping!$C657,'[1]TrialBalance (YTD)'!G:G,0),MATCH([1]TBMapping!J$3,'[1]TrialBalance (YTD)'!$G$7:$Z$7,0)),0)</f>
        <v>0</v>
      </c>
      <c r="K655" s="5" t="e">
        <f>SUMIF('[1]TrialBalance (Quarter)'!$A:$A,B655,'[1]TrialBalance (Quarter)'!$B:$B)</f>
        <v>#VALUE!</v>
      </c>
      <c r="L655" s="5">
        <f>IFERROR(INDEX('[1]TrialBalance (Quarter)'!$A:$L,MATCH([1]TBMapping!$C657,'[1]TrialBalance (Quarter)'!A:A,0),MATCH([1]TBMapping!M$3,'[1]TrialBalance (Quarter)'!$7:$7,0)),0)</f>
        <v>0</v>
      </c>
      <c r="M655" s="5">
        <f>IFERROR(INDEX('[1]TrialBalance (Quarter)'!$A:$L,MATCH([1]TBMapping!$C657,'[1]TrialBalance (Quarter)'!A:A,0),MATCH([1]TBMapping!N$3,'[1]TrialBalance (Quarter)'!$7:$7,0)),0)</f>
        <v>0</v>
      </c>
      <c r="N655" s="5">
        <f>IFERROR(INDEX('[1]TrialBalance (Quarter)'!$A:$L,MATCH([1]TBMapping!$C657,'[1]TrialBalance (Quarter)'!A:A,0),MATCH([1]TBMapping!O$3,'[1]TrialBalance (Quarter)'!$7:$7,0)),0)</f>
        <v>0</v>
      </c>
    </row>
    <row r="656" spans="1:14">
      <c r="A656" s="2">
        <v>2</v>
      </c>
      <c r="B656" s="3">
        <v>222250</v>
      </c>
      <c r="C656" s="11" t="s">
        <v>530</v>
      </c>
      <c r="D656" s="11" t="s">
        <v>11</v>
      </c>
      <c r="E656" s="11"/>
      <c r="F656" s="5" t="e">
        <f>IF(DataExtraction="Manual",SUMIF('[1]TrialBalance (YTD)'!$C:$C,B656,'[1]TrialBalance (YTD)'!$E:$E),SUMIF('[1]TrialBalance (YTD)'!$G:$G,B656,'[1]TrialBalance (YTD)'!$I:$I))</f>
        <v>#VALUE!</v>
      </c>
      <c r="G656" s="5">
        <f>IFERROR(INDEX('[1]TrialBalance (YTD)'!$G:$S,MATCH([1]TBMapping!$C658,'[1]TrialBalance (YTD)'!G:G,0),MATCH([1]TBMapping!H$3,'[1]TrialBalance (YTD)'!$G$7:$Z$7,0)),0)</f>
        <v>0</v>
      </c>
      <c r="H656" s="5" t="e">
        <f>SUMIF('[1]TrialBalance (YTD)'!G:G,B656,'[1]TrialBalance (YTD)'!H:H)</f>
        <v>#VALUE!</v>
      </c>
      <c r="I656" s="5">
        <f>IFERROR(INDEX('[1]TrialBalance (YTD)'!$G:$S,MATCH([1]TBMapping!$C658,'[1]TrialBalance (YTD)'!G:G,0),MATCH([1]TBMapping!J$3,'[1]TrialBalance (YTD)'!$G$7:$Z$7,0)),0)</f>
        <v>0</v>
      </c>
      <c r="K656" s="5" t="e">
        <f>SUMIF('[1]TrialBalance (Quarter)'!$A:$A,B656,'[1]TrialBalance (Quarter)'!$B:$B)</f>
        <v>#VALUE!</v>
      </c>
      <c r="L656" s="5">
        <f>IFERROR(INDEX('[1]TrialBalance (Quarter)'!$A:$L,MATCH([1]TBMapping!$C658,'[1]TrialBalance (Quarter)'!A:A,0),MATCH([1]TBMapping!M$3,'[1]TrialBalance (Quarter)'!$7:$7,0)),0)</f>
        <v>0</v>
      </c>
      <c r="M656" s="5">
        <f>IFERROR(INDEX('[1]TrialBalance (Quarter)'!$A:$L,MATCH([1]TBMapping!$C658,'[1]TrialBalance (Quarter)'!A:A,0),MATCH([1]TBMapping!N$3,'[1]TrialBalance (Quarter)'!$7:$7,0)),0)</f>
        <v>0</v>
      </c>
      <c r="N656" s="5">
        <f>IFERROR(INDEX('[1]TrialBalance (Quarter)'!$A:$L,MATCH([1]TBMapping!$C658,'[1]TrialBalance (Quarter)'!A:A,0),MATCH([1]TBMapping!O$3,'[1]TrialBalance (Quarter)'!$7:$7,0)),0)</f>
        <v>0</v>
      </c>
    </row>
    <row r="657" spans="1:14">
      <c r="A657" s="2">
        <v>2</v>
      </c>
      <c r="B657" s="3">
        <v>222310</v>
      </c>
      <c r="C657" s="10" t="s">
        <v>512</v>
      </c>
      <c r="D657" s="10" t="s">
        <v>11</v>
      </c>
      <c r="E657" s="10"/>
      <c r="F657" s="5" t="e">
        <f>IF(DataExtraction="Manual",SUMIF('[1]TrialBalance (YTD)'!$C:$C,B657,'[1]TrialBalance (YTD)'!$E:$E),SUMIF('[1]TrialBalance (YTD)'!$G:$G,B657,'[1]TrialBalance (YTD)'!$I:$I))</f>
        <v>#VALUE!</v>
      </c>
      <c r="G657" s="5">
        <f>IFERROR(INDEX('[1]TrialBalance (YTD)'!$G:$S,MATCH([1]TBMapping!$C659,'[1]TrialBalance (YTD)'!G:G,0),MATCH([1]TBMapping!H$3,'[1]TrialBalance (YTD)'!$G$7:$Z$7,0)),0)</f>
        <v>0</v>
      </c>
      <c r="H657" s="5" t="e">
        <f>SUMIF('[1]TrialBalance (YTD)'!G:G,B657,'[1]TrialBalance (YTD)'!H:H)</f>
        <v>#VALUE!</v>
      </c>
      <c r="I657" s="5">
        <f>IFERROR(INDEX('[1]TrialBalance (YTD)'!$G:$S,MATCH([1]TBMapping!$C659,'[1]TrialBalance (YTD)'!G:G,0),MATCH([1]TBMapping!J$3,'[1]TrialBalance (YTD)'!$G$7:$Z$7,0)),0)</f>
        <v>0</v>
      </c>
      <c r="K657" s="5" t="e">
        <f>SUMIF('[1]TrialBalance (Quarter)'!$A:$A,B657,'[1]TrialBalance (Quarter)'!$B:$B)</f>
        <v>#VALUE!</v>
      </c>
      <c r="L657" s="5">
        <f>IFERROR(INDEX('[1]TrialBalance (Quarter)'!$A:$L,MATCH([1]TBMapping!$C659,'[1]TrialBalance (Quarter)'!A:A,0),MATCH([1]TBMapping!M$3,'[1]TrialBalance (Quarter)'!$7:$7,0)),0)</f>
        <v>0</v>
      </c>
      <c r="M657" s="5">
        <f>IFERROR(INDEX('[1]TrialBalance (Quarter)'!$A:$L,MATCH([1]TBMapping!$C659,'[1]TrialBalance (Quarter)'!A:A,0),MATCH([1]TBMapping!N$3,'[1]TrialBalance (Quarter)'!$7:$7,0)),0)</f>
        <v>0</v>
      </c>
      <c r="N657" s="5">
        <f>IFERROR(INDEX('[1]TrialBalance (Quarter)'!$A:$L,MATCH([1]TBMapping!$C659,'[1]TrialBalance (Quarter)'!A:A,0),MATCH([1]TBMapping!O$3,'[1]TrialBalance (Quarter)'!$7:$7,0)),0)</f>
        <v>0</v>
      </c>
    </row>
    <row r="658" spans="1:14">
      <c r="A658" s="2">
        <v>2</v>
      </c>
      <c r="B658" s="3">
        <v>222315</v>
      </c>
      <c r="C658" s="11" t="s">
        <v>560</v>
      </c>
      <c r="D658" s="11" t="s">
        <v>11</v>
      </c>
      <c r="E658" s="11"/>
      <c r="F658" s="5" t="e">
        <f>IF(DataExtraction="Manual",SUMIF('[1]TrialBalance (YTD)'!$C:$C,B658,'[1]TrialBalance (YTD)'!$E:$E),SUMIF('[1]TrialBalance (YTD)'!$G:$G,B658,'[1]TrialBalance (YTD)'!$I:$I))</f>
        <v>#VALUE!</v>
      </c>
      <c r="G658" s="5">
        <f>IFERROR(INDEX('[1]TrialBalance (YTD)'!$G:$S,MATCH([1]TBMapping!$C660,'[1]TrialBalance (YTD)'!G:G,0),MATCH([1]TBMapping!H$3,'[1]TrialBalance (YTD)'!$G$7:$Z$7,0)),0)</f>
        <v>0</v>
      </c>
      <c r="H658" s="5" t="e">
        <f>SUMIF('[1]TrialBalance (YTD)'!G:G,B658,'[1]TrialBalance (YTD)'!H:H)</f>
        <v>#VALUE!</v>
      </c>
      <c r="I658" s="5">
        <f>IFERROR(INDEX('[1]TrialBalance (YTD)'!$G:$S,MATCH([1]TBMapping!$C660,'[1]TrialBalance (YTD)'!G:G,0),MATCH([1]TBMapping!J$3,'[1]TrialBalance (YTD)'!$G$7:$Z$7,0)),0)</f>
        <v>0</v>
      </c>
      <c r="K658" s="5" t="e">
        <f>SUMIF('[1]TrialBalance (Quarter)'!$A:$A,B658,'[1]TrialBalance (Quarter)'!$B:$B)</f>
        <v>#VALUE!</v>
      </c>
      <c r="L658" s="5">
        <f>IFERROR(INDEX('[1]TrialBalance (Quarter)'!$A:$L,MATCH([1]TBMapping!$C660,'[1]TrialBalance (Quarter)'!A:A,0),MATCH([1]TBMapping!M$3,'[1]TrialBalance (Quarter)'!$7:$7,0)),0)</f>
        <v>0</v>
      </c>
      <c r="M658" s="5">
        <f>IFERROR(INDEX('[1]TrialBalance (Quarter)'!$A:$L,MATCH([1]TBMapping!$C660,'[1]TrialBalance (Quarter)'!A:A,0),MATCH([1]TBMapping!N$3,'[1]TrialBalance (Quarter)'!$7:$7,0)),0)</f>
        <v>0</v>
      </c>
      <c r="N658" s="5">
        <f>IFERROR(INDEX('[1]TrialBalance (Quarter)'!$A:$L,MATCH([1]TBMapping!$C660,'[1]TrialBalance (Quarter)'!A:A,0),MATCH([1]TBMapping!O$3,'[1]TrialBalance (Quarter)'!$7:$7,0)),0)</f>
        <v>0</v>
      </c>
    </row>
    <row r="659" spans="1:14">
      <c r="A659" s="2">
        <v>2</v>
      </c>
      <c r="B659" s="3">
        <v>222320</v>
      </c>
      <c r="C659" s="10" t="s">
        <v>513</v>
      </c>
      <c r="D659" s="10" t="s">
        <v>11</v>
      </c>
      <c r="E659" s="10"/>
      <c r="F659" s="5" t="e">
        <f>IF(DataExtraction="Manual",SUMIF('[1]TrialBalance (YTD)'!$C:$C,B659,'[1]TrialBalance (YTD)'!$E:$E),SUMIF('[1]TrialBalance (YTD)'!$G:$G,B659,'[1]TrialBalance (YTD)'!$I:$I))</f>
        <v>#VALUE!</v>
      </c>
      <c r="G659" s="5">
        <f>IFERROR(INDEX('[1]TrialBalance (YTD)'!$G:$S,MATCH([1]TBMapping!$C661,'[1]TrialBalance (YTD)'!G:G,0),MATCH([1]TBMapping!H$3,'[1]TrialBalance (YTD)'!$G$7:$Z$7,0)),0)</f>
        <v>0</v>
      </c>
      <c r="H659" s="5" t="e">
        <f>SUMIF('[1]TrialBalance (YTD)'!G:G,B659,'[1]TrialBalance (YTD)'!H:H)</f>
        <v>#VALUE!</v>
      </c>
      <c r="I659" s="5">
        <f>IFERROR(INDEX('[1]TrialBalance (YTD)'!$G:$S,MATCH([1]TBMapping!$C661,'[1]TrialBalance (YTD)'!G:G,0),MATCH([1]TBMapping!J$3,'[1]TrialBalance (YTD)'!$G$7:$Z$7,0)),0)</f>
        <v>0</v>
      </c>
      <c r="K659" s="5" t="e">
        <f>SUMIF('[1]TrialBalance (Quarter)'!$A:$A,B659,'[1]TrialBalance (Quarter)'!$B:$B)</f>
        <v>#VALUE!</v>
      </c>
      <c r="L659" s="5">
        <f>IFERROR(INDEX('[1]TrialBalance (Quarter)'!$A:$L,MATCH([1]TBMapping!$C661,'[1]TrialBalance (Quarter)'!A:A,0),MATCH([1]TBMapping!M$3,'[1]TrialBalance (Quarter)'!$7:$7,0)),0)</f>
        <v>0</v>
      </c>
      <c r="M659" s="5">
        <f>IFERROR(INDEX('[1]TrialBalance (Quarter)'!$A:$L,MATCH([1]TBMapping!$C661,'[1]TrialBalance (Quarter)'!A:A,0),MATCH([1]TBMapping!N$3,'[1]TrialBalance (Quarter)'!$7:$7,0)),0)</f>
        <v>0</v>
      </c>
      <c r="N659" s="5">
        <f>IFERROR(INDEX('[1]TrialBalance (Quarter)'!$A:$L,MATCH([1]TBMapping!$C661,'[1]TrialBalance (Quarter)'!A:A,0),MATCH([1]TBMapping!O$3,'[1]TrialBalance (Quarter)'!$7:$7,0)),0)</f>
        <v>0</v>
      </c>
    </row>
    <row r="660" spans="1:14">
      <c r="A660" s="2">
        <v>2</v>
      </c>
      <c r="B660" s="3">
        <v>222330</v>
      </c>
      <c r="C660" s="11" t="s">
        <v>514</v>
      </c>
      <c r="D660" s="11" t="s">
        <v>11</v>
      </c>
      <c r="E660" s="11"/>
      <c r="F660" s="5" t="e">
        <f>IF(DataExtraction="Manual",SUMIF('[1]TrialBalance (YTD)'!$C:$C,B660,'[1]TrialBalance (YTD)'!$E:$E),SUMIF('[1]TrialBalance (YTD)'!$G:$G,B660,'[1]TrialBalance (YTD)'!$I:$I))</f>
        <v>#VALUE!</v>
      </c>
      <c r="G660" s="5">
        <f>IFERROR(INDEX('[1]TrialBalance (YTD)'!$G:$S,MATCH([1]TBMapping!$C662,'[1]TrialBalance (YTD)'!G:G,0),MATCH([1]TBMapping!H$3,'[1]TrialBalance (YTD)'!$G$7:$Z$7,0)),0)</f>
        <v>0</v>
      </c>
      <c r="H660" s="5" t="e">
        <f>SUMIF('[1]TrialBalance (YTD)'!G:G,B660,'[1]TrialBalance (YTD)'!H:H)</f>
        <v>#VALUE!</v>
      </c>
      <c r="I660" s="5">
        <f>IFERROR(INDEX('[1]TrialBalance (YTD)'!$G:$S,MATCH([1]TBMapping!$C662,'[1]TrialBalance (YTD)'!G:G,0),MATCH([1]TBMapping!J$3,'[1]TrialBalance (YTD)'!$G$7:$Z$7,0)),0)</f>
        <v>0</v>
      </c>
      <c r="K660" s="5" t="e">
        <f>SUMIF('[1]TrialBalance (Quarter)'!$A:$A,B660,'[1]TrialBalance (Quarter)'!$B:$B)</f>
        <v>#VALUE!</v>
      </c>
      <c r="L660" s="5">
        <f>IFERROR(INDEX('[1]TrialBalance (Quarter)'!$A:$L,MATCH([1]TBMapping!$C662,'[1]TrialBalance (Quarter)'!A:A,0),MATCH([1]TBMapping!M$3,'[1]TrialBalance (Quarter)'!$7:$7,0)),0)</f>
        <v>0</v>
      </c>
      <c r="M660" s="5">
        <f>IFERROR(INDEX('[1]TrialBalance (Quarter)'!$A:$L,MATCH([1]TBMapping!$C662,'[1]TrialBalance (Quarter)'!A:A,0),MATCH([1]TBMapping!N$3,'[1]TrialBalance (Quarter)'!$7:$7,0)),0)</f>
        <v>0</v>
      </c>
      <c r="N660" s="5">
        <f>IFERROR(INDEX('[1]TrialBalance (Quarter)'!$A:$L,MATCH([1]TBMapping!$C662,'[1]TrialBalance (Quarter)'!A:A,0),MATCH([1]TBMapping!O$3,'[1]TrialBalance (Quarter)'!$7:$7,0)),0)</f>
        <v>0</v>
      </c>
    </row>
    <row r="661" spans="1:14">
      <c r="A661" s="2">
        <v>2</v>
      </c>
      <c r="B661" s="3">
        <v>222350</v>
      </c>
      <c r="C661" s="10" t="s">
        <v>530</v>
      </c>
      <c r="D661" s="10" t="s">
        <v>11</v>
      </c>
      <c r="E661" s="10"/>
      <c r="F661" s="5" t="e">
        <f>IF(DataExtraction="Manual",SUMIF('[1]TrialBalance (YTD)'!$C:$C,B661,'[1]TrialBalance (YTD)'!$E:$E),SUMIF('[1]TrialBalance (YTD)'!$G:$G,B661,'[1]TrialBalance (YTD)'!$I:$I))</f>
        <v>#VALUE!</v>
      </c>
      <c r="G661" s="5">
        <f>IFERROR(INDEX('[1]TrialBalance (YTD)'!$G:$S,MATCH([1]TBMapping!$C663,'[1]TrialBalance (YTD)'!G:G,0),MATCH([1]TBMapping!H$3,'[1]TrialBalance (YTD)'!$G$7:$Z$7,0)),0)</f>
        <v>0</v>
      </c>
      <c r="H661" s="5" t="e">
        <f>SUMIF('[1]TrialBalance (YTD)'!G:G,B661,'[1]TrialBalance (YTD)'!H:H)</f>
        <v>#VALUE!</v>
      </c>
      <c r="I661" s="5">
        <f>IFERROR(INDEX('[1]TrialBalance (YTD)'!$G:$S,MATCH([1]TBMapping!$C663,'[1]TrialBalance (YTD)'!G:G,0),MATCH([1]TBMapping!J$3,'[1]TrialBalance (YTD)'!$G$7:$Z$7,0)),0)</f>
        <v>0</v>
      </c>
      <c r="K661" s="5" t="e">
        <f>SUMIF('[1]TrialBalance (Quarter)'!$A:$A,B661,'[1]TrialBalance (Quarter)'!$B:$B)</f>
        <v>#VALUE!</v>
      </c>
      <c r="L661" s="5">
        <f>IFERROR(INDEX('[1]TrialBalance (Quarter)'!$A:$L,MATCH([1]TBMapping!$C663,'[1]TrialBalance (Quarter)'!A:A,0),MATCH([1]TBMapping!M$3,'[1]TrialBalance (Quarter)'!$7:$7,0)),0)</f>
        <v>0</v>
      </c>
      <c r="M661" s="5">
        <f>IFERROR(INDEX('[1]TrialBalance (Quarter)'!$A:$L,MATCH([1]TBMapping!$C663,'[1]TrialBalance (Quarter)'!A:A,0),MATCH([1]TBMapping!N$3,'[1]TrialBalance (Quarter)'!$7:$7,0)),0)</f>
        <v>0</v>
      </c>
      <c r="N661" s="5">
        <f>IFERROR(INDEX('[1]TrialBalance (Quarter)'!$A:$L,MATCH([1]TBMapping!$C663,'[1]TrialBalance (Quarter)'!A:A,0),MATCH([1]TBMapping!O$3,'[1]TrialBalance (Quarter)'!$7:$7,0)),0)</f>
        <v>0</v>
      </c>
    </row>
    <row r="662" spans="1:14">
      <c r="A662" s="2">
        <v>2</v>
      </c>
      <c r="B662" s="3">
        <v>222410</v>
      </c>
      <c r="C662" s="11" t="s">
        <v>515</v>
      </c>
      <c r="D662" s="11" t="s">
        <v>11</v>
      </c>
      <c r="E662" s="11"/>
      <c r="F662" s="5" t="e">
        <f>IF(DataExtraction="Manual",SUMIF('[1]TrialBalance (YTD)'!$C:$C,B662,'[1]TrialBalance (YTD)'!$E:$E),SUMIF('[1]TrialBalance (YTD)'!$G:$G,B662,'[1]TrialBalance (YTD)'!$I:$I))</f>
        <v>#VALUE!</v>
      </c>
      <c r="G662" s="5">
        <f>IFERROR(INDEX('[1]TrialBalance (YTD)'!$G:$S,MATCH([1]TBMapping!$C664,'[1]TrialBalance (YTD)'!G:G,0),MATCH([1]TBMapping!H$3,'[1]TrialBalance (YTD)'!$G$7:$Z$7,0)),0)</f>
        <v>0</v>
      </c>
      <c r="H662" s="5" t="e">
        <f>SUMIF('[1]TrialBalance (YTD)'!G:G,B662,'[1]TrialBalance (YTD)'!H:H)</f>
        <v>#VALUE!</v>
      </c>
      <c r="I662" s="5">
        <f>IFERROR(INDEX('[1]TrialBalance (YTD)'!$G:$S,MATCH([1]TBMapping!$C664,'[1]TrialBalance (YTD)'!G:G,0),MATCH([1]TBMapping!J$3,'[1]TrialBalance (YTD)'!$G$7:$Z$7,0)),0)</f>
        <v>0</v>
      </c>
      <c r="K662" s="5" t="e">
        <f>SUMIF('[1]TrialBalance (Quarter)'!$A:$A,B662,'[1]TrialBalance (Quarter)'!$B:$B)</f>
        <v>#VALUE!</v>
      </c>
      <c r="L662" s="5">
        <f>IFERROR(INDEX('[1]TrialBalance (Quarter)'!$A:$L,MATCH([1]TBMapping!$C664,'[1]TrialBalance (Quarter)'!A:A,0),MATCH([1]TBMapping!M$3,'[1]TrialBalance (Quarter)'!$7:$7,0)),0)</f>
        <v>0</v>
      </c>
      <c r="M662" s="5">
        <f>IFERROR(INDEX('[1]TrialBalance (Quarter)'!$A:$L,MATCH([1]TBMapping!$C664,'[1]TrialBalance (Quarter)'!A:A,0),MATCH([1]TBMapping!N$3,'[1]TrialBalance (Quarter)'!$7:$7,0)),0)</f>
        <v>0</v>
      </c>
      <c r="N662" s="5">
        <f>IFERROR(INDEX('[1]TrialBalance (Quarter)'!$A:$L,MATCH([1]TBMapping!$C664,'[1]TrialBalance (Quarter)'!A:A,0),MATCH([1]TBMapping!O$3,'[1]TrialBalance (Quarter)'!$7:$7,0)),0)</f>
        <v>0</v>
      </c>
    </row>
    <row r="663" spans="1:14">
      <c r="A663" s="2">
        <v>2</v>
      </c>
      <c r="B663" s="3">
        <v>222420</v>
      </c>
      <c r="C663" s="10" t="s">
        <v>516</v>
      </c>
      <c r="D663" s="10" t="s">
        <v>11</v>
      </c>
      <c r="E663" s="10"/>
      <c r="F663" s="5" t="e">
        <f>IF(DataExtraction="Manual",SUMIF('[1]TrialBalance (YTD)'!$C:$C,B663,'[1]TrialBalance (YTD)'!$E:$E),SUMIF('[1]TrialBalance (YTD)'!$G:$G,B663,'[1]TrialBalance (YTD)'!$I:$I))</f>
        <v>#VALUE!</v>
      </c>
      <c r="G663" s="5">
        <f>IFERROR(INDEX('[1]TrialBalance (YTD)'!$G:$S,MATCH([1]TBMapping!$C665,'[1]TrialBalance (YTD)'!G:G,0),MATCH([1]TBMapping!H$3,'[1]TrialBalance (YTD)'!$G$7:$Z$7,0)),0)</f>
        <v>0</v>
      </c>
      <c r="H663" s="5" t="e">
        <f>SUMIF('[1]TrialBalance (YTD)'!G:G,B663,'[1]TrialBalance (YTD)'!H:H)</f>
        <v>#VALUE!</v>
      </c>
      <c r="I663" s="5">
        <f>IFERROR(INDEX('[1]TrialBalance (YTD)'!$G:$S,MATCH([1]TBMapping!$C665,'[1]TrialBalance (YTD)'!G:G,0),MATCH([1]TBMapping!J$3,'[1]TrialBalance (YTD)'!$G$7:$Z$7,0)),0)</f>
        <v>0</v>
      </c>
      <c r="K663" s="5" t="e">
        <f>SUMIF('[1]TrialBalance (Quarter)'!$A:$A,B663,'[1]TrialBalance (Quarter)'!$B:$B)</f>
        <v>#VALUE!</v>
      </c>
      <c r="L663" s="5">
        <f>IFERROR(INDEX('[1]TrialBalance (Quarter)'!$A:$L,MATCH([1]TBMapping!$C665,'[1]TrialBalance (Quarter)'!A:A,0),MATCH([1]TBMapping!M$3,'[1]TrialBalance (Quarter)'!$7:$7,0)),0)</f>
        <v>0</v>
      </c>
      <c r="M663" s="5">
        <f>IFERROR(INDEX('[1]TrialBalance (Quarter)'!$A:$L,MATCH([1]TBMapping!$C665,'[1]TrialBalance (Quarter)'!A:A,0),MATCH([1]TBMapping!N$3,'[1]TrialBalance (Quarter)'!$7:$7,0)),0)</f>
        <v>0</v>
      </c>
      <c r="N663" s="5">
        <f>IFERROR(INDEX('[1]TrialBalance (Quarter)'!$A:$L,MATCH([1]TBMapping!$C665,'[1]TrialBalance (Quarter)'!A:A,0),MATCH([1]TBMapping!O$3,'[1]TrialBalance (Quarter)'!$7:$7,0)),0)</f>
        <v>0</v>
      </c>
    </row>
    <row r="664" spans="1:14">
      <c r="A664" s="2">
        <v>2</v>
      </c>
      <c r="B664" s="3">
        <v>222450</v>
      </c>
      <c r="C664" s="11" t="s">
        <v>530</v>
      </c>
      <c r="D664" s="11" t="s">
        <v>11</v>
      </c>
      <c r="E664" s="11"/>
      <c r="F664" s="5" t="e">
        <f>IF(DataExtraction="Manual",SUMIF('[1]TrialBalance (YTD)'!$C:$C,B664,'[1]TrialBalance (YTD)'!$E:$E),SUMIF('[1]TrialBalance (YTD)'!$G:$G,B664,'[1]TrialBalance (YTD)'!$I:$I))</f>
        <v>#VALUE!</v>
      </c>
      <c r="G664" s="5">
        <f>IFERROR(INDEX('[1]TrialBalance (YTD)'!$G:$S,MATCH([1]TBMapping!$C666,'[1]TrialBalance (YTD)'!G:G,0),MATCH([1]TBMapping!H$3,'[1]TrialBalance (YTD)'!$G$7:$Z$7,0)),0)</f>
        <v>0</v>
      </c>
      <c r="H664" s="5" t="e">
        <f>SUMIF('[1]TrialBalance (YTD)'!G:G,B664,'[1]TrialBalance (YTD)'!H:H)</f>
        <v>#VALUE!</v>
      </c>
      <c r="I664" s="5">
        <f>IFERROR(INDEX('[1]TrialBalance (YTD)'!$G:$S,MATCH([1]TBMapping!$C666,'[1]TrialBalance (YTD)'!G:G,0),MATCH([1]TBMapping!J$3,'[1]TrialBalance (YTD)'!$G$7:$Z$7,0)),0)</f>
        <v>0</v>
      </c>
      <c r="K664" s="5" t="e">
        <f>SUMIF('[1]TrialBalance (Quarter)'!$A:$A,B664,'[1]TrialBalance (Quarter)'!$B:$B)</f>
        <v>#VALUE!</v>
      </c>
      <c r="L664" s="5">
        <f>IFERROR(INDEX('[1]TrialBalance (Quarter)'!$A:$L,MATCH([1]TBMapping!$C666,'[1]TrialBalance (Quarter)'!A:A,0),MATCH([1]TBMapping!M$3,'[1]TrialBalance (Quarter)'!$7:$7,0)),0)</f>
        <v>0</v>
      </c>
      <c r="M664" s="5">
        <f>IFERROR(INDEX('[1]TrialBalance (Quarter)'!$A:$L,MATCH([1]TBMapping!$C666,'[1]TrialBalance (Quarter)'!A:A,0),MATCH([1]TBMapping!N$3,'[1]TrialBalance (Quarter)'!$7:$7,0)),0)</f>
        <v>0</v>
      </c>
      <c r="N664" s="5">
        <f>IFERROR(INDEX('[1]TrialBalance (Quarter)'!$A:$L,MATCH([1]TBMapping!$C666,'[1]TrialBalance (Quarter)'!A:A,0),MATCH([1]TBMapping!O$3,'[1]TrialBalance (Quarter)'!$7:$7,0)),0)</f>
        <v>0</v>
      </c>
    </row>
    <row r="665" spans="1:14">
      <c r="B665" s="3">
        <v>222999</v>
      </c>
      <c r="C665" s="10" t="s">
        <v>399</v>
      </c>
      <c r="D665" s="10" t="s">
        <v>16</v>
      </c>
      <c r="E665" s="10"/>
      <c r="F665" s="5" t="e">
        <f>IF(DataExtraction="Manual",SUMIF('[1]TrialBalance (YTD)'!$C:$C,B665,'[1]TrialBalance (YTD)'!$E:$E),SUMIF('[1]TrialBalance (YTD)'!$G:$G,B665,'[1]TrialBalance (YTD)'!$I:$I))</f>
        <v>#VALUE!</v>
      </c>
      <c r="G665" s="5">
        <f>IFERROR(INDEX('[1]TrialBalance (YTD)'!$G:$S,MATCH([1]TBMapping!$C667,'[1]TrialBalance (YTD)'!G:G,0),MATCH([1]TBMapping!H$3,'[1]TrialBalance (YTD)'!$G$7:$Z$7,0)),0)</f>
        <v>0</v>
      </c>
      <c r="H665" s="5" t="e">
        <f>SUMIF('[1]TrialBalance (YTD)'!G:G,B665,'[1]TrialBalance (YTD)'!H:H)</f>
        <v>#VALUE!</v>
      </c>
      <c r="I665" s="5">
        <f>IFERROR(INDEX('[1]TrialBalance (YTD)'!$G:$S,MATCH([1]TBMapping!$C667,'[1]TrialBalance (YTD)'!G:G,0),MATCH([1]TBMapping!J$3,'[1]TrialBalance (YTD)'!$G$7:$Z$7,0)),0)</f>
        <v>0</v>
      </c>
      <c r="K665" s="5" t="e">
        <f>SUMIF('[1]TrialBalance (Quarter)'!$A:$A,B665,'[1]TrialBalance (Quarter)'!$B:$B)</f>
        <v>#VALUE!</v>
      </c>
      <c r="L665" s="5">
        <f>IFERROR(INDEX('[1]TrialBalance (Quarter)'!$A:$L,MATCH([1]TBMapping!$C667,'[1]TrialBalance (Quarter)'!A:A,0),MATCH([1]TBMapping!M$3,'[1]TrialBalance (Quarter)'!$7:$7,0)),0)</f>
        <v>0</v>
      </c>
      <c r="M665" s="5">
        <f>IFERROR(INDEX('[1]TrialBalance (Quarter)'!$A:$L,MATCH([1]TBMapping!$C667,'[1]TrialBalance (Quarter)'!A:A,0),MATCH([1]TBMapping!N$3,'[1]TrialBalance (Quarter)'!$7:$7,0)),0)</f>
        <v>0</v>
      </c>
      <c r="N665" s="5">
        <f>IFERROR(INDEX('[1]TrialBalance (Quarter)'!$A:$L,MATCH([1]TBMapping!$C667,'[1]TrialBalance (Quarter)'!A:A,0),MATCH([1]TBMapping!O$3,'[1]TrialBalance (Quarter)'!$7:$7,0)),0)</f>
        <v>0</v>
      </c>
    </row>
    <row r="666" spans="1:14">
      <c r="B666" s="3">
        <v>223000</v>
      </c>
      <c r="C666" s="11" t="s">
        <v>400</v>
      </c>
      <c r="D666" s="11" t="s">
        <v>5</v>
      </c>
      <c r="E666" s="11"/>
      <c r="F666" s="5" t="e">
        <f>IF(DataExtraction="Manual",SUMIF('[1]TrialBalance (YTD)'!$C:$C,B666,'[1]TrialBalance (YTD)'!$E:$E),SUMIF('[1]TrialBalance (YTD)'!$G:$G,B666,'[1]TrialBalance (YTD)'!$I:$I))</f>
        <v>#VALUE!</v>
      </c>
      <c r="G666" s="5">
        <f>IFERROR(INDEX('[1]TrialBalance (YTD)'!$G:$S,MATCH([1]TBMapping!$C668,'[1]TrialBalance (YTD)'!G:G,0),MATCH([1]TBMapping!H$3,'[1]TrialBalance (YTD)'!$G$7:$Z$7,0)),0)</f>
        <v>0</v>
      </c>
      <c r="H666" s="5" t="e">
        <f>SUMIF('[1]TrialBalance (YTD)'!G:G,B666,'[1]TrialBalance (YTD)'!H:H)</f>
        <v>#VALUE!</v>
      </c>
      <c r="I666" s="5">
        <f>IFERROR(INDEX('[1]TrialBalance (YTD)'!$G:$S,MATCH([1]TBMapping!$C668,'[1]TrialBalance (YTD)'!G:G,0),MATCH([1]TBMapping!J$3,'[1]TrialBalance (YTD)'!$G$7:$Z$7,0)),0)</f>
        <v>0</v>
      </c>
      <c r="K666" s="5" t="e">
        <f>SUMIF('[1]TrialBalance (Quarter)'!$A:$A,B666,'[1]TrialBalance (Quarter)'!$B:$B)</f>
        <v>#VALUE!</v>
      </c>
      <c r="L666" s="5">
        <f>IFERROR(INDEX('[1]TrialBalance (Quarter)'!$A:$L,MATCH([1]TBMapping!$C668,'[1]TrialBalance (Quarter)'!A:A,0),MATCH([1]TBMapping!M$3,'[1]TrialBalance (Quarter)'!$7:$7,0)),0)</f>
        <v>0</v>
      </c>
      <c r="M666" s="5">
        <f>IFERROR(INDEX('[1]TrialBalance (Quarter)'!$A:$L,MATCH([1]TBMapping!$C668,'[1]TrialBalance (Quarter)'!A:A,0),MATCH([1]TBMapping!N$3,'[1]TrialBalance (Quarter)'!$7:$7,0)),0)</f>
        <v>0</v>
      </c>
      <c r="N666" s="5">
        <f>IFERROR(INDEX('[1]TrialBalance (Quarter)'!$A:$L,MATCH([1]TBMapping!$C668,'[1]TrialBalance (Quarter)'!A:A,0),MATCH([1]TBMapping!O$3,'[1]TrialBalance (Quarter)'!$7:$7,0)),0)</f>
        <v>0</v>
      </c>
    </row>
    <row r="667" spans="1:14">
      <c r="A667" s="2">
        <v>2</v>
      </c>
      <c r="B667" s="3">
        <v>223110</v>
      </c>
      <c r="C667" s="10" t="s">
        <v>507</v>
      </c>
      <c r="D667" s="10" t="s">
        <v>11</v>
      </c>
      <c r="E667" s="10"/>
      <c r="F667" s="5" t="e">
        <f>IF(DataExtraction="Manual",SUMIF('[1]TrialBalance (YTD)'!$C:$C,B667,'[1]TrialBalance (YTD)'!$E:$E),SUMIF('[1]TrialBalance (YTD)'!$G:$G,B667,'[1]TrialBalance (YTD)'!$I:$I))</f>
        <v>#VALUE!</v>
      </c>
      <c r="G667" s="5">
        <f>IFERROR(INDEX('[1]TrialBalance (YTD)'!$G:$S,MATCH([1]TBMapping!$C669,'[1]TrialBalance (YTD)'!G:G,0),MATCH([1]TBMapping!H$3,'[1]TrialBalance (YTD)'!$G$7:$Z$7,0)),0)</f>
        <v>0</v>
      </c>
      <c r="H667" s="5" t="e">
        <f>SUMIF('[1]TrialBalance (YTD)'!G:G,B667,'[1]TrialBalance (YTD)'!H:H)</f>
        <v>#VALUE!</v>
      </c>
      <c r="I667" s="5">
        <f>IFERROR(INDEX('[1]TrialBalance (YTD)'!$G:$S,MATCH([1]TBMapping!$C669,'[1]TrialBalance (YTD)'!G:G,0),MATCH([1]TBMapping!J$3,'[1]TrialBalance (YTD)'!$G$7:$Z$7,0)),0)</f>
        <v>0</v>
      </c>
      <c r="K667" s="5" t="e">
        <f>SUMIF('[1]TrialBalance (Quarter)'!$A:$A,B667,'[1]TrialBalance (Quarter)'!$B:$B)</f>
        <v>#VALUE!</v>
      </c>
      <c r="L667" s="5">
        <f>IFERROR(INDEX('[1]TrialBalance (Quarter)'!$A:$L,MATCH([1]TBMapping!$C669,'[1]TrialBalance (Quarter)'!A:A,0),MATCH([1]TBMapping!M$3,'[1]TrialBalance (Quarter)'!$7:$7,0)),0)</f>
        <v>0</v>
      </c>
      <c r="M667" s="5">
        <f>IFERROR(INDEX('[1]TrialBalance (Quarter)'!$A:$L,MATCH([1]TBMapping!$C669,'[1]TrialBalance (Quarter)'!A:A,0),MATCH([1]TBMapping!N$3,'[1]TrialBalance (Quarter)'!$7:$7,0)),0)</f>
        <v>0</v>
      </c>
      <c r="N667" s="5">
        <f>IFERROR(INDEX('[1]TrialBalance (Quarter)'!$A:$L,MATCH([1]TBMapping!$C669,'[1]TrialBalance (Quarter)'!A:A,0),MATCH([1]TBMapping!O$3,'[1]TrialBalance (Quarter)'!$7:$7,0)),0)</f>
        <v>0</v>
      </c>
    </row>
    <row r="668" spans="1:14">
      <c r="A668" s="2">
        <v>2</v>
      </c>
      <c r="B668" s="3">
        <v>223112</v>
      </c>
      <c r="C668" s="11" t="s">
        <v>508</v>
      </c>
      <c r="D668" s="11" t="s">
        <v>11</v>
      </c>
      <c r="E668" s="11"/>
      <c r="F668" s="5" t="e">
        <f>IF(DataExtraction="Manual",SUMIF('[1]TrialBalance (YTD)'!$C:$C,B668,'[1]TrialBalance (YTD)'!$E:$E),SUMIF('[1]TrialBalance (YTD)'!$G:$G,B668,'[1]TrialBalance (YTD)'!$I:$I))</f>
        <v>#VALUE!</v>
      </c>
      <c r="G668" s="5">
        <f>IFERROR(INDEX('[1]TrialBalance (YTD)'!$G:$S,MATCH([1]TBMapping!$C670,'[1]TrialBalance (YTD)'!G:G,0),MATCH([1]TBMapping!H$3,'[1]TrialBalance (YTD)'!$G$7:$Z$7,0)),0)</f>
        <v>0</v>
      </c>
      <c r="H668" s="5" t="e">
        <f>SUMIF('[1]TrialBalance (YTD)'!G:G,B668,'[1]TrialBalance (YTD)'!H:H)</f>
        <v>#VALUE!</v>
      </c>
      <c r="I668" s="5">
        <f>IFERROR(INDEX('[1]TrialBalance (YTD)'!$G:$S,MATCH([1]TBMapping!$C670,'[1]TrialBalance (YTD)'!G:G,0),MATCH([1]TBMapping!J$3,'[1]TrialBalance (YTD)'!$G$7:$Z$7,0)),0)</f>
        <v>0</v>
      </c>
      <c r="K668" s="5" t="e">
        <f>SUMIF('[1]TrialBalance (Quarter)'!$A:$A,B668,'[1]TrialBalance (Quarter)'!$B:$B)</f>
        <v>#VALUE!</v>
      </c>
      <c r="L668" s="5">
        <f>IFERROR(INDEX('[1]TrialBalance (Quarter)'!$A:$L,MATCH([1]TBMapping!$C670,'[1]TrialBalance (Quarter)'!A:A,0),MATCH([1]TBMapping!M$3,'[1]TrialBalance (Quarter)'!$7:$7,0)),0)</f>
        <v>0</v>
      </c>
      <c r="M668" s="5">
        <f>IFERROR(INDEX('[1]TrialBalance (Quarter)'!$A:$L,MATCH([1]TBMapping!$C670,'[1]TrialBalance (Quarter)'!A:A,0),MATCH([1]TBMapping!N$3,'[1]TrialBalance (Quarter)'!$7:$7,0)),0)</f>
        <v>0</v>
      </c>
      <c r="N668" s="5">
        <f>IFERROR(INDEX('[1]TrialBalance (Quarter)'!$A:$L,MATCH([1]TBMapping!$C670,'[1]TrialBalance (Quarter)'!A:A,0),MATCH([1]TBMapping!O$3,'[1]TrialBalance (Quarter)'!$7:$7,0)),0)</f>
        <v>0</v>
      </c>
    </row>
    <row r="669" spans="1:14">
      <c r="A669" s="2">
        <v>2</v>
      </c>
      <c r="B669" s="3">
        <v>223115</v>
      </c>
      <c r="C669" s="10" t="s">
        <v>560</v>
      </c>
      <c r="D669" s="10" t="s">
        <v>11</v>
      </c>
      <c r="E669" s="10"/>
      <c r="F669" s="5" t="e">
        <f>IF(DataExtraction="Manual",SUMIF('[1]TrialBalance (YTD)'!$C:$C,B669,'[1]TrialBalance (YTD)'!$E:$E),SUMIF('[1]TrialBalance (YTD)'!$G:$G,B669,'[1]TrialBalance (YTD)'!$I:$I))</f>
        <v>#VALUE!</v>
      </c>
      <c r="G669" s="5">
        <f>IFERROR(INDEX('[1]TrialBalance (YTD)'!$G:$S,MATCH([1]TBMapping!$C671,'[1]TrialBalance (YTD)'!G:G,0),MATCH([1]TBMapping!H$3,'[1]TrialBalance (YTD)'!$G$7:$Z$7,0)),0)</f>
        <v>0</v>
      </c>
      <c r="H669" s="5" t="e">
        <f>SUMIF('[1]TrialBalance (YTD)'!G:G,B669,'[1]TrialBalance (YTD)'!H:H)</f>
        <v>#VALUE!</v>
      </c>
      <c r="I669" s="5">
        <f>IFERROR(INDEX('[1]TrialBalance (YTD)'!$G:$S,MATCH([1]TBMapping!$C671,'[1]TrialBalance (YTD)'!G:G,0),MATCH([1]TBMapping!J$3,'[1]TrialBalance (YTD)'!$G$7:$Z$7,0)),0)</f>
        <v>0</v>
      </c>
      <c r="K669" s="5" t="e">
        <f>SUMIF('[1]TrialBalance (Quarter)'!$A:$A,B669,'[1]TrialBalance (Quarter)'!$B:$B)</f>
        <v>#VALUE!</v>
      </c>
      <c r="L669" s="5">
        <f>IFERROR(INDEX('[1]TrialBalance (Quarter)'!$A:$L,MATCH([1]TBMapping!$C671,'[1]TrialBalance (Quarter)'!A:A,0),MATCH([1]TBMapping!M$3,'[1]TrialBalance (Quarter)'!$7:$7,0)),0)</f>
        <v>0</v>
      </c>
      <c r="M669" s="5">
        <f>IFERROR(INDEX('[1]TrialBalance (Quarter)'!$A:$L,MATCH([1]TBMapping!$C671,'[1]TrialBalance (Quarter)'!A:A,0),MATCH([1]TBMapping!N$3,'[1]TrialBalance (Quarter)'!$7:$7,0)),0)</f>
        <v>0</v>
      </c>
      <c r="N669" s="5">
        <f>IFERROR(INDEX('[1]TrialBalance (Quarter)'!$A:$L,MATCH([1]TBMapping!$C671,'[1]TrialBalance (Quarter)'!A:A,0),MATCH([1]TBMapping!O$3,'[1]TrialBalance (Quarter)'!$7:$7,0)),0)</f>
        <v>0</v>
      </c>
    </row>
    <row r="670" spans="1:14">
      <c r="A670" s="2">
        <v>2</v>
      </c>
      <c r="B670" s="3">
        <v>223120</v>
      </c>
      <c r="C670" s="11" t="s">
        <v>509</v>
      </c>
      <c r="D670" s="11" t="s">
        <v>11</v>
      </c>
      <c r="E670" s="11"/>
      <c r="F670" s="5" t="e">
        <f>IF(DataExtraction="Manual",SUMIF('[1]TrialBalance (YTD)'!$C:$C,B670,'[1]TrialBalance (YTD)'!$E:$E),SUMIF('[1]TrialBalance (YTD)'!$G:$G,B670,'[1]TrialBalance (YTD)'!$I:$I))</f>
        <v>#VALUE!</v>
      </c>
      <c r="G670" s="5">
        <f>IFERROR(INDEX('[1]TrialBalance (YTD)'!$G:$S,MATCH([1]TBMapping!$C672,'[1]TrialBalance (YTD)'!G:G,0),MATCH([1]TBMapping!H$3,'[1]TrialBalance (YTD)'!$G$7:$Z$7,0)),0)</f>
        <v>0</v>
      </c>
      <c r="H670" s="5" t="e">
        <f>SUMIF('[1]TrialBalance (YTD)'!G:G,B670,'[1]TrialBalance (YTD)'!H:H)</f>
        <v>#VALUE!</v>
      </c>
      <c r="I670" s="5">
        <f>IFERROR(INDEX('[1]TrialBalance (YTD)'!$G:$S,MATCH([1]TBMapping!$C672,'[1]TrialBalance (YTD)'!G:G,0),MATCH([1]TBMapping!J$3,'[1]TrialBalance (YTD)'!$G$7:$Z$7,0)),0)</f>
        <v>0</v>
      </c>
      <c r="K670" s="5" t="e">
        <f>SUMIF('[1]TrialBalance (Quarter)'!$A:$A,B670,'[1]TrialBalance (Quarter)'!$B:$B)</f>
        <v>#VALUE!</v>
      </c>
      <c r="L670" s="5">
        <f>IFERROR(INDEX('[1]TrialBalance (Quarter)'!$A:$L,MATCH([1]TBMapping!$C672,'[1]TrialBalance (Quarter)'!A:A,0),MATCH([1]TBMapping!M$3,'[1]TrialBalance (Quarter)'!$7:$7,0)),0)</f>
        <v>0</v>
      </c>
      <c r="M670" s="5">
        <f>IFERROR(INDEX('[1]TrialBalance (Quarter)'!$A:$L,MATCH([1]TBMapping!$C672,'[1]TrialBalance (Quarter)'!A:A,0),MATCH([1]TBMapping!N$3,'[1]TrialBalance (Quarter)'!$7:$7,0)),0)</f>
        <v>0</v>
      </c>
      <c r="N670" s="5">
        <f>IFERROR(INDEX('[1]TrialBalance (Quarter)'!$A:$L,MATCH([1]TBMapping!$C672,'[1]TrialBalance (Quarter)'!A:A,0),MATCH([1]TBMapping!O$3,'[1]TrialBalance (Quarter)'!$7:$7,0)),0)</f>
        <v>0</v>
      </c>
    </row>
    <row r="671" spans="1:14">
      <c r="A671" s="2">
        <v>2</v>
      </c>
      <c r="B671" s="3">
        <v>223130</v>
      </c>
      <c r="C671" s="10" t="s">
        <v>510</v>
      </c>
      <c r="D671" s="10" t="s">
        <v>11</v>
      </c>
      <c r="E671" s="10"/>
      <c r="F671" s="5" t="e">
        <f>IF(DataExtraction="Manual",SUMIF('[1]TrialBalance (YTD)'!$C:$C,B671,'[1]TrialBalance (YTD)'!$E:$E),SUMIF('[1]TrialBalance (YTD)'!$G:$G,B671,'[1]TrialBalance (YTD)'!$I:$I))</f>
        <v>#VALUE!</v>
      </c>
      <c r="G671" s="5">
        <f>IFERROR(INDEX('[1]TrialBalance (YTD)'!$G:$S,MATCH([1]TBMapping!$C673,'[1]TrialBalance (YTD)'!G:G,0),MATCH([1]TBMapping!H$3,'[1]TrialBalance (YTD)'!$G$7:$Z$7,0)),0)</f>
        <v>0</v>
      </c>
      <c r="H671" s="5" t="e">
        <f>SUMIF('[1]TrialBalance (YTD)'!G:G,B671,'[1]TrialBalance (YTD)'!H:H)</f>
        <v>#VALUE!</v>
      </c>
      <c r="I671" s="5">
        <f>IFERROR(INDEX('[1]TrialBalance (YTD)'!$G:$S,MATCH([1]TBMapping!$C673,'[1]TrialBalance (YTD)'!G:G,0),MATCH([1]TBMapping!J$3,'[1]TrialBalance (YTD)'!$G$7:$Z$7,0)),0)</f>
        <v>0</v>
      </c>
      <c r="K671" s="5" t="e">
        <f>SUMIF('[1]TrialBalance (Quarter)'!$A:$A,B671,'[1]TrialBalance (Quarter)'!$B:$B)</f>
        <v>#VALUE!</v>
      </c>
      <c r="L671" s="5">
        <f>IFERROR(INDEX('[1]TrialBalance (Quarter)'!$A:$L,MATCH([1]TBMapping!$C673,'[1]TrialBalance (Quarter)'!A:A,0),MATCH([1]TBMapping!M$3,'[1]TrialBalance (Quarter)'!$7:$7,0)),0)</f>
        <v>0</v>
      </c>
      <c r="M671" s="5">
        <f>IFERROR(INDEX('[1]TrialBalance (Quarter)'!$A:$L,MATCH([1]TBMapping!$C673,'[1]TrialBalance (Quarter)'!A:A,0),MATCH([1]TBMapping!N$3,'[1]TrialBalance (Quarter)'!$7:$7,0)),0)</f>
        <v>0</v>
      </c>
      <c r="N671" s="5">
        <f>IFERROR(INDEX('[1]TrialBalance (Quarter)'!$A:$L,MATCH([1]TBMapping!$C673,'[1]TrialBalance (Quarter)'!A:A,0),MATCH([1]TBMapping!O$3,'[1]TrialBalance (Quarter)'!$7:$7,0)),0)</f>
        <v>0</v>
      </c>
    </row>
    <row r="672" spans="1:14">
      <c r="A672" s="2">
        <v>2</v>
      </c>
      <c r="B672" s="3">
        <v>223135</v>
      </c>
      <c r="C672" s="11" t="s">
        <v>511</v>
      </c>
      <c r="D672" s="11" t="s">
        <v>11</v>
      </c>
      <c r="E672" s="11"/>
      <c r="F672" s="5" t="e">
        <f>IF(DataExtraction="Manual",SUMIF('[1]TrialBalance (YTD)'!$C:$C,B672,'[1]TrialBalance (YTD)'!$E:$E),SUMIF('[1]TrialBalance (YTD)'!$G:$G,B672,'[1]TrialBalance (YTD)'!$I:$I))</f>
        <v>#VALUE!</v>
      </c>
      <c r="G672" s="5">
        <f>IFERROR(INDEX('[1]TrialBalance (YTD)'!$G:$S,MATCH([1]TBMapping!$C674,'[1]TrialBalance (YTD)'!G:G,0),MATCH([1]TBMapping!H$3,'[1]TrialBalance (YTD)'!$G$7:$Z$7,0)),0)</f>
        <v>0</v>
      </c>
      <c r="H672" s="5" t="e">
        <f>SUMIF('[1]TrialBalance (YTD)'!G:G,B672,'[1]TrialBalance (YTD)'!H:H)</f>
        <v>#VALUE!</v>
      </c>
      <c r="I672" s="5">
        <f>IFERROR(INDEX('[1]TrialBalance (YTD)'!$G:$S,MATCH([1]TBMapping!$C674,'[1]TrialBalance (YTD)'!G:G,0),MATCH([1]TBMapping!J$3,'[1]TrialBalance (YTD)'!$G$7:$Z$7,0)),0)</f>
        <v>0</v>
      </c>
      <c r="K672" s="5" t="e">
        <f>SUMIF('[1]TrialBalance (Quarter)'!$A:$A,B672,'[1]TrialBalance (Quarter)'!$B:$B)</f>
        <v>#VALUE!</v>
      </c>
      <c r="L672" s="5">
        <f>IFERROR(INDEX('[1]TrialBalance (Quarter)'!$A:$L,MATCH([1]TBMapping!$C674,'[1]TrialBalance (Quarter)'!A:A,0),MATCH([1]TBMapping!M$3,'[1]TrialBalance (Quarter)'!$7:$7,0)),0)</f>
        <v>0</v>
      </c>
      <c r="M672" s="5">
        <f>IFERROR(INDEX('[1]TrialBalance (Quarter)'!$A:$L,MATCH([1]TBMapping!$C674,'[1]TrialBalance (Quarter)'!A:A,0),MATCH([1]TBMapping!N$3,'[1]TrialBalance (Quarter)'!$7:$7,0)),0)</f>
        <v>0</v>
      </c>
      <c r="N672" s="5">
        <f>IFERROR(INDEX('[1]TrialBalance (Quarter)'!$A:$L,MATCH([1]TBMapping!$C674,'[1]TrialBalance (Quarter)'!A:A,0),MATCH([1]TBMapping!O$3,'[1]TrialBalance (Quarter)'!$7:$7,0)),0)</f>
        <v>0</v>
      </c>
    </row>
    <row r="673" spans="1:14">
      <c r="A673" s="2">
        <v>2</v>
      </c>
      <c r="B673" s="3">
        <v>223137</v>
      </c>
      <c r="C673" s="10" t="s">
        <v>530</v>
      </c>
      <c r="D673" s="10" t="s">
        <v>11</v>
      </c>
      <c r="E673" s="10"/>
      <c r="F673" s="5" t="e">
        <f>IF(DataExtraction="Manual",SUMIF('[1]TrialBalance (YTD)'!$C:$C,B673,'[1]TrialBalance (YTD)'!$E:$E),SUMIF('[1]TrialBalance (YTD)'!$G:$G,B673,'[1]TrialBalance (YTD)'!$I:$I))</f>
        <v>#VALUE!</v>
      </c>
      <c r="G673" s="5">
        <f>IFERROR(INDEX('[1]TrialBalance (YTD)'!$G:$S,MATCH([1]TBMapping!$C675,'[1]TrialBalance (YTD)'!G:G,0),MATCH([1]TBMapping!H$3,'[1]TrialBalance (YTD)'!$G$7:$Z$7,0)),0)</f>
        <v>0</v>
      </c>
      <c r="H673" s="5" t="e">
        <f>SUMIF('[1]TrialBalance (YTD)'!G:G,B673,'[1]TrialBalance (YTD)'!H:H)</f>
        <v>#VALUE!</v>
      </c>
      <c r="I673" s="5">
        <f>IFERROR(INDEX('[1]TrialBalance (YTD)'!$G:$S,MATCH([1]TBMapping!$C675,'[1]TrialBalance (YTD)'!G:G,0),MATCH([1]TBMapping!J$3,'[1]TrialBalance (YTD)'!$G$7:$Z$7,0)),0)</f>
        <v>0</v>
      </c>
      <c r="K673" s="5" t="e">
        <f>SUMIF('[1]TrialBalance (Quarter)'!$A:$A,B673,'[1]TrialBalance (Quarter)'!$B:$B)</f>
        <v>#VALUE!</v>
      </c>
      <c r="L673" s="5">
        <f>IFERROR(INDEX('[1]TrialBalance (Quarter)'!$A:$L,MATCH([1]TBMapping!$C675,'[1]TrialBalance (Quarter)'!A:A,0),MATCH([1]TBMapping!M$3,'[1]TrialBalance (Quarter)'!$7:$7,0)),0)</f>
        <v>0</v>
      </c>
      <c r="M673" s="5">
        <f>IFERROR(INDEX('[1]TrialBalance (Quarter)'!$A:$L,MATCH([1]TBMapping!$C675,'[1]TrialBalance (Quarter)'!A:A,0),MATCH([1]TBMapping!N$3,'[1]TrialBalance (Quarter)'!$7:$7,0)),0)</f>
        <v>0</v>
      </c>
      <c r="N673" s="5">
        <f>IFERROR(INDEX('[1]TrialBalance (Quarter)'!$A:$L,MATCH([1]TBMapping!$C675,'[1]TrialBalance (Quarter)'!A:A,0),MATCH([1]TBMapping!O$3,'[1]TrialBalance (Quarter)'!$7:$7,0)),0)</f>
        <v>0</v>
      </c>
    </row>
    <row r="674" spans="1:14">
      <c r="A674" s="2">
        <v>2</v>
      </c>
      <c r="B674" s="3">
        <v>223210</v>
      </c>
      <c r="C674" s="11" t="s">
        <v>561</v>
      </c>
      <c r="D674" s="11" t="s">
        <v>11</v>
      </c>
      <c r="E674" s="11"/>
      <c r="F674" s="5" t="e">
        <f>IF(DataExtraction="Manual",SUMIF('[1]TrialBalance (YTD)'!$C:$C,B674,'[1]TrialBalance (YTD)'!$E:$E),SUMIF('[1]TrialBalance (YTD)'!$G:$G,B674,'[1]TrialBalance (YTD)'!$I:$I))</f>
        <v>#VALUE!</v>
      </c>
      <c r="G674" s="5">
        <f>IFERROR(INDEX('[1]TrialBalance (YTD)'!$G:$S,MATCH([1]TBMapping!$C676,'[1]TrialBalance (YTD)'!G:G,0),MATCH([1]TBMapping!H$3,'[1]TrialBalance (YTD)'!$G$7:$Z$7,0)),0)</f>
        <v>0</v>
      </c>
      <c r="H674" s="5" t="e">
        <f>SUMIF('[1]TrialBalance (YTD)'!G:G,B674,'[1]TrialBalance (YTD)'!H:H)</f>
        <v>#VALUE!</v>
      </c>
      <c r="I674" s="5">
        <f>IFERROR(INDEX('[1]TrialBalance (YTD)'!$G:$S,MATCH([1]TBMapping!$C676,'[1]TrialBalance (YTD)'!G:G,0),MATCH([1]TBMapping!J$3,'[1]TrialBalance (YTD)'!$G$7:$Z$7,0)),0)</f>
        <v>0</v>
      </c>
      <c r="K674" s="5" t="e">
        <f>SUMIF('[1]TrialBalance (Quarter)'!$A:$A,B674,'[1]TrialBalance (Quarter)'!$B:$B)</f>
        <v>#VALUE!</v>
      </c>
      <c r="L674" s="5">
        <f>IFERROR(INDEX('[1]TrialBalance (Quarter)'!$A:$L,MATCH([1]TBMapping!$C676,'[1]TrialBalance (Quarter)'!A:A,0),MATCH([1]TBMapping!M$3,'[1]TrialBalance (Quarter)'!$7:$7,0)),0)</f>
        <v>0</v>
      </c>
      <c r="M674" s="5">
        <f>IFERROR(INDEX('[1]TrialBalance (Quarter)'!$A:$L,MATCH([1]TBMapping!$C676,'[1]TrialBalance (Quarter)'!A:A,0),MATCH([1]TBMapping!N$3,'[1]TrialBalance (Quarter)'!$7:$7,0)),0)</f>
        <v>0</v>
      </c>
      <c r="N674" s="5">
        <f>IFERROR(INDEX('[1]TrialBalance (Quarter)'!$A:$L,MATCH([1]TBMapping!$C676,'[1]TrialBalance (Quarter)'!A:A,0),MATCH([1]TBMapping!O$3,'[1]TrialBalance (Quarter)'!$7:$7,0)),0)</f>
        <v>0</v>
      </c>
    </row>
    <row r="675" spans="1:14">
      <c r="A675" s="2">
        <v>2</v>
      </c>
      <c r="B675" s="3">
        <v>223220</v>
      </c>
      <c r="C675" s="10" t="s">
        <v>563</v>
      </c>
      <c r="D675" s="10" t="s">
        <v>11</v>
      </c>
      <c r="E675" s="10"/>
      <c r="F675" s="5" t="e">
        <f>IF(DataExtraction="Manual",SUMIF('[1]TrialBalance (YTD)'!$C:$C,B675,'[1]TrialBalance (YTD)'!$E:$E),SUMIF('[1]TrialBalance (YTD)'!$G:$G,B675,'[1]TrialBalance (YTD)'!$I:$I))</f>
        <v>#VALUE!</v>
      </c>
      <c r="G675" s="5">
        <f>IFERROR(INDEX('[1]TrialBalance (YTD)'!$G:$S,MATCH([1]TBMapping!$C677,'[1]TrialBalance (YTD)'!G:G,0),MATCH([1]TBMapping!H$3,'[1]TrialBalance (YTD)'!$G$7:$Z$7,0)),0)</f>
        <v>0</v>
      </c>
      <c r="H675" s="5" t="e">
        <f>SUMIF('[1]TrialBalance (YTD)'!G:G,B675,'[1]TrialBalance (YTD)'!H:H)</f>
        <v>#VALUE!</v>
      </c>
      <c r="I675" s="5">
        <f>IFERROR(INDEX('[1]TrialBalance (YTD)'!$G:$S,MATCH([1]TBMapping!$C677,'[1]TrialBalance (YTD)'!G:G,0),MATCH([1]TBMapping!J$3,'[1]TrialBalance (YTD)'!$G$7:$Z$7,0)),0)</f>
        <v>0</v>
      </c>
      <c r="K675" s="5" t="e">
        <f>SUMIF('[1]TrialBalance (Quarter)'!$A:$A,B675,'[1]TrialBalance (Quarter)'!$B:$B)</f>
        <v>#VALUE!</v>
      </c>
      <c r="L675" s="5">
        <f>IFERROR(INDEX('[1]TrialBalance (Quarter)'!$A:$L,MATCH([1]TBMapping!$C677,'[1]TrialBalance (Quarter)'!A:A,0),MATCH([1]TBMapping!M$3,'[1]TrialBalance (Quarter)'!$7:$7,0)),0)</f>
        <v>0</v>
      </c>
      <c r="M675" s="5">
        <f>IFERROR(INDEX('[1]TrialBalance (Quarter)'!$A:$L,MATCH([1]TBMapping!$C677,'[1]TrialBalance (Quarter)'!A:A,0),MATCH([1]TBMapping!N$3,'[1]TrialBalance (Quarter)'!$7:$7,0)),0)</f>
        <v>0</v>
      </c>
      <c r="N675" s="5">
        <f>IFERROR(INDEX('[1]TrialBalance (Quarter)'!$A:$L,MATCH([1]TBMapping!$C677,'[1]TrialBalance (Quarter)'!A:A,0),MATCH([1]TBMapping!O$3,'[1]TrialBalance (Quarter)'!$7:$7,0)),0)</f>
        <v>0</v>
      </c>
    </row>
    <row r="676" spans="1:14">
      <c r="A676" s="2">
        <v>2</v>
      </c>
      <c r="B676" s="3">
        <v>223250</v>
      </c>
      <c r="C676" s="11" t="s">
        <v>530</v>
      </c>
      <c r="D676" s="11" t="s">
        <v>11</v>
      </c>
      <c r="E676" s="11"/>
      <c r="F676" s="5" t="e">
        <f>IF(DataExtraction="Manual",SUMIF('[1]TrialBalance (YTD)'!$C:$C,B676,'[1]TrialBalance (YTD)'!$E:$E),SUMIF('[1]TrialBalance (YTD)'!$G:$G,B676,'[1]TrialBalance (YTD)'!$I:$I))</f>
        <v>#VALUE!</v>
      </c>
      <c r="G676" s="5">
        <f>IFERROR(INDEX('[1]TrialBalance (YTD)'!$G:$S,MATCH([1]TBMapping!$C678,'[1]TrialBalance (YTD)'!G:G,0),MATCH([1]TBMapping!H$3,'[1]TrialBalance (YTD)'!$G$7:$Z$7,0)),0)</f>
        <v>0</v>
      </c>
      <c r="H676" s="5" t="e">
        <f>SUMIF('[1]TrialBalance (YTD)'!G:G,B676,'[1]TrialBalance (YTD)'!H:H)</f>
        <v>#VALUE!</v>
      </c>
      <c r="I676" s="5">
        <f>IFERROR(INDEX('[1]TrialBalance (YTD)'!$G:$S,MATCH([1]TBMapping!$C678,'[1]TrialBalance (YTD)'!G:G,0),MATCH([1]TBMapping!J$3,'[1]TrialBalance (YTD)'!$G$7:$Z$7,0)),0)</f>
        <v>0</v>
      </c>
      <c r="K676" s="5" t="e">
        <f>SUMIF('[1]TrialBalance (Quarter)'!$A:$A,B676,'[1]TrialBalance (Quarter)'!$B:$B)</f>
        <v>#VALUE!</v>
      </c>
      <c r="L676" s="5">
        <f>IFERROR(INDEX('[1]TrialBalance (Quarter)'!$A:$L,MATCH([1]TBMapping!$C678,'[1]TrialBalance (Quarter)'!A:A,0),MATCH([1]TBMapping!M$3,'[1]TrialBalance (Quarter)'!$7:$7,0)),0)</f>
        <v>0</v>
      </c>
      <c r="M676" s="5">
        <f>IFERROR(INDEX('[1]TrialBalance (Quarter)'!$A:$L,MATCH([1]TBMapping!$C678,'[1]TrialBalance (Quarter)'!A:A,0),MATCH([1]TBMapping!N$3,'[1]TrialBalance (Quarter)'!$7:$7,0)),0)</f>
        <v>0</v>
      </c>
      <c r="N676" s="5">
        <f>IFERROR(INDEX('[1]TrialBalance (Quarter)'!$A:$L,MATCH([1]TBMapping!$C678,'[1]TrialBalance (Quarter)'!A:A,0),MATCH([1]TBMapping!O$3,'[1]TrialBalance (Quarter)'!$7:$7,0)),0)</f>
        <v>0</v>
      </c>
    </row>
    <row r="677" spans="1:14">
      <c r="A677" s="2">
        <v>2</v>
      </c>
      <c r="B677" s="3">
        <v>223310</v>
      </c>
      <c r="C677" s="10" t="s">
        <v>512</v>
      </c>
      <c r="D677" s="10" t="s">
        <v>11</v>
      </c>
      <c r="E677" s="10"/>
      <c r="F677" s="5" t="e">
        <f>IF(DataExtraction="Manual",SUMIF('[1]TrialBalance (YTD)'!$C:$C,B677,'[1]TrialBalance (YTD)'!$E:$E),SUMIF('[1]TrialBalance (YTD)'!$G:$G,B677,'[1]TrialBalance (YTD)'!$I:$I))</f>
        <v>#VALUE!</v>
      </c>
      <c r="G677" s="5">
        <f>IFERROR(INDEX('[1]TrialBalance (YTD)'!$G:$S,MATCH([1]TBMapping!$C679,'[1]TrialBalance (YTD)'!G:G,0),MATCH([1]TBMapping!H$3,'[1]TrialBalance (YTD)'!$G$7:$Z$7,0)),0)</f>
        <v>0</v>
      </c>
      <c r="H677" s="5" t="e">
        <f>SUMIF('[1]TrialBalance (YTD)'!G:G,B677,'[1]TrialBalance (YTD)'!H:H)</f>
        <v>#VALUE!</v>
      </c>
      <c r="I677" s="5">
        <f>IFERROR(INDEX('[1]TrialBalance (YTD)'!$G:$S,MATCH([1]TBMapping!$C679,'[1]TrialBalance (YTD)'!G:G,0),MATCH([1]TBMapping!J$3,'[1]TrialBalance (YTD)'!$G$7:$Z$7,0)),0)</f>
        <v>0</v>
      </c>
      <c r="K677" s="5" t="e">
        <f>SUMIF('[1]TrialBalance (Quarter)'!$A:$A,B677,'[1]TrialBalance (Quarter)'!$B:$B)</f>
        <v>#VALUE!</v>
      </c>
      <c r="L677" s="5">
        <f>IFERROR(INDEX('[1]TrialBalance (Quarter)'!$A:$L,MATCH([1]TBMapping!$C679,'[1]TrialBalance (Quarter)'!A:A,0),MATCH([1]TBMapping!M$3,'[1]TrialBalance (Quarter)'!$7:$7,0)),0)</f>
        <v>0</v>
      </c>
      <c r="M677" s="5">
        <f>IFERROR(INDEX('[1]TrialBalance (Quarter)'!$A:$L,MATCH([1]TBMapping!$C679,'[1]TrialBalance (Quarter)'!A:A,0),MATCH([1]TBMapping!N$3,'[1]TrialBalance (Quarter)'!$7:$7,0)),0)</f>
        <v>0</v>
      </c>
      <c r="N677" s="5">
        <f>IFERROR(INDEX('[1]TrialBalance (Quarter)'!$A:$L,MATCH([1]TBMapping!$C679,'[1]TrialBalance (Quarter)'!A:A,0),MATCH([1]TBMapping!O$3,'[1]TrialBalance (Quarter)'!$7:$7,0)),0)</f>
        <v>0</v>
      </c>
    </row>
    <row r="678" spans="1:14">
      <c r="A678" s="2">
        <v>2</v>
      </c>
      <c r="B678" s="3">
        <v>223315</v>
      </c>
      <c r="C678" s="11" t="s">
        <v>560</v>
      </c>
      <c r="D678" s="11" t="s">
        <v>11</v>
      </c>
      <c r="E678" s="11"/>
      <c r="F678" s="5" t="e">
        <f>IF(DataExtraction="Manual",SUMIF('[1]TrialBalance (YTD)'!$C:$C,B678,'[1]TrialBalance (YTD)'!$E:$E),SUMIF('[1]TrialBalance (YTD)'!$G:$G,B678,'[1]TrialBalance (YTD)'!$I:$I))</f>
        <v>#VALUE!</v>
      </c>
      <c r="G678" s="5">
        <f>IFERROR(INDEX('[1]TrialBalance (YTD)'!$G:$S,MATCH([1]TBMapping!$C680,'[1]TrialBalance (YTD)'!G:G,0),MATCH([1]TBMapping!H$3,'[1]TrialBalance (YTD)'!$G$7:$Z$7,0)),0)</f>
        <v>0</v>
      </c>
      <c r="H678" s="5" t="e">
        <f>SUMIF('[1]TrialBalance (YTD)'!G:G,B678,'[1]TrialBalance (YTD)'!H:H)</f>
        <v>#VALUE!</v>
      </c>
      <c r="I678" s="5">
        <f>IFERROR(INDEX('[1]TrialBalance (YTD)'!$G:$S,MATCH([1]TBMapping!$C680,'[1]TrialBalance (YTD)'!G:G,0),MATCH([1]TBMapping!J$3,'[1]TrialBalance (YTD)'!$G$7:$Z$7,0)),0)</f>
        <v>0</v>
      </c>
      <c r="K678" s="5" t="e">
        <f>SUMIF('[1]TrialBalance (Quarter)'!$A:$A,B678,'[1]TrialBalance (Quarter)'!$B:$B)</f>
        <v>#VALUE!</v>
      </c>
      <c r="L678" s="5">
        <f>IFERROR(INDEX('[1]TrialBalance (Quarter)'!$A:$L,MATCH([1]TBMapping!$C680,'[1]TrialBalance (Quarter)'!A:A,0),MATCH([1]TBMapping!M$3,'[1]TrialBalance (Quarter)'!$7:$7,0)),0)</f>
        <v>0</v>
      </c>
      <c r="M678" s="5">
        <f>IFERROR(INDEX('[1]TrialBalance (Quarter)'!$A:$L,MATCH([1]TBMapping!$C680,'[1]TrialBalance (Quarter)'!A:A,0),MATCH([1]TBMapping!N$3,'[1]TrialBalance (Quarter)'!$7:$7,0)),0)</f>
        <v>0</v>
      </c>
      <c r="N678" s="5">
        <f>IFERROR(INDEX('[1]TrialBalance (Quarter)'!$A:$L,MATCH([1]TBMapping!$C680,'[1]TrialBalance (Quarter)'!A:A,0),MATCH([1]TBMapping!O$3,'[1]TrialBalance (Quarter)'!$7:$7,0)),0)</f>
        <v>0</v>
      </c>
    </row>
    <row r="679" spans="1:14">
      <c r="A679" s="2">
        <v>2</v>
      </c>
      <c r="B679" s="3">
        <v>223320</v>
      </c>
      <c r="C679" s="10" t="s">
        <v>513</v>
      </c>
      <c r="D679" s="10" t="s">
        <v>11</v>
      </c>
      <c r="E679" s="10"/>
      <c r="F679" s="5" t="e">
        <f>IF(DataExtraction="Manual",SUMIF('[1]TrialBalance (YTD)'!$C:$C,B679,'[1]TrialBalance (YTD)'!$E:$E),SUMIF('[1]TrialBalance (YTD)'!$G:$G,B679,'[1]TrialBalance (YTD)'!$I:$I))</f>
        <v>#VALUE!</v>
      </c>
      <c r="G679" s="5">
        <f>IFERROR(INDEX('[1]TrialBalance (YTD)'!$G:$S,MATCH([1]TBMapping!$C681,'[1]TrialBalance (YTD)'!G:G,0),MATCH([1]TBMapping!H$3,'[1]TrialBalance (YTD)'!$G$7:$Z$7,0)),0)</f>
        <v>0</v>
      </c>
      <c r="H679" s="5" t="e">
        <f>SUMIF('[1]TrialBalance (YTD)'!G:G,B679,'[1]TrialBalance (YTD)'!H:H)</f>
        <v>#VALUE!</v>
      </c>
      <c r="I679" s="5">
        <f>IFERROR(INDEX('[1]TrialBalance (YTD)'!$G:$S,MATCH([1]TBMapping!$C681,'[1]TrialBalance (YTD)'!G:G,0),MATCH([1]TBMapping!J$3,'[1]TrialBalance (YTD)'!$G$7:$Z$7,0)),0)</f>
        <v>0</v>
      </c>
      <c r="K679" s="5" t="e">
        <f>SUMIF('[1]TrialBalance (Quarter)'!$A:$A,B679,'[1]TrialBalance (Quarter)'!$B:$B)</f>
        <v>#VALUE!</v>
      </c>
      <c r="L679" s="5">
        <f>IFERROR(INDEX('[1]TrialBalance (Quarter)'!$A:$L,MATCH([1]TBMapping!$C681,'[1]TrialBalance (Quarter)'!A:A,0),MATCH([1]TBMapping!M$3,'[1]TrialBalance (Quarter)'!$7:$7,0)),0)</f>
        <v>0</v>
      </c>
      <c r="M679" s="5">
        <f>IFERROR(INDEX('[1]TrialBalance (Quarter)'!$A:$L,MATCH([1]TBMapping!$C681,'[1]TrialBalance (Quarter)'!A:A,0),MATCH([1]TBMapping!N$3,'[1]TrialBalance (Quarter)'!$7:$7,0)),0)</f>
        <v>0</v>
      </c>
      <c r="N679" s="5">
        <f>IFERROR(INDEX('[1]TrialBalance (Quarter)'!$A:$L,MATCH([1]TBMapping!$C681,'[1]TrialBalance (Quarter)'!A:A,0),MATCH([1]TBMapping!O$3,'[1]TrialBalance (Quarter)'!$7:$7,0)),0)</f>
        <v>0</v>
      </c>
    </row>
    <row r="680" spans="1:14">
      <c r="A680" s="2">
        <v>2</v>
      </c>
      <c r="B680" s="3">
        <v>223330</v>
      </c>
      <c r="C680" s="11" t="s">
        <v>514</v>
      </c>
      <c r="D680" s="11" t="s">
        <v>11</v>
      </c>
      <c r="E680" s="11"/>
      <c r="F680" s="5" t="e">
        <f>IF(DataExtraction="Manual",SUMIF('[1]TrialBalance (YTD)'!$C:$C,B680,'[1]TrialBalance (YTD)'!$E:$E),SUMIF('[1]TrialBalance (YTD)'!$G:$G,B680,'[1]TrialBalance (YTD)'!$I:$I))</f>
        <v>#VALUE!</v>
      </c>
      <c r="G680" s="5">
        <f>IFERROR(INDEX('[1]TrialBalance (YTD)'!$G:$S,MATCH([1]TBMapping!$C682,'[1]TrialBalance (YTD)'!G:G,0),MATCH([1]TBMapping!H$3,'[1]TrialBalance (YTD)'!$G$7:$Z$7,0)),0)</f>
        <v>0</v>
      </c>
      <c r="H680" s="5" t="e">
        <f>SUMIF('[1]TrialBalance (YTD)'!G:G,B680,'[1]TrialBalance (YTD)'!H:H)</f>
        <v>#VALUE!</v>
      </c>
      <c r="I680" s="5">
        <f>IFERROR(INDEX('[1]TrialBalance (YTD)'!$G:$S,MATCH([1]TBMapping!$C682,'[1]TrialBalance (YTD)'!G:G,0),MATCH([1]TBMapping!J$3,'[1]TrialBalance (YTD)'!$G$7:$Z$7,0)),0)</f>
        <v>0</v>
      </c>
      <c r="K680" s="5" t="e">
        <f>SUMIF('[1]TrialBalance (Quarter)'!$A:$A,B680,'[1]TrialBalance (Quarter)'!$B:$B)</f>
        <v>#VALUE!</v>
      </c>
      <c r="L680" s="5">
        <f>IFERROR(INDEX('[1]TrialBalance (Quarter)'!$A:$L,MATCH([1]TBMapping!$C682,'[1]TrialBalance (Quarter)'!A:A,0),MATCH([1]TBMapping!M$3,'[1]TrialBalance (Quarter)'!$7:$7,0)),0)</f>
        <v>0</v>
      </c>
      <c r="M680" s="5">
        <f>IFERROR(INDEX('[1]TrialBalance (Quarter)'!$A:$L,MATCH([1]TBMapping!$C682,'[1]TrialBalance (Quarter)'!A:A,0),MATCH([1]TBMapping!N$3,'[1]TrialBalance (Quarter)'!$7:$7,0)),0)</f>
        <v>0</v>
      </c>
      <c r="N680" s="5">
        <f>IFERROR(INDEX('[1]TrialBalance (Quarter)'!$A:$L,MATCH([1]TBMapping!$C682,'[1]TrialBalance (Quarter)'!A:A,0),MATCH([1]TBMapping!O$3,'[1]TrialBalance (Quarter)'!$7:$7,0)),0)</f>
        <v>0</v>
      </c>
    </row>
    <row r="681" spans="1:14">
      <c r="A681" s="2">
        <v>2</v>
      </c>
      <c r="B681" s="3">
        <v>223350</v>
      </c>
      <c r="C681" s="10" t="s">
        <v>530</v>
      </c>
      <c r="D681" s="10" t="s">
        <v>11</v>
      </c>
      <c r="E681" s="10"/>
      <c r="F681" s="5" t="e">
        <f>IF(DataExtraction="Manual",SUMIF('[1]TrialBalance (YTD)'!$C:$C,B681,'[1]TrialBalance (YTD)'!$E:$E),SUMIF('[1]TrialBalance (YTD)'!$G:$G,B681,'[1]TrialBalance (YTD)'!$I:$I))</f>
        <v>#VALUE!</v>
      </c>
      <c r="G681" s="5">
        <f>IFERROR(INDEX('[1]TrialBalance (YTD)'!$G:$S,MATCH([1]TBMapping!$C683,'[1]TrialBalance (YTD)'!G:G,0),MATCH([1]TBMapping!H$3,'[1]TrialBalance (YTD)'!$G$7:$Z$7,0)),0)</f>
        <v>0</v>
      </c>
      <c r="H681" s="5" t="e">
        <f>SUMIF('[1]TrialBalance (YTD)'!G:G,B681,'[1]TrialBalance (YTD)'!H:H)</f>
        <v>#VALUE!</v>
      </c>
      <c r="I681" s="5">
        <f>IFERROR(INDEX('[1]TrialBalance (YTD)'!$G:$S,MATCH([1]TBMapping!$C683,'[1]TrialBalance (YTD)'!G:G,0),MATCH([1]TBMapping!J$3,'[1]TrialBalance (YTD)'!$G$7:$Z$7,0)),0)</f>
        <v>0</v>
      </c>
      <c r="K681" s="5" t="e">
        <f>SUMIF('[1]TrialBalance (Quarter)'!$A:$A,B681,'[1]TrialBalance (Quarter)'!$B:$B)</f>
        <v>#VALUE!</v>
      </c>
      <c r="L681" s="5">
        <f>IFERROR(INDEX('[1]TrialBalance (Quarter)'!$A:$L,MATCH([1]TBMapping!$C683,'[1]TrialBalance (Quarter)'!A:A,0),MATCH([1]TBMapping!M$3,'[1]TrialBalance (Quarter)'!$7:$7,0)),0)</f>
        <v>0</v>
      </c>
      <c r="M681" s="5">
        <f>IFERROR(INDEX('[1]TrialBalance (Quarter)'!$A:$L,MATCH([1]TBMapping!$C683,'[1]TrialBalance (Quarter)'!A:A,0),MATCH([1]TBMapping!N$3,'[1]TrialBalance (Quarter)'!$7:$7,0)),0)</f>
        <v>0</v>
      </c>
      <c r="N681" s="5">
        <f>IFERROR(INDEX('[1]TrialBalance (Quarter)'!$A:$L,MATCH([1]TBMapping!$C683,'[1]TrialBalance (Quarter)'!A:A,0),MATCH([1]TBMapping!O$3,'[1]TrialBalance (Quarter)'!$7:$7,0)),0)</f>
        <v>0</v>
      </c>
    </row>
    <row r="682" spans="1:14">
      <c r="A682" s="2">
        <v>2</v>
      </c>
      <c r="B682" s="3">
        <v>223410</v>
      </c>
      <c r="C682" s="11" t="s">
        <v>515</v>
      </c>
      <c r="D682" s="11" t="s">
        <v>11</v>
      </c>
      <c r="E682" s="11"/>
      <c r="F682" s="5" t="e">
        <f>IF(DataExtraction="Manual",SUMIF('[1]TrialBalance (YTD)'!$C:$C,B682,'[1]TrialBalance (YTD)'!$E:$E),SUMIF('[1]TrialBalance (YTD)'!$G:$G,B682,'[1]TrialBalance (YTD)'!$I:$I))</f>
        <v>#VALUE!</v>
      </c>
      <c r="G682" s="5">
        <f>IFERROR(INDEX('[1]TrialBalance (YTD)'!$G:$S,MATCH([1]TBMapping!$C684,'[1]TrialBalance (YTD)'!G:G,0),MATCH([1]TBMapping!H$3,'[1]TrialBalance (YTD)'!$G$7:$Z$7,0)),0)</f>
        <v>0</v>
      </c>
      <c r="H682" s="5" t="e">
        <f>SUMIF('[1]TrialBalance (YTD)'!G:G,B682,'[1]TrialBalance (YTD)'!H:H)</f>
        <v>#VALUE!</v>
      </c>
      <c r="I682" s="5">
        <f>IFERROR(INDEX('[1]TrialBalance (YTD)'!$G:$S,MATCH([1]TBMapping!$C684,'[1]TrialBalance (YTD)'!G:G,0),MATCH([1]TBMapping!J$3,'[1]TrialBalance (YTD)'!$G$7:$Z$7,0)),0)</f>
        <v>0</v>
      </c>
      <c r="K682" s="5" t="e">
        <f>SUMIF('[1]TrialBalance (Quarter)'!$A:$A,B682,'[1]TrialBalance (Quarter)'!$B:$B)</f>
        <v>#VALUE!</v>
      </c>
      <c r="L682" s="5">
        <f>IFERROR(INDEX('[1]TrialBalance (Quarter)'!$A:$L,MATCH([1]TBMapping!$C684,'[1]TrialBalance (Quarter)'!A:A,0),MATCH([1]TBMapping!M$3,'[1]TrialBalance (Quarter)'!$7:$7,0)),0)</f>
        <v>0</v>
      </c>
      <c r="M682" s="5">
        <f>IFERROR(INDEX('[1]TrialBalance (Quarter)'!$A:$L,MATCH([1]TBMapping!$C684,'[1]TrialBalance (Quarter)'!A:A,0),MATCH([1]TBMapping!N$3,'[1]TrialBalance (Quarter)'!$7:$7,0)),0)</f>
        <v>0</v>
      </c>
      <c r="N682" s="5">
        <f>IFERROR(INDEX('[1]TrialBalance (Quarter)'!$A:$L,MATCH([1]TBMapping!$C684,'[1]TrialBalance (Quarter)'!A:A,0),MATCH([1]TBMapping!O$3,'[1]TrialBalance (Quarter)'!$7:$7,0)),0)</f>
        <v>0</v>
      </c>
    </row>
    <row r="683" spans="1:14">
      <c r="A683" s="2">
        <v>2</v>
      </c>
      <c r="B683" s="3">
        <v>223420</v>
      </c>
      <c r="C683" s="10" t="s">
        <v>516</v>
      </c>
      <c r="D683" s="10" t="s">
        <v>11</v>
      </c>
      <c r="E683" s="10"/>
      <c r="F683" s="5" t="e">
        <f>IF(DataExtraction="Manual",SUMIF('[1]TrialBalance (YTD)'!$C:$C,B683,'[1]TrialBalance (YTD)'!$E:$E),SUMIF('[1]TrialBalance (YTD)'!$G:$G,B683,'[1]TrialBalance (YTD)'!$I:$I))</f>
        <v>#VALUE!</v>
      </c>
      <c r="G683" s="5">
        <f>IFERROR(INDEX('[1]TrialBalance (YTD)'!$G:$S,MATCH([1]TBMapping!$C685,'[1]TrialBalance (YTD)'!G:G,0),MATCH([1]TBMapping!H$3,'[1]TrialBalance (YTD)'!$G$7:$Z$7,0)),0)</f>
        <v>0</v>
      </c>
      <c r="H683" s="5" t="e">
        <f>SUMIF('[1]TrialBalance (YTD)'!G:G,B683,'[1]TrialBalance (YTD)'!H:H)</f>
        <v>#VALUE!</v>
      </c>
      <c r="I683" s="5">
        <f>IFERROR(INDEX('[1]TrialBalance (YTD)'!$G:$S,MATCH([1]TBMapping!$C685,'[1]TrialBalance (YTD)'!G:G,0),MATCH([1]TBMapping!J$3,'[1]TrialBalance (YTD)'!$G$7:$Z$7,0)),0)</f>
        <v>0</v>
      </c>
      <c r="K683" s="5" t="e">
        <f>SUMIF('[1]TrialBalance (Quarter)'!$A:$A,B683,'[1]TrialBalance (Quarter)'!$B:$B)</f>
        <v>#VALUE!</v>
      </c>
      <c r="L683" s="5">
        <f>IFERROR(INDEX('[1]TrialBalance (Quarter)'!$A:$L,MATCH([1]TBMapping!$C685,'[1]TrialBalance (Quarter)'!A:A,0),MATCH([1]TBMapping!M$3,'[1]TrialBalance (Quarter)'!$7:$7,0)),0)</f>
        <v>0</v>
      </c>
      <c r="M683" s="5">
        <f>IFERROR(INDEX('[1]TrialBalance (Quarter)'!$A:$L,MATCH([1]TBMapping!$C685,'[1]TrialBalance (Quarter)'!A:A,0),MATCH([1]TBMapping!N$3,'[1]TrialBalance (Quarter)'!$7:$7,0)),0)</f>
        <v>0</v>
      </c>
      <c r="N683" s="5">
        <f>IFERROR(INDEX('[1]TrialBalance (Quarter)'!$A:$L,MATCH([1]TBMapping!$C685,'[1]TrialBalance (Quarter)'!A:A,0),MATCH([1]TBMapping!O$3,'[1]TrialBalance (Quarter)'!$7:$7,0)),0)</f>
        <v>0</v>
      </c>
    </row>
    <row r="684" spans="1:14">
      <c r="A684" s="2">
        <v>2</v>
      </c>
      <c r="B684" s="3">
        <v>223450</v>
      </c>
      <c r="C684" s="11" t="s">
        <v>530</v>
      </c>
      <c r="D684" s="11" t="s">
        <v>11</v>
      </c>
      <c r="E684" s="11"/>
      <c r="F684" s="5" t="e">
        <f>IF(DataExtraction="Manual",SUMIF('[1]TrialBalance (YTD)'!$C:$C,B684,'[1]TrialBalance (YTD)'!$E:$E),SUMIF('[1]TrialBalance (YTD)'!$G:$G,B684,'[1]TrialBalance (YTD)'!$I:$I))</f>
        <v>#VALUE!</v>
      </c>
      <c r="G684" s="5">
        <f>IFERROR(INDEX('[1]TrialBalance (YTD)'!$G:$S,MATCH([1]TBMapping!$C686,'[1]TrialBalance (YTD)'!G:G,0),MATCH([1]TBMapping!H$3,'[1]TrialBalance (YTD)'!$G$7:$Z$7,0)),0)</f>
        <v>0</v>
      </c>
      <c r="H684" s="5" t="e">
        <f>SUMIF('[1]TrialBalance (YTD)'!G:G,B684,'[1]TrialBalance (YTD)'!H:H)</f>
        <v>#VALUE!</v>
      </c>
      <c r="I684" s="5">
        <f>IFERROR(INDEX('[1]TrialBalance (YTD)'!$G:$S,MATCH([1]TBMapping!$C686,'[1]TrialBalance (YTD)'!G:G,0),MATCH([1]TBMapping!J$3,'[1]TrialBalance (YTD)'!$G$7:$Z$7,0)),0)</f>
        <v>0</v>
      </c>
      <c r="K684" s="5" t="e">
        <f>SUMIF('[1]TrialBalance (Quarter)'!$A:$A,B684,'[1]TrialBalance (Quarter)'!$B:$B)</f>
        <v>#VALUE!</v>
      </c>
      <c r="L684" s="5">
        <f>IFERROR(INDEX('[1]TrialBalance (Quarter)'!$A:$L,MATCH([1]TBMapping!$C686,'[1]TrialBalance (Quarter)'!A:A,0),MATCH([1]TBMapping!M$3,'[1]TrialBalance (Quarter)'!$7:$7,0)),0)</f>
        <v>0</v>
      </c>
      <c r="M684" s="5">
        <f>IFERROR(INDEX('[1]TrialBalance (Quarter)'!$A:$L,MATCH([1]TBMapping!$C686,'[1]TrialBalance (Quarter)'!A:A,0),MATCH([1]TBMapping!N$3,'[1]TrialBalance (Quarter)'!$7:$7,0)),0)</f>
        <v>0</v>
      </c>
      <c r="N684" s="5">
        <f>IFERROR(INDEX('[1]TrialBalance (Quarter)'!$A:$L,MATCH([1]TBMapping!$C686,'[1]TrialBalance (Quarter)'!A:A,0),MATCH([1]TBMapping!O$3,'[1]TrialBalance (Quarter)'!$7:$7,0)),0)</f>
        <v>0</v>
      </c>
    </row>
    <row r="685" spans="1:14">
      <c r="B685" s="3">
        <v>223999</v>
      </c>
      <c r="C685" s="10" t="s">
        <v>564</v>
      </c>
      <c r="D685" s="10" t="s">
        <v>16</v>
      </c>
      <c r="E685" s="10"/>
      <c r="F685" s="5" t="e">
        <f>IF(DataExtraction="Manual",SUMIF('[1]TrialBalance (YTD)'!$C:$C,B685,'[1]TrialBalance (YTD)'!$E:$E),SUMIF('[1]TrialBalance (YTD)'!$G:$G,B685,'[1]TrialBalance (YTD)'!$I:$I))</f>
        <v>#VALUE!</v>
      </c>
      <c r="G685" s="5">
        <f>IFERROR(INDEX('[1]TrialBalance (YTD)'!$G:$S,MATCH([1]TBMapping!$C687,'[1]TrialBalance (YTD)'!G:G,0),MATCH([1]TBMapping!H$3,'[1]TrialBalance (YTD)'!$G$7:$Z$7,0)),0)</f>
        <v>0</v>
      </c>
      <c r="H685" s="5" t="e">
        <f>SUMIF('[1]TrialBalance (YTD)'!G:G,B685,'[1]TrialBalance (YTD)'!H:H)</f>
        <v>#VALUE!</v>
      </c>
      <c r="I685" s="5">
        <f>IFERROR(INDEX('[1]TrialBalance (YTD)'!$G:$S,MATCH([1]TBMapping!$C687,'[1]TrialBalance (YTD)'!G:G,0),MATCH([1]TBMapping!J$3,'[1]TrialBalance (YTD)'!$G$7:$Z$7,0)),0)</f>
        <v>0</v>
      </c>
      <c r="K685" s="5" t="e">
        <f>SUMIF('[1]TrialBalance (Quarter)'!$A:$A,B685,'[1]TrialBalance (Quarter)'!$B:$B)</f>
        <v>#VALUE!</v>
      </c>
      <c r="L685" s="5">
        <f>IFERROR(INDEX('[1]TrialBalance (Quarter)'!$A:$L,MATCH([1]TBMapping!$C687,'[1]TrialBalance (Quarter)'!A:A,0),MATCH([1]TBMapping!M$3,'[1]TrialBalance (Quarter)'!$7:$7,0)),0)</f>
        <v>0</v>
      </c>
      <c r="M685" s="5">
        <f>IFERROR(INDEX('[1]TrialBalance (Quarter)'!$A:$L,MATCH([1]TBMapping!$C687,'[1]TrialBalance (Quarter)'!A:A,0),MATCH([1]TBMapping!N$3,'[1]TrialBalance (Quarter)'!$7:$7,0)),0)</f>
        <v>0</v>
      </c>
      <c r="N685" s="5">
        <f>IFERROR(INDEX('[1]TrialBalance (Quarter)'!$A:$L,MATCH([1]TBMapping!$C687,'[1]TrialBalance (Quarter)'!A:A,0),MATCH([1]TBMapping!O$3,'[1]TrialBalance (Quarter)'!$7:$7,0)),0)</f>
        <v>0</v>
      </c>
    </row>
    <row r="686" spans="1:14">
      <c r="B686" s="3">
        <v>224000</v>
      </c>
      <c r="C686" s="11" t="s">
        <v>565</v>
      </c>
      <c r="D686" s="11" t="s">
        <v>5</v>
      </c>
      <c r="E686" s="11"/>
      <c r="F686" s="5" t="e">
        <f>IF(DataExtraction="Manual",SUMIF('[1]TrialBalance (YTD)'!$C:$C,B686,'[1]TrialBalance (YTD)'!$E:$E),SUMIF('[1]TrialBalance (YTD)'!$G:$G,B686,'[1]TrialBalance (YTD)'!$I:$I))</f>
        <v>#VALUE!</v>
      </c>
      <c r="G686" s="5">
        <f>IFERROR(INDEX('[1]TrialBalance (YTD)'!$G:$S,MATCH([1]TBMapping!$C688,'[1]TrialBalance (YTD)'!G:G,0),MATCH([1]TBMapping!H$3,'[1]TrialBalance (YTD)'!$G$7:$Z$7,0)),0)</f>
        <v>0</v>
      </c>
      <c r="H686" s="5" t="e">
        <f>SUMIF('[1]TrialBalance (YTD)'!G:G,B686,'[1]TrialBalance (YTD)'!H:H)</f>
        <v>#VALUE!</v>
      </c>
      <c r="I686" s="5">
        <f>IFERROR(INDEX('[1]TrialBalance (YTD)'!$G:$S,MATCH([1]TBMapping!$C688,'[1]TrialBalance (YTD)'!G:G,0),MATCH([1]TBMapping!J$3,'[1]TrialBalance (YTD)'!$G$7:$Z$7,0)),0)</f>
        <v>0</v>
      </c>
      <c r="K686" s="5" t="e">
        <f>SUMIF('[1]TrialBalance (Quarter)'!$A:$A,B686,'[1]TrialBalance (Quarter)'!$B:$B)</f>
        <v>#VALUE!</v>
      </c>
      <c r="L686" s="5">
        <f>IFERROR(INDEX('[1]TrialBalance (Quarter)'!$A:$L,MATCH([1]TBMapping!$C688,'[1]TrialBalance (Quarter)'!A:A,0),MATCH([1]TBMapping!M$3,'[1]TrialBalance (Quarter)'!$7:$7,0)),0)</f>
        <v>0</v>
      </c>
      <c r="M686" s="5">
        <f>IFERROR(INDEX('[1]TrialBalance (Quarter)'!$A:$L,MATCH([1]TBMapping!$C688,'[1]TrialBalance (Quarter)'!A:A,0),MATCH([1]TBMapping!N$3,'[1]TrialBalance (Quarter)'!$7:$7,0)),0)</f>
        <v>0</v>
      </c>
      <c r="N686" s="5">
        <f>IFERROR(INDEX('[1]TrialBalance (Quarter)'!$A:$L,MATCH([1]TBMapping!$C688,'[1]TrialBalance (Quarter)'!A:A,0),MATCH([1]TBMapping!O$3,'[1]TrialBalance (Quarter)'!$7:$7,0)),0)</f>
        <v>0</v>
      </c>
    </row>
    <row r="687" spans="1:14">
      <c r="A687" s="2">
        <v>3</v>
      </c>
      <c r="B687" s="3">
        <v>224110</v>
      </c>
      <c r="C687" s="10" t="s">
        <v>566</v>
      </c>
      <c r="D687" s="10" t="s">
        <v>11</v>
      </c>
      <c r="E687" s="10"/>
      <c r="F687" s="5" t="e">
        <f>IF(DataExtraction="Manual",SUMIF('[1]TrialBalance (YTD)'!$C:$C,B687,'[1]TrialBalance (YTD)'!$E:$E),SUMIF('[1]TrialBalance (YTD)'!$G:$G,B687,'[1]TrialBalance (YTD)'!$I:$I))</f>
        <v>#VALUE!</v>
      </c>
      <c r="G687" s="5">
        <f>IFERROR(INDEX('[1]TrialBalance (YTD)'!$G:$S,MATCH([1]TBMapping!$C689,'[1]TrialBalance (YTD)'!G:G,0),MATCH([1]TBMapping!H$3,'[1]TrialBalance (YTD)'!$G$7:$Z$7,0)),0)</f>
        <v>0</v>
      </c>
      <c r="H687" s="5" t="e">
        <f>SUMIF('[1]TrialBalance (YTD)'!G:G,B687,'[1]TrialBalance (YTD)'!H:H)</f>
        <v>#VALUE!</v>
      </c>
      <c r="I687" s="5">
        <f>IFERROR(INDEX('[1]TrialBalance (YTD)'!$G:$S,MATCH([1]TBMapping!$C689,'[1]TrialBalance (YTD)'!G:G,0),MATCH([1]TBMapping!J$3,'[1]TrialBalance (YTD)'!$G$7:$Z$7,0)),0)</f>
        <v>0</v>
      </c>
      <c r="K687" s="5" t="e">
        <f>SUMIF('[1]TrialBalance (Quarter)'!$A:$A,B687,'[1]TrialBalance (Quarter)'!$B:$B)</f>
        <v>#VALUE!</v>
      </c>
      <c r="L687" s="5">
        <f>IFERROR(INDEX('[1]TrialBalance (Quarter)'!$A:$L,MATCH([1]TBMapping!$C689,'[1]TrialBalance (Quarter)'!A:A,0),MATCH([1]TBMapping!M$3,'[1]TrialBalance (Quarter)'!$7:$7,0)),0)</f>
        <v>0</v>
      </c>
      <c r="M687" s="5">
        <f>IFERROR(INDEX('[1]TrialBalance (Quarter)'!$A:$L,MATCH([1]TBMapping!$C689,'[1]TrialBalance (Quarter)'!A:A,0),MATCH([1]TBMapping!N$3,'[1]TrialBalance (Quarter)'!$7:$7,0)),0)</f>
        <v>0</v>
      </c>
      <c r="N687" s="5">
        <f>IFERROR(INDEX('[1]TrialBalance (Quarter)'!$A:$L,MATCH([1]TBMapping!$C689,'[1]TrialBalance (Quarter)'!A:A,0),MATCH([1]TBMapping!O$3,'[1]TrialBalance (Quarter)'!$7:$7,0)),0)</f>
        <v>0</v>
      </c>
    </row>
    <row r="688" spans="1:14">
      <c r="A688" s="2">
        <v>3</v>
      </c>
      <c r="B688" s="3">
        <v>224112</v>
      </c>
      <c r="C688" s="11" t="s">
        <v>567</v>
      </c>
      <c r="D688" s="11" t="s">
        <v>11</v>
      </c>
      <c r="E688" s="11"/>
      <c r="F688" s="5" t="e">
        <f>IF(DataExtraction="Manual",SUMIF('[1]TrialBalance (YTD)'!$C:$C,B688,'[1]TrialBalance (YTD)'!$E:$E),SUMIF('[1]TrialBalance (YTD)'!$G:$G,B688,'[1]TrialBalance (YTD)'!$I:$I))</f>
        <v>#VALUE!</v>
      </c>
      <c r="G688" s="5">
        <f>IFERROR(INDEX('[1]TrialBalance (YTD)'!$G:$S,MATCH([1]TBMapping!$C690,'[1]TrialBalance (YTD)'!G:G,0),MATCH([1]TBMapping!H$3,'[1]TrialBalance (YTD)'!$G$7:$Z$7,0)),0)</f>
        <v>0</v>
      </c>
      <c r="H688" s="5" t="e">
        <f>SUMIF('[1]TrialBalance (YTD)'!G:G,B688,'[1]TrialBalance (YTD)'!H:H)</f>
        <v>#VALUE!</v>
      </c>
      <c r="I688" s="5">
        <f>IFERROR(INDEX('[1]TrialBalance (YTD)'!$G:$S,MATCH([1]TBMapping!$C690,'[1]TrialBalance (YTD)'!G:G,0),MATCH([1]TBMapping!J$3,'[1]TrialBalance (YTD)'!$G$7:$Z$7,0)),0)</f>
        <v>0</v>
      </c>
      <c r="K688" s="5" t="e">
        <f>SUMIF('[1]TrialBalance (Quarter)'!$A:$A,B688,'[1]TrialBalance (Quarter)'!$B:$B)</f>
        <v>#VALUE!</v>
      </c>
      <c r="L688" s="5">
        <f>IFERROR(INDEX('[1]TrialBalance (Quarter)'!$A:$L,MATCH([1]TBMapping!$C690,'[1]TrialBalance (Quarter)'!A:A,0),MATCH([1]TBMapping!M$3,'[1]TrialBalance (Quarter)'!$7:$7,0)),0)</f>
        <v>0</v>
      </c>
      <c r="M688" s="5">
        <f>IFERROR(INDEX('[1]TrialBalance (Quarter)'!$A:$L,MATCH([1]TBMapping!$C690,'[1]TrialBalance (Quarter)'!A:A,0),MATCH([1]TBMapping!N$3,'[1]TrialBalance (Quarter)'!$7:$7,0)),0)</f>
        <v>0</v>
      </c>
      <c r="N688" s="5">
        <f>IFERROR(INDEX('[1]TrialBalance (Quarter)'!$A:$L,MATCH([1]TBMapping!$C690,'[1]TrialBalance (Quarter)'!A:A,0),MATCH([1]TBMapping!O$3,'[1]TrialBalance (Quarter)'!$7:$7,0)),0)</f>
        <v>0</v>
      </c>
    </row>
    <row r="689" spans="1:14">
      <c r="A689" s="2">
        <v>3</v>
      </c>
      <c r="B689" s="3">
        <v>224115</v>
      </c>
      <c r="C689" s="10" t="s">
        <v>568</v>
      </c>
      <c r="D689" s="10" t="s">
        <v>11</v>
      </c>
      <c r="E689" s="10"/>
      <c r="F689" s="5" t="e">
        <f>IF(DataExtraction="Manual",SUMIF('[1]TrialBalance (YTD)'!$C:$C,B689,'[1]TrialBalance (YTD)'!$E:$E),SUMIF('[1]TrialBalance (YTD)'!$G:$G,B689,'[1]TrialBalance (YTD)'!$I:$I))</f>
        <v>#VALUE!</v>
      </c>
      <c r="G689" s="5">
        <f>IFERROR(INDEX('[1]TrialBalance (YTD)'!$G:$S,MATCH([1]TBMapping!$C691,'[1]TrialBalance (YTD)'!G:G,0),MATCH([1]TBMapping!H$3,'[1]TrialBalance (YTD)'!$G$7:$Z$7,0)),0)</f>
        <v>0</v>
      </c>
      <c r="H689" s="5" t="e">
        <f>SUMIF('[1]TrialBalance (YTD)'!G:G,B689,'[1]TrialBalance (YTD)'!H:H)</f>
        <v>#VALUE!</v>
      </c>
      <c r="I689" s="5">
        <f>IFERROR(INDEX('[1]TrialBalance (YTD)'!$G:$S,MATCH([1]TBMapping!$C691,'[1]TrialBalance (YTD)'!G:G,0),MATCH([1]TBMapping!J$3,'[1]TrialBalance (YTD)'!$G$7:$Z$7,0)),0)</f>
        <v>0</v>
      </c>
      <c r="K689" s="5" t="e">
        <f>SUMIF('[1]TrialBalance (Quarter)'!$A:$A,B689,'[1]TrialBalance (Quarter)'!$B:$B)</f>
        <v>#VALUE!</v>
      </c>
      <c r="L689" s="5">
        <f>IFERROR(INDEX('[1]TrialBalance (Quarter)'!$A:$L,MATCH([1]TBMapping!$C691,'[1]TrialBalance (Quarter)'!A:A,0),MATCH([1]TBMapping!M$3,'[1]TrialBalance (Quarter)'!$7:$7,0)),0)</f>
        <v>0</v>
      </c>
      <c r="M689" s="5">
        <f>IFERROR(INDEX('[1]TrialBalance (Quarter)'!$A:$L,MATCH([1]TBMapping!$C691,'[1]TrialBalance (Quarter)'!A:A,0),MATCH([1]TBMapping!N$3,'[1]TrialBalance (Quarter)'!$7:$7,0)),0)</f>
        <v>0</v>
      </c>
      <c r="N689" s="5">
        <f>IFERROR(INDEX('[1]TrialBalance (Quarter)'!$A:$L,MATCH([1]TBMapping!$C691,'[1]TrialBalance (Quarter)'!A:A,0),MATCH([1]TBMapping!O$3,'[1]TrialBalance (Quarter)'!$7:$7,0)),0)</f>
        <v>0</v>
      </c>
    </row>
    <row r="690" spans="1:14">
      <c r="A690" s="2">
        <v>3</v>
      </c>
      <c r="B690" s="3">
        <v>224120</v>
      </c>
      <c r="C690" s="11" t="s">
        <v>569</v>
      </c>
      <c r="D690" s="11" t="s">
        <v>11</v>
      </c>
      <c r="E690" s="11"/>
      <c r="F690" s="5" t="e">
        <f>IF(DataExtraction="Manual",SUMIF('[1]TrialBalance (YTD)'!$C:$C,B690,'[1]TrialBalance (YTD)'!$E:$E),SUMIF('[1]TrialBalance (YTD)'!$G:$G,B690,'[1]TrialBalance (YTD)'!$I:$I))</f>
        <v>#VALUE!</v>
      </c>
      <c r="G690" s="5">
        <f>IFERROR(INDEX('[1]TrialBalance (YTD)'!$G:$S,MATCH([1]TBMapping!$C692,'[1]TrialBalance (YTD)'!G:G,0),MATCH([1]TBMapping!H$3,'[1]TrialBalance (YTD)'!$G$7:$Z$7,0)),0)</f>
        <v>0</v>
      </c>
      <c r="H690" s="5" t="e">
        <f>SUMIF('[1]TrialBalance (YTD)'!G:G,B690,'[1]TrialBalance (YTD)'!H:H)</f>
        <v>#VALUE!</v>
      </c>
      <c r="I690" s="5">
        <f>IFERROR(INDEX('[1]TrialBalance (YTD)'!$G:$S,MATCH([1]TBMapping!$C692,'[1]TrialBalance (YTD)'!G:G,0),MATCH([1]TBMapping!J$3,'[1]TrialBalance (YTD)'!$G$7:$Z$7,0)),0)</f>
        <v>0</v>
      </c>
      <c r="K690" s="5" t="e">
        <f>SUMIF('[1]TrialBalance (Quarter)'!$A:$A,B690,'[1]TrialBalance (Quarter)'!$B:$B)</f>
        <v>#VALUE!</v>
      </c>
      <c r="L690" s="5">
        <f>IFERROR(INDEX('[1]TrialBalance (Quarter)'!$A:$L,MATCH([1]TBMapping!$C692,'[1]TrialBalance (Quarter)'!A:A,0),MATCH([1]TBMapping!M$3,'[1]TrialBalance (Quarter)'!$7:$7,0)),0)</f>
        <v>0</v>
      </c>
      <c r="M690" s="5">
        <f>IFERROR(INDEX('[1]TrialBalance (Quarter)'!$A:$L,MATCH([1]TBMapping!$C692,'[1]TrialBalance (Quarter)'!A:A,0),MATCH([1]TBMapping!N$3,'[1]TrialBalance (Quarter)'!$7:$7,0)),0)</f>
        <v>0</v>
      </c>
      <c r="N690" s="5">
        <f>IFERROR(INDEX('[1]TrialBalance (Quarter)'!$A:$L,MATCH([1]TBMapping!$C692,'[1]TrialBalance (Quarter)'!A:A,0),MATCH([1]TBMapping!O$3,'[1]TrialBalance (Quarter)'!$7:$7,0)),0)</f>
        <v>0</v>
      </c>
    </row>
    <row r="691" spans="1:14">
      <c r="A691" s="2">
        <v>3</v>
      </c>
      <c r="B691" s="3">
        <v>224130</v>
      </c>
      <c r="C691" s="10" t="s">
        <v>510</v>
      </c>
      <c r="D691" s="10" t="s">
        <v>11</v>
      </c>
      <c r="E691" s="10"/>
      <c r="F691" s="5" t="e">
        <f>IF(DataExtraction="Manual",SUMIF('[1]TrialBalance (YTD)'!$C:$C,B691,'[1]TrialBalance (YTD)'!$E:$E),SUMIF('[1]TrialBalance (YTD)'!$G:$G,B691,'[1]TrialBalance (YTD)'!$I:$I))</f>
        <v>#VALUE!</v>
      </c>
      <c r="G691" s="5">
        <f>IFERROR(INDEX('[1]TrialBalance (YTD)'!$G:$S,MATCH([1]TBMapping!$C693,'[1]TrialBalance (YTD)'!G:G,0),MATCH([1]TBMapping!H$3,'[1]TrialBalance (YTD)'!$G$7:$Z$7,0)),0)</f>
        <v>0</v>
      </c>
      <c r="H691" s="5" t="e">
        <f>SUMIF('[1]TrialBalance (YTD)'!G:G,B691,'[1]TrialBalance (YTD)'!H:H)</f>
        <v>#VALUE!</v>
      </c>
      <c r="I691" s="5">
        <f>IFERROR(INDEX('[1]TrialBalance (YTD)'!$G:$S,MATCH([1]TBMapping!$C693,'[1]TrialBalance (YTD)'!G:G,0),MATCH([1]TBMapping!J$3,'[1]TrialBalance (YTD)'!$G$7:$Z$7,0)),0)</f>
        <v>0</v>
      </c>
      <c r="K691" s="5" t="e">
        <f>SUMIF('[1]TrialBalance (Quarter)'!$A:$A,B691,'[1]TrialBalance (Quarter)'!$B:$B)</f>
        <v>#VALUE!</v>
      </c>
      <c r="L691" s="5">
        <f>IFERROR(INDEX('[1]TrialBalance (Quarter)'!$A:$L,MATCH([1]TBMapping!$C693,'[1]TrialBalance (Quarter)'!A:A,0),MATCH([1]TBMapping!M$3,'[1]TrialBalance (Quarter)'!$7:$7,0)),0)</f>
        <v>0</v>
      </c>
      <c r="M691" s="5">
        <f>IFERROR(INDEX('[1]TrialBalance (Quarter)'!$A:$L,MATCH([1]TBMapping!$C693,'[1]TrialBalance (Quarter)'!A:A,0),MATCH([1]TBMapping!N$3,'[1]TrialBalance (Quarter)'!$7:$7,0)),0)</f>
        <v>0</v>
      </c>
      <c r="N691" s="5">
        <f>IFERROR(INDEX('[1]TrialBalance (Quarter)'!$A:$L,MATCH([1]TBMapping!$C693,'[1]TrialBalance (Quarter)'!A:A,0),MATCH([1]TBMapping!O$3,'[1]TrialBalance (Quarter)'!$7:$7,0)),0)</f>
        <v>0</v>
      </c>
    </row>
    <row r="692" spans="1:14">
      <c r="A692" s="2">
        <v>3</v>
      </c>
      <c r="B692" s="3">
        <v>224135</v>
      </c>
      <c r="C692" s="11" t="s">
        <v>570</v>
      </c>
      <c r="D692" s="11" t="s">
        <v>11</v>
      </c>
      <c r="E692" s="11"/>
      <c r="F692" s="5" t="e">
        <f>IF(DataExtraction="Manual",SUMIF('[1]TrialBalance (YTD)'!$C:$C,B692,'[1]TrialBalance (YTD)'!$E:$E),SUMIF('[1]TrialBalance (YTD)'!$G:$G,B692,'[1]TrialBalance (YTD)'!$I:$I))</f>
        <v>#VALUE!</v>
      </c>
      <c r="G692" s="5">
        <f>IFERROR(INDEX('[1]TrialBalance (YTD)'!$G:$S,MATCH([1]TBMapping!$C694,'[1]TrialBalance (YTD)'!G:G,0),MATCH([1]TBMapping!H$3,'[1]TrialBalance (YTD)'!$G$7:$Z$7,0)),0)</f>
        <v>0</v>
      </c>
      <c r="H692" s="5" t="e">
        <f>SUMIF('[1]TrialBalance (YTD)'!G:G,B692,'[1]TrialBalance (YTD)'!H:H)</f>
        <v>#VALUE!</v>
      </c>
      <c r="I692" s="5">
        <f>IFERROR(INDEX('[1]TrialBalance (YTD)'!$G:$S,MATCH([1]TBMapping!$C694,'[1]TrialBalance (YTD)'!G:G,0),MATCH([1]TBMapping!J$3,'[1]TrialBalance (YTD)'!$G$7:$Z$7,0)),0)</f>
        <v>0</v>
      </c>
      <c r="K692" s="5" t="e">
        <f>SUMIF('[1]TrialBalance (Quarter)'!$A:$A,B692,'[1]TrialBalance (Quarter)'!$B:$B)</f>
        <v>#VALUE!</v>
      </c>
      <c r="L692" s="5">
        <f>IFERROR(INDEX('[1]TrialBalance (Quarter)'!$A:$L,MATCH([1]TBMapping!$C694,'[1]TrialBalance (Quarter)'!A:A,0),MATCH([1]TBMapping!M$3,'[1]TrialBalance (Quarter)'!$7:$7,0)),0)</f>
        <v>0</v>
      </c>
      <c r="M692" s="5">
        <f>IFERROR(INDEX('[1]TrialBalance (Quarter)'!$A:$L,MATCH([1]TBMapping!$C694,'[1]TrialBalance (Quarter)'!A:A,0),MATCH([1]TBMapping!N$3,'[1]TrialBalance (Quarter)'!$7:$7,0)),0)</f>
        <v>0</v>
      </c>
      <c r="N692" s="5">
        <f>IFERROR(INDEX('[1]TrialBalance (Quarter)'!$A:$L,MATCH([1]TBMapping!$C694,'[1]TrialBalance (Quarter)'!A:A,0),MATCH([1]TBMapping!O$3,'[1]TrialBalance (Quarter)'!$7:$7,0)),0)</f>
        <v>0</v>
      </c>
    </row>
    <row r="693" spans="1:14">
      <c r="A693" s="2">
        <v>3</v>
      </c>
      <c r="B693" s="3">
        <v>224210</v>
      </c>
      <c r="C693" s="10" t="s">
        <v>571</v>
      </c>
      <c r="D693" s="10" t="s">
        <v>11</v>
      </c>
      <c r="E693" s="10"/>
      <c r="F693" s="5" t="e">
        <f>IF(DataExtraction="Manual",SUMIF('[1]TrialBalance (YTD)'!$C:$C,B693,'[1]TrialBalance (YTD)'!$E:$E),SUMIF('[1]TrialBalance (YTD)'!$G:$G,B693,'[1]TrialBalance (YTD)'!$I:$I))</f>
        <v>#VALUE!</v>
      </c>
      <c r="G693" s="5">
        <f>IFERROR(INDEX('[1]TrialBalance (YTD)'!$G:$S,MATCH([1]TBMapping!$C695,'[1]TrialBalance (YTD)'!G:G,0),MATCH([1]TBMapping!H$3,'[1]TrialBalance (YTD)'!$G$7:$Z$7,0)),0)</f>
        <v>0</v>
      </c>
      <c r="H693" s="5" t="e">
        <f>SUMIF('[1]TrialBalance (YTD)'!G:G,B693,'[1]TrialBalance (YTD)'!H:H)</f>
        <v>#VALUE!</v>
      </c>
      <c r="I693" s="5">
        <f>IFERROR(INDEX('[1]TrialBalance (YTD)'!$G:$S,MATCH([1]TBMapping!$C695,'[1]TrialBalance (YTD)'!G:G,0),MATCH([1]TBMapping!J$3,'[1]TrialBalance (YTD)'!$G$7:$Z$7,0)),0)</f>
        <v>0</v>
      </c>
      <c r="K693" s="5" t="e">
        <f>SUMIF('[1]TrialBalance (Quarter)'!$A:$A,B693,'[1]TrialBalance (Quarter)'!$B:$B)</f>
        <v>#VALUE!</v>
      </c>
      <c r="L693" s="5">
        <f>IFERROR(INDEX('[1]TrialBalance (Quarter)'!$A:$L,MATCH([1]TBMapping!$C695,'[1]TrialBalance (Quarter)'!A:A,0),MATCH([1]TBMapping!M$3,'[1]TrialBalance (Quarter)'!$7:$7,0)),0)</f>
        <v>0</v>
      </c>
      <c r="M693" s="5">
        <f>IFERROR(INDEX('[1]TrialBalance (Quarter)'!$A:$L,MATCH([1]TBMapping!$C695,'[1]TrialBalance (Quarter)'!A:A,0),MATCH([1]TBMapping!N$3,'[1]TrialBalance (Quarter)'!$7:$7,0)),0)</f>
        <v>0</v>
      </c>
      <c r="N693" s="5">
        <f>IFERROR(INDEX('[1]TrialBalance (Quarter)'!$A:$L,MATCH([1]TBMapping!$C695,'[1]TrialBalance (Quarter)'!A:A,0),MATCH([1]TBMapping!O$3,'[1]TrialBalance (Quarter)'!$7:$7,0)),0)</f>
        <v>0</v>
      </c>
    </row>
    <row r="694" spans="1:14">
      <c r="A694" s="2">
        <v>3</v>
      </c>
      <c r="B694" s="3">
        <v>224220</v>
      </c>
      <c r="C694" s="11" t="s">
        <v>572</v>
      </c>
      <c r="D694" s="11" t="s">
        <v>11</v>
      </c>
      <c r="E694" s="11"/>
      <c r="F694" s="5" t="e">
        <f>IF(DataExtraction="Manual",SUMIF('[1]TrialBalance (YTD)'!$C:$C,B694,'[1]TrialBalance (YTD)'!$E:$E),SUMIF('[1]TrialBalance (YTD)'!$G:$G,B694,'[1]TrialBalance (YTD)'!$I:$I))</f>
        <v>#VALUE!</v>
      </c>
      <c r="G694" s="5">
        <f>IFERROR(INDEX('[1]TrialBalance (YTD)'!$G:$S,MATCH([1]TBMapping!$C696,'[1]TrialBalance (YTD)'!G:G,0),MATCH([1]TBMapping!H$3,'[1]TrialBalance (YTD)'!$G$7:$Z$7,0)),0)</f>
        <v>0</v>
      </c>
      <c r="H694" s="5" t="e">
        <f>SUMIF('[1]TrialBalance (YTD)'!G:G,B694,'[1]TrialBalance (YTD)'!H:H)</f>
        <v>#VALUE!</v>
      </c>
      <c r="I694" s="5">
        <f>IFERROR(INDEX('[1]TrialBalance (YTD)'!$G:$S,MATCH([1]TBMapping!$C696,'[1]TrialBalance (YTD)'!G:G,0),MATCH([1]TBMapping!J$3,'[1]TrialBalance (YTD)'!$G$7:$Z$7,0)),0)</f>
        <v>0</v>
      </c>
      <c r="K694" s="5" t="e">
        <f>SUMIF('[1]TrialBalance (Quarter)'!$A:$A,B694,'[1]TrialBalance (Quarter)'!$B:$B)</f>
        <v>#VALUE!</v>
      </c>
      <c r="L694" s="5">
        <f>IFERROR(INDEX('[1]TrialBalance (Quarter)'!$A:$L,MATCH([1]TBMapping!$C696,'[1]TrialBalance (Quarter)'!A:A,0),MATCH([1]TBMapping!M$3,'[1]TrialBalance (Quarter)'!$7:$7,0)),0)</f>
        <v>0</v>
      </c>
      <c r="M694" s="5">
        <f>IFERROR(INDEX('[1]TrialBalance (Quarter)'!$A:$L,MATCH([1]TBMapping!$C696,'[1]TrialBalance (Quarter)'!A:A,0),MATCH([1]TBMapping!N$3,'[1]TrialBalance (Quarter)'!$7:$7,0)),0)</f>
        <v>0</v>
      </c>
      <c r="N694" s="5">
        <f>IFERROR(INDEX('[1]TrialBalance (Quarter)'!$A:$L,MATCH([1]TBMapping!$C696,'[1]TrialBalance (Quarter)'!A:A,0),MATCH([1]TBMapping!O$3,'[1]TrialBalance (Quarter)'!$7:$7,0)),0)</f>
        <v>0</v>
      </c>
    </row>
    <row r="695" spans="1:14">
      <c r="A695" s="2">
        <v>3</v>
      </c>
      <c r="B695" s="3">
        <v>224310</v>
      </c>
      <c r="C695" s="10" t="s">
        <v>573</v>
      </c>
      <c r="D695" s="10" t="s">
        <v>11</v>
      </c>
      <c r="E695" s="10"/>
      <c r="F695" s="5" t="e">
        <f>IF(DataExtraction="Manual",SUMIF('[1]TrialBalance (YTD)'!$C:$C,B695,'[1]TrialBalance (YTD)'!$E:$E),SUMIF('[1]TrialBalance (YTD)'!$G:$G,B695,'[1]TrialBalance (YTD)'!$I:$I))</f>
        <v>#VALUE!</v>
      </c>
      <c r="G695" s="5">
        <f>IFERROR(INDEX('[1]TrialBalance (YTD)'!$G:$S,MATCH([1]TBMapping!$C697,'[1]TrialBalance (YTD)'!G:G,0),MATCH([1]TBMapping!H$3,'[1]TrialBalance (YTD)'!$G$7:$Z$7,0)),0)</f>
        <v>0</v>
      </c>
      <c r="H695" s="5" t="e">
        <f>SUMIF('[1]TrialBalance (YTD)'!G:G,B695,'[1]TrialBalance (YTD)'!H:H)</f>
        <v>#VALUE!</v>
      </c>
      <c r="I695" s="5">
        <f>IFERROR(INDEX('[1]TrialBalance (YTD)'!$G:$S,MATCH([1]TBMapping!$C697,'[1]TrialBalance (YTD)'!G:G,0),MATCH([1]TBMapping!J$3,'[1]TrialBalance (YTD)'!$G$7:$Z$7,0)),0)</f>
        <v>0</v>
      </c>
      <c r="K695" s="5" t="e">
        <f>SUMIF('[1]TrialBalance (Quarter)'!$A:$A,B695,'[1]TrialBalance (Quarter)'!$B:$B)</f>
        <v>#VALUE!</v>
      </c>
      <c r="L695" s="5">
        <f>IFERROR(INDEX('[1]TrialBalance (Quarter)'!$A:$L,MATCH([1]TBMapping!$C697,'[1]TrialBalance (Quarter)'!A:A,0),MATCH([1]TBMapping!M$3,'[1]TrialBalance (Quarter)'!$7:$7,0)),0)</f>
        <v>0</v>
      </c>
      <c r="M695" s="5">
        <f>IFERROR(INDEX('[1]TrialBalance (Quarter)'!$A:$L,MATCH([1]TBMapping!$C697,'[1]TrialBalance (Quarter)'!A:A,0),MATCH([1]TBMapping!N$3,'[1]TrialBalance (Quarter)'!$7:$7,0)),0)</f>
        <v>0</v>
      </c>
      <c r="N695" s="5">
        <f>IFERROR(INDEX('[1]TrialBalance (Quarter)'!$A:$L,MATCH([1]TBMapping!$C697,'[1]TrialBalance (Quarter)'!A:A,0),MATCH([1]TBMapping!O$3,'[1]TrialBalance (Quarter)'!$7:$7,0)),0)</f>
        <v>0</v>
      </c>
    </row>
    <row r="696" spans="1:14">
      <c r="A696" s="2">
        <v>3</v>
      </c>
      <c r="B696" s="3">
        <v>224315</v>
      </c>
      <c r="C696" s="11" t="s">
        <v>568</v>
      </c>
      <c r="D696" s="11" t="s">
        <v>11</v>
      </c>
      <c r="E696" s="11"/>
      <c r="F696" s="5" t="e">
        <f>IF(DataExtraction="Manual",SUMIF('[1]TrialBalance (YTD)'!$C:$C,B696,'[1]TrialBalance (YTD)'!$E:$E),SUMIF('[1]TrialBalance (YTD)'!$G:$G,B696,'[1]TrialBalance (YTD)'!$I:$I))</f>
        <v>#VALUE!</v>
      </c>
      <c r="G696" s="5">
        <f>IFERROR(INDEX('[1]TrialBalance (YTD)'!$G:$S,MATCH([1]TBMapping!$C698,'[1]TrialBalance (YTD)'!G:G,0),MATCH([1]TBMapping!H$3,'[1]TrialBalance (YTD)'!$G$7:$Z$7,0)),0)</f>
        <v>0</v>
      </c>
      <c r="H696" s="5" t="e">
        <f>SUMIF('[1]TrialBalance (YTD)'!G:G,B696,'[1]TrialBalance (YTD)'!H:H)</f>
        <v>#VALUE!</v>
      </c>
      <c r="I696" s="5">
        <f>IFERROR(INDEX('[1]TrialBalance (YTD)'!$G:$S,MATCH([1]TBMapping!$C698,'[1]TrialBalance (YTD)'!G:G,0),MATCH([1]TBMapping!J$3,'[1]TrialBalance (YTD)'!$G$7:$Z$7,0)),0)</f>
        <v>0</v>
      </c>
      <c r="K696" s="5" t="e">
        <f>SUMIF('[1]TrialBalance (Quarter)'!$A:$A,B696,'[1]TrialBalance (Quarter)'!$B:$B)</f>
        <v>#VALUE!</v>
      </c>
      <c r="L696" s="5">
        <f>IFERROR(INDEX('[1]TrialBalance (Quarter)'!$A:$L,MATCH([1]TBMapping!$C698,'[1]TrialBalance (Quarter)'!A:A,0),MATCH([1]TBMapping!M$3,'[1]TrialBalance (Quarter)'!$7:$7,0)),0)</f>
        <v>0</v>
      </c>
      <c r="M696" s="5">
        <f>IFERROR(INDEX('[1]TrialBalance (Quarter)'!$A:$L,MATCH([1]TBMapping!$C698,'[1]TrialBalance (Quarter)'!A:A,0),MATCH([1]TBMapping!N$3,'[1]TrialBalance (Quarter)'!$7:$7,0)),0)</f>
        <v>0</v>
      </c>
      <c r="N696" s="5">
        <f>IFERROR(INDEX('[1]TrialBalance (Quarter)'!$A:$L,MATCH([1]TBMapping!$C698,'[1]TrialBalance (Quarter)'!A:A,0),MATCH([1]TBMapping!O$3,'[1]TrialBalance (Quarter)'!$7:$7,0)),0)</f>
        <v>0</v>
      </c>
    </row>
    <row r="697" spans="1:14">
      <c r="A697" s="2">
        <v>3</v>
      </c>
      <c r="B697" s="3">
        <v>224320</v>
      </c>
      <c r="C697" s="10" t="s">
        <v>574</v>
      </c>
      <c r="D697" s="10" t="s">
        <v>11</v>
      </c>
      <c r="E697" s="10"/>
      <c r="F697" s="5" t="e">
        <f>IF(DataExtraction="Manual",SUMIF('[1]TrialBalance (YTD)'!$C:$C,B697,'[1]TrialBalance (YTD)'!$E:$E),SUMIF('[1]TrialBalance (YTD)'!$G:$G,B697,'[1]TrialBalance (YTD)'!$I:$I))</f>
        <v>#VALUE!</v>
      </c>
      <c r="G697" s="5">
        <f>IFERROR(INDEX('[1]TrialBalance (YTD)'!$G:$S,MATCH([1]TBMapping!$C699,'[1]TrialBalance (YTD)'!G:G,0),MATCH([1]TBMapping!H$3,'[1]TrialBalance (YTD)'!$G$7:$Z$7,0)),0)</f>
        <v>0</v>
      </c>
      <c r="H697" s="5" t="e">
        <f>SUMIF('[1]TrialBalance (YTD)'!G:G,B697,'[1]TrialBalance (YTD)'!H:H)</f>
        <v>#VALUE!</v>
      </c>
      <c r="I697" s="5">
        <f>IFERROR(INDEX('[1]TrialBalance (YTD)'!$G:$S,MATCH([1]TBMapping!$C699,'[1]TrialBalance (YTD)'!G:G,0),MATCH([1]TBMapping!J$3,'[1]TrialBalance (YTD)'!$G$7:$Z$7,0)),0)</f>
        <v>0</v>
      </c>
      <c r="K697" s="5" t="e">
        <f>SUMIF('[1]TrialBalance (Quarter)'!$A:$A,B697,'[1]TrialBalance (Quarter)'!$B:$B)</f>
        <v>#VALUE!</v>
      </c>
      <c r="L697" s="5">
        <f>IFERROR(INDEX('[1]TrialBalance (Quarter)'!$A:$L,MATCH([1]TBMapping!$C699,'[1]TrialBalance (Quarter)'!A:A,0),MATCH([1]TBMapping!M$3,'[1]TrialBalance (Quarter)'!$7:$7,0)),0)</f>
        <v>0</v>
      </c>
      <c r="M697" s="5">
        <f>IFERROR(INDEX('[1]TrialBalance (Quarter)'!$A:$L,MATCH([1]TBMapping!$C699,'[1]TrialBalance (Quarter)'!A:A,0),MATCH([1]TBMapping!N$3,'[1]TrialBalance (Quarter)'!$7:$7,0)),0)</f>
        <v>0</v>
      </c>
      <c r="N697" s="5">
        <f>IFERROR(INDEX('[1]TrialBalance (Quarter)'!$A:$L,MATCH([1]TBMapping!$C699,'[1]TrialBalance (Quarter)'!A:A,0),MATCH([1]TBMapping!O$3,'[1]TrialBalance (Quarter)'!$7:$7,0)),0)</f>
        <v>0</v>
      </c>
    </row>
    <row r="698" spans="1:14">
      <c r="A698" s="2">
        <v>3</v>
      </c>
      <c r="B698" s="3">
        <v>224330</v>
      </c>
      <c r="C698" s="11" t="s">
        <v>570</v>
      </c>
      <c r="D698" s="11" t="s">
        <v>11</v>
      </c>
      <c r="E698" s="11"/>
      <c r="F698" s="5" t="e">
        <f>IF(DataExtraction="Manual",SUMIF('[1]TrialBalance (YTD)'!$C:$C,B698,'[1]TrialBalance (YTD)'!$E:$E),SUMIF('[1]TrialBalance (YTD)'!$G:$G,B698,'[1]TrialBalance (YTD)'!$I:$I))</f>
        <v>#VALUE!</v>
      </c>
      <c r="G698" s="5">
        <f>IFERROR(INDEX('[1]TrialBalance (YTD)'!$G:$S,MATCH([1]TBMapping!$C700,'[1]TrialBalance (YTD)'!G:G,0),MATCH([1]TBMapping!H$3,'[1]TrialBalance (YTD)'!$G$7:$Z$7,0)),0)</f>
        <v>0</v>
      </c>
      <c r="H698" s="5" t="e">
        <f>SUMIF('[1]TrialBalance (YTD)'!G:G,B698,'[1]TrialBalance (YTD)'!H:H)</f>
        <v>#VALUE!</v>
      </c>
      <c r="I698" s="5">
        <f>IFERROR(INDEX('[1]TrialBalance (YTD)'!$G:$S,MATCH([1]TBMapping!$C700,'[1]TrialBalance (YTD)'!G:G,0),MATCH([1]TBMapping!J$3,'[1]TrialBalance (YTD)'!$G$7:$Z$7,0)),0)</f>
        <v>0</v>
      </c>
      <c r="K698" s="5" t="e">
        <f>SUMIF('[1]TrialBalance (Quarter)'!$A:$A,B698,'[1]TrialBalance (Quarter)'!$B:$B)</f>
        <v>#VALUE!</v>
      </c>
      <c r="L698" s="5">
        <f>IFERROR(INDEX('[1]TrialBalance (Quarter)'!$A:$L,MATCH([1]TBMapping!$C700,'[1]TrialBalance (Quarter)'!A:A,0),MATCH([1]TBMapping!M$3,'[1]TrialBalance (Quarter)'!$7:$7,0)),0)</f>
        <v>0</v>
      </c>
      <c r="M698" s="5">
        <f>IFERROR(INDEX('[1]TrialBalance (Quarter)'!$A:$L,MATCH([1]TBMapping!$C700,'[1]TrialBalance (Quarter)'!A:A,0),MATCH([1]TBMapping!N$3,'[1]TrialBalance (Quarter)'!$7:$7,0)),0)</f>
        <v>0</v>
      </c>
      <c r="N698" s="5">
        <f>IFERROR(INDEX('[1]TrialBalance (Quarter)'!$A:$L,MATCH([1]TBMapping!$C700,'[1]TrialBalance (Quarter)'!A:A,0),MATCH([1]TBMapping!O$3,'[1]TrialBalance (Quarter)'!$7:$7,0)),0)</f>
        <v>0</v>
      </c>
    </row>
    <row r="699" spans="1:14">
      <c r="A699" s="2">
        <v>3</v>
      </c>
      <c r="B699" s="3">
        <v>224410</v>
      </c>
      <c r="C699" s="10" t="s">
        <v>575</v>
      </c>
      <c r="D699" s="10" t="s">
        <v>11</v>
      </c>
      <c r="E699" s="10"/>
      <c r="F699" s="5" t="e">
        <f>IF(DataExtraction="Manual",SUMIF('[1]TrialBalance (YTD)'!$C:$C,B699,'[1]TrialBalance (YTD)'!$E:$E),SUMIF('[1]TrialBalance (YTD)'!$G:$G,B699,'[1]TrialBalance (YTD)'!$I:$I))</f>
        <v>#VALUE!</v>
      </c>
      <c r="G699" s="5">
        <f>IFERROR(INDEX('[1]TrialBalance (YTD)'!$G:$S,MATCH([1]TBMapping!$C701,'[1]TrialBalance (YTD)'!G:G,0),MATCH([1]TBMapping!H$3,'[1]TrialBalance (YTD)'!$G$7:$Z$7,0)),0)</f>
        <v>0</v>
      </c>
      <c r="H699" s="5" t="e">
        <f>SUMIF('[1]TrialBalance (YTD)'!G:G,B699,'[1]TrialBalance (YTD)'!H:H)</f>
        <v>#VALUE!</v>
      </c>
      <c r="I699" s="5">
        <f>IFERROR(INDEX('[1]TrialBalance (YTD)'!$G:$S,MATCH([1]TBMapping!$C701,'[1]TrialBalance (YTD)'!G:G,0),MATCH([1]TBMapping!J$3,'[1]TrialBalance (YTD)'!$G$7:$Z$7,0)),0)</f>
        <v>0</v>
      </c>
      <c r="K699" s="5" t="e">
        <f>SUMIF('[1]TrialBalance (Quarter)'!$A:$A,B699,'[1]TrialBalance (Quarter)'!$B:$B)</f>
        <v>#VALUE!</v>
      </c>
      <c r="L699" s="5">
        <f>IFERROR(INDEX('[1]TrialBalance (Quarter)'!$A:$L,MATCH([1]TBMapping!$C701,'[1]TrialBalance (Quarter)'!A:A,0),MATCH([1]TBMapping!M$3,'[1]TrialBalance (Quarter)'!$7:$7,0)),0)</f>
        <v>0</v>
      </c>
      <c r="M699" s="5">
        <f>IFERROR(INDEX('[1]TrialBalance (Quarter)'!$A:$L,MATCH([1]TBMapping!$C701,'[1]TrialBalance (Quarter)'!A:A,0),MATCH([1]TBMapping!N$3,'[1]TrialBalance (Quarter)'!$7:$7,0)),0)</f>
        <v>0</v>
      </c>
      <c r="N699" s="5">
        <f>IFERROR(INDEX('[1]TrialBalance (Quarter)'!$A:$L,MATCH([1]TBMapping!$C701,'[1]TrialBalance (Quarter)'!A:A,0),MATCH([1]TBMapping!O$3,'[1]TrialBalance (Quarter)'!$7:$7,0)),0)</f>
        <v>0</v>
      </c>
    </row>
    <row r="700" spans="1:14">
      <c r="A700" s="2">
        <v>3</v>
      </c>
      <c r="B700" s="3">
        <v>224420</v>
      </c>
      <c r="C700" s="11" t="s">
        <v>576</v>
      </c>
      <c r="D700" s="11" t="s">
        <v>11</v>
      </c>
      <c r="E700" s="11"/>
      <c r="F700" s="5" t="e">
        <f>IF(DataExtraction="Manual",SUMIF('[1]TrialBalance (YTD)'!$C:$C,B700,'[1]TrialBalance (YTD)'!$E:$E),SUMIF('[1]TrialBalance (YTD)'!$G:$G,B700,'[1]TrialBalance (YTD)'!$I:$I))</f>
        <v>#VALUE!</v>
      </c>
      <c r="G700" s="5">
        <f>IFERROR(INDEX('[1]TrialBalance (YTD)'!$G:$S,MATCH([1]TBMapping!$C702,'[1]TrialBalance (YTD)'!G:G,0),MATCH([1]TBMapping!H$3,'[1]TrialBalance (YTD)'!$G$7:$Z$7,0)),0)</f>
        <v>0</v>
      </c>
      <c r="H700" s="5" t="e">
        <f>SUMIF('[1]TrialBalance (YTD)'!G:G,B700,'[1]TrialBalance (YTD)'!H:H)</f>
        <v>#VALUE!</v>
      </c>
      <c r="I700" s="5">
        <f>IFERROR(INDEX('[1]TrialBalance (YTD)'!$G:$S,MATCH([1]TBMapping!$C702,'[1]TrialBalance (YTD)'!G:G,0),MATCH([1]TBMapping!J$3,'[1]TrialBalance (YTD)'!$G$7:$Z$7,0)),0)</f>
        <v>0</v>
      </c>
      <c r="K700" s="5" t="e">
        <f>SUMIF('[1]TrialBalance (Quarter)'!$A:$A,B700,'[1]TrialBalance (Quarter)'!$B:$B)</f>
        <v>#VALUE!</v>
      </c>
      <c r="L700" s="5">
        <f>IFERROR(INDEX('[1]TrialBalance (Quarter)'!$A:$L,MATCH([1]TBMapping!$C702,'[1]TrialBalance (Quarter)'!A:A,0),MATCH([1]TBMapping!M$3,'[1]TrialBalance (Quarter)'!$7:$7,0)),0)</f>
        <v>0</v>
      </c>
      <c r="M700" s="5">
        <f>IFERROR(INDEX('[1]TrialBalance (Quarter)'!$A:$L,MATCH([1]TBMapping!$C702,'[1]TrialBalance (Quarter)'!A:A,0),MATCH([1]TBMapping!N$3,'[1]TrialBalance (Quarter)'!$7:$7,0)),0)</f>
        <v>0</v>
      </c>
      <c r="N700" s="5">
        <f>IFERROR(INDEX('[1]TrialBalance (Quarter)'!$A:$L,MATCH([1]TBMapping!$C702,'[1]TrialBalance (Quarter)'!A:A,0),MATCH([1]TBMapping!O$3,'[1]TrialBalance (Quarter)'!$7:$7,0)),0)</f>
        <v>0</v>
      </c>
    </row>
    <row r="701" spans="1:14">
      <c r="B701" s="3">
        <v>224999</v>
      </c>
      <c r="C701" s="10" t="s">
        <v>577</v>
      </c>
      <c r="D701" s="10" t="s">
        <v>16</v>
      </c>
      <c r="E701" s="10"/>
      <c r="F701" s="5" t="e">
        <f>IF(DataExtraction="Manual",SUMIF('[1]TrialBalance (YTD)'!$C:$C,B701,'[1]TrialBalance (YTD)'!$E:$E),SUMIF('[1]TrialBalance (YTD)'!$G:$G,B701,'[1]TrialBalance (YTD)'!$I:$I))</f>
        <v>#VALUE!</v>
      </c>
      <c r="G701" s="5">
        <f>IFERROR(INDEX('[1]TrialBalance (YTD)'!$G:$S,MATCH([1]TBMapping!$C703,'[1]TrialBalance (YTD)'!G:G,0),MATCH([1]TBMapping!H$3,'[1]TrialBalance (YTD)'!$G$7:$Z$7,0)),0)</f>
        <v>0</v>
      </c>
      <c r="H701" s="5" t="e">
        <f>SUMIF('[1]TrialBalance (YTD)'!G:G,B701,'[1]TrialBalance (YTD)'!H:H)</f>
        <v>#VALUE!</v>
      </c>
      <c r="I701" s="5">
        <f>IFERROR(INDEX('[1]TrialBalance (YTD)'!$G:$S,MATCH([1]TBMapping!$C703,'[1]TrialBalance (YTD)'!G:G,0),MATCH([1]TBMapping!J$3,'[1]TrialBalance (YTD)'!$G$7:$Z$7,0)),0)</f>
        <v>0</v>
      </c>
      <c r="K701" s="5" t="e">
        <f>SUMIF('[1]TrialBalance (Quarter)'!$A:$A,B701,'[1]TrialBalance (Quarter)'!$B:$B)</f>
        <v>#VALUE!</v>
      </c>
      <c r="L701" s="5">
        <f>IFERROR(INDEX('[1]TrialBalance (Quarter)'!$A:$L,MATCH([1]TBMapping!$C703,'[1]TrialBalance (Quarter)'!A:A,0),MATCH([1]TBMapping!M$3,'[1]TrialBalance (Quarter)'!$7:$7,0)),0)</f>
        <v>0</v>
      </c>
      <c r="M701" s="5">
        <f>IFERROR(INDEX('[1]TrialBalance (Quarter)'!$A:$L,MATCH([1]TBMapping!$C703,'[1]TrialBalance (Quarter)'!A:A,0),MATCH([1]TBMapping!N$3,'[1]TrialBalance (Quarter)'!$7:$7,0)),0)</f>
        <v>0</v>
      </c>
      <c r="N701" s="5">
        <f>IFERROR(INDEX('[1]TrialBalance (Quarter)'!$A:$L,MATCH([1]TBMapping!$C703,'[1]TrialBalance (Quarter)'!A:A,0),MATCH([1]TBMapping!O$3,'[1]TrialBalance (Quarter)'!$7:$7,0)),0)</f>
        <v>0</v>
      </c>
    </row>
    <row r="702" spans="1:14">
      <c r="B702" s="3">
        <v>225000</v>
      </c>
      <c r="C702" s="11" t="s">
        <v>578</v>
      </c>
      <c r="D702" s="11" t="s">
        <v>5</v>
      </c>
      <c r="E702" s="11"/>
      <c r="F702" s="5" t="e">
        <f>IF(DataExtraction="Manual",SUMIF('[1]TrialBalance (YTD)'!$C:$C,B702,'[1]TrialBalance (YTD)'!$E:$E),SUMIF('[1]TrialBalance (YTD)'!$G:$G,B702,'[1]TrialBalance (YTD)'!$I:$I))</f>
        <v>#VALUE!</v>
      </c>
      <c r="G702" s="5">
        <f>IFERROR(INDEX('[1]TrialBalance (YTD)'!$G:$S,MATCH([1]TBMapping!$C704,'[1]TrialBalance (YTD)'!G:G,0),MATCH([1]TBMapping!H$3,'[1]TrialBalance (YTD)'!$G$7:$Z$7,0)),0)</f>
        <v>0</v>
      </c>
      <c r="H702" s="5" t="e">
        <f>SUMIF('[1]TrialBalance (YTD)'!G:G,B702,'[1]TrialBalance (YTD)'!H:H)</f>
        <v>#VALUE!</v>
      </c>
      <c r="I702" s="5">
        <f>IFERROR(INDEX('[1]TrialBalance (YTD)'!$G:$S,MATCH([1]TBMapping!$C704,'[1]TrialBalance (YTD)'!G:G,0),MATCH([1]TBMapping!J$3,'[1]TrialBalance (YTD)'!$G$7:$Z$7,0)),0)</f>
        <v>0</v>
      </c>
      <c r="K702" s="5" t="e">
        <f>SUMIF('[1]TrialBalance (Quarter)'!$A:$A,B702,'[1]TrialBalance (Quarter)'!$B:$B)</f>
        <v>#VALUE!</v>
      </c>
      <c r="L702" s="5">
        <f>IFERROR(INDEX('[1]TrialBalance (Quarter)'!$A:$L,MATCH([1]TBMapping!$C704,'[1]TrialBalance (Quarter)'!A:A,0),MATCH([1]TBMapping!M$3,'[1]TrialBalance (Quarter)'!$7:$7,0)),0)</f>
        <v>0</v>
      </c>
      <c r="M702" s="5">
        <f>IFERROR(INDEX('[1]TrialBalance (Quarter)'!$A:$L,MATCH([1]TBMapping!$C704,'[1]TrialBalance (Quarter)'!A:A,0),MATCH([1]TBMapping!N$3,'[1]TrialBalance (Quarter)'!$7:$7,0)),0)</f>
        <v>0</v>
      </c>
      <c r="N702" s="5">
        <f>IFERROR(INDEX('[1]TrialBalance (Quarter)'!$A:$L,MATCH([1]TBMapping!$C704,'[1]TrialBalance (Quarter)'!A:A,0),MATCH([1]TBMapping!O$3,'[1]TrialBalance (Quarter)'!$7:$7,0)),0)</f>
        <v>0</v>
      </c>
    </row>
    <row r="703" spans="1:14">
      <c r="A703" s="2">
        <v>2</v>
      </c>
      <c r="B703" s="3">
        <v>225110</v>
      </c>
      <c r="C703" s="10" t="s">
        <v>507</v>
      </c>
      <c r="D703" s="10" t="s">
        <v>11</v>
      </c>
      <c r="E703" s="10"/>
      <c r="F703" s="5" t="e">
        <f>IF(DataExtraction="Manual",SUMIF('[1]TrialBalance (YTD)'!$C:$C,B703,'[1]TrialBalance (YTD)'!$E:$E),SUMIF('[1]TrialBalance (YTD)'!$G:$G,B703,'[1]TrialBalance (YTD)'!$I:$I))</f>
        <v>#VALUE!</v>
      </c>
      <c r="G703" s="5">
        <f>IFERROR(INDEX('[1]TrialBalance (YTD)'!$G:$S,MATCH([1]TBMapping!$C705,'[1]TrialBalance (YTD)'!G:G,0),MATCH([1]TBMapping!H$3,'[1]TrialBalance (YTD)'!$G$7:$Z$7,0)),0)</f>
        <v>0</v>
      </c>
      <c r="H703" s="5" t="e">
        <f>SUMIF('[1]TrialBalance (YTD)'!G:G,B703,'[1]TrialBalance (YTD)'!H:H)</f>
        <v>#VALUE!</v>
      </c>
      <c r="I703" s="5">
        <f>IFERROR(INDEX('[1]TrialBalance (YTD)'!$G:$S,MATCH([1]TBMapping!$C705,'[1]TrialBalance (YTD)'!G:G,0),MATCH([1]TBMapping!J$3,'[1]TrialBalance (YTD)'!$G$7:$Z$7,0)),0)</f>
        <v>0</v>
      </c>
      <c r="K703" s="5" t="e">
        <f>SUMIF('[1]TrialBalance (Quarter)'!$A:$A,B703,'[1]TrialBalance (Quarter)'!$B:$B)</f>
        <v>#VALUE!</v>
      </c>
      <c r="L703" s="5">
        <f>IFERROR(INDEX('[1]TrialBalance (Quarter)'!$A:$L,MATCH([1]TBMapping!$C705,'[1]TrialBalance (Quarter)'!A:A,0),MATCH([1]TBMapping!M$3,'[1]TrialBalance (Quarter)'!$7:$7,0)),0)</f>
        <v>0</v>
      </c>
      <c r="M703" s="5">
        <f>IFERROR(INDEX('[1]TrialBalance (Quarter)'!$A:$L,MATCH([1]TBMapping!$C705,'[1]TrialBalance (Quarter)'!A:A,0),MATCH([1]TBMapping!N$3,'[1]TrialBalance (Quarter)'!$7:$7,0)),0)</f>
        <v>0</v>
      </c>
      <c r="N703" s="5">
        <f>IFERROR(INDEX('[1]TrialBalance (Quarter)'!$A:$L,MATCH([1]TBMapping!$C705,'[1]TrialBalance (Quarter)'!A:A,0),MATCH([1]TBMapping!O$3,'[1]TrialBalance (Quarter)'!$7:$7,0)),0)</f>
        <v>0</v>
      </c>
    </row>
    <row r="704" spans="1:14">
      <c r="A704" s="2">
        <v>2</v>
      </c>
      <c r="B704" s="3">
        <v>225112</v>
      </c>
      <c r="C704" s="11" t="s">
        <v>508</v>
      </c>
      <c r="D704" s="11" t="s">
        <v>11</v>
      </c>
      <c r="E704" s="11"/>
      <c r="F704" s="5" t="e">
        <f>IF(DataExtraction="Manual",SUMIF('[1]TrialBalance (YTD)'!$C:$C,B704,'[1]TrialBalance (YTD)'!$E:$E),SUMIF('[1]TrialBalance (YTD)'!$G:$G,B704,'[1]TrialBalance (YTD)'!$I:$I))</f>
        <v>#VALUE!</v>
      </c>
      <c r="G704" s="5">
        <f>IFERROR(INDEX('[1]TrialBalance (YTD)'!$G:$S,MATCH([1]TBMapping!$C706,'[1]TrialBalance (YTD)'!G:G,0),MATCH([1]TBMapping!H$3,'[1]TrialBalance (YTD)'!$G$7:$Z$7,0)),0)</f>
        <v>0</v>
      </c>
      <c r="H704" s="5" t="e">
        <f>SUMIF('[1]TrialBalance (YTD)'!G:G,B704,'[1]TrialBalance (YTD)'!H:H)</f>
        <v>#VALUE!</v>
      </c>
      <c r="I704" s="5">
        <f>IFERROR(INDEX('[1]TrialBalance (YTD)'!$G:$S,MATCH([1]TBMapping!$C706,'[1]TrialBalance (YTD)'!G:G,0),MATCH([1]TBMapping!J$3,'[1]TrialBalance (YTD)'!$G$7:$Z$7,0)),0)</f>
        <v>0</v>
      </c>
      <c r="K704" s="5" t="e">
        <f>SUMIF('[1]TrialBalance (Quarter)'!$A:$A,B704,'[1]TrialBalance (Quarter)'!$B:$B)</f>
        <v>#VALUE!</v>
      </c>
      <c r="L704" s="5">
        <f>IFERROR(INDEX('[1]TrialBalance (Quarter)'!$A:$L,MATCH([1]TBMapping!$C706,'[1]TrialBalance (Quarter)'!A:A,0),MATCH([1]TBMapping!M$3,'[1]TrialBalance (Quarter)'!$7:$7,0)),0)</f>
        <v>0</v>
      </c>
      <c r="M704" s="5">
        <f>IFERROR(INDEX('[1]TrialBalance (Quarter)'!$A:$L,MATCH([1]TBMapping!$C706,'[1]TrialBalance (Quarter)'!A:A,0),MATCH([1]TBMapping!N$3,'[1]TrialBalance (Quarter)'!$7:$7,0)),0)</f>
        <v>0</v>
      </c>
      <c r="N704" s="5">
        <f>IFERROR(INDEX('[1]TrialBalance (Quarter)'!$A:$L,MATCH([1]TBMapping!$C706,'[1]TrialBalance (Quarter)'!A:A,0),MATCH([1]TBMapping!O$3,'[1]TrialBalance (Quarter)'!$7:$7,0)),0)</f>
        <v>0</v>
      </c>
    </row>
    <row r="705" spans="1:14">
      <c r="A705" s="2">
        <v>2</v>
      </c>
      <c r="B705" s="3">
        <v>225115</v>
      </c>
      <c r="C705" s="10" t="s">
        <v>528</v>
      </c>
      <c r="D705" s="10" t="s">
        <v>11</v>
      </c>
      <c r="E705" s="10"/>
      <c r="F705" s="5" t="e">
        <f>IF(DataExtraction="Manual",SUMIF('[1]TrialBalance (YTD)'!$C:$C,B705,'[1]TrialBalance (YTD)'!$E:$E),SUMIF('[1]TrialBalance (YTD)'!$G:$G,B705,'[1]TrialBalance (YTD)'!$I:$I))</f>
        <v>#VALUE!</v>
      </c>
      <c r="G705" s="5">
        <f>IFERROR(INDEX('[1]TrialBalance (YTD)'!$G:$S,MATCH([1]TBMapping!$C707,'[1]TrialBalance (YTD)'!G:G,0),MATCH([1]TBMapping!H$3,'[1]TrialBalance (YTD)'!$G$7:$Z$7,0)),0)</f>
        <v>0</v>
      </c>
      <c r="H705" s="5" t="e">
        <f>SUMIF('[1]TrialBalance (YTD)'!G:G,B705,'[1]TrialBalance (YTD)'!H:H)</f>
        <v>#VALUE!</v>
      </c>
      <c r="I705" s="5">
        <f>IFERROR(INDEX('[1]TrialBalance (YTD)'!$G:$S,MATCH([1]TBMapping!$C707,'[1]TrialBalance (YTD)'!G:G,0),MATCH([1]TBMapping!J$3,'[1]TrialBalance (YTD)'!$G$7:$Z$7,0)),0)</f>
        <v>0</v>
      </c>
      <c r="K705" s="5" t="e">
        <f>SUMIF('[1]TrialBalance (Quarter)'!$A:$A,B705,'[1]TrialBalance (Quarter)'!$B:$B)</f>
        <v>#VALUE!</v>
      </c>
      <c r="L705" s="5">
        <f>IFERROR(INDEX('[1]TrialBalance (Quarter)'!$A:$L,MATCH([1]TBMapping!$C707,'[1]TrialBalance (Quarter)'!A:A,0),MATCH([1]TBMapping!M$3,'[1]TrialBalance (Quarter)'!$7:$7,0)),0)</f>
        <v>0</v>
      </c>
      <c r="M705" s="5">
        <f>IFERROR(INDEX('[1]TrialBalance (Quarter)'!$A:$L,MATCH([1]TBMapping!$C707,'[1]TrialBalance (Quarter)'!A:A,0),MATCH([1]TBMapping!N$3,'[1]TrialBalance (Quarter)'!$7:$7,0)),0)</f>
        <v>0</v>
      </c>
      <c r="N705" s="5">
        <f>IFERROR(INDEX('[1]TrialBalance (Quarter)'!$A:$L,MATCH([1]TBMapping!$C707,'[1]TrialBalance (Quarter)'!A:A,0),MATCH([1]TBMapping!O$3,'[1]TrialBalance (Quarter)'!$7:$7,0)),0)</f>
        <v>0</v>
      </c>
    </row>
    <row r="706" spans="1:14">
      <c r="A706" s="2">
        <v>2</v>
      </c>
      <c r="B706" s="3">
        <v>225120</v>
      </c>
      <c r="C706" s="11" t="s">
        <v>509</v>
      </c>
      <c r="D706" s="11" t="s">
        <v>11</v>
      </c>
      <c r="E706" s="11"/>
      <c r="F706" s="5" t="e">
        <f>IF(DataExtraction="Manual",SUMIF('[1]TrialBalance (YTD)'!$C:$C,B706,'[1]TrialBalance (YTD)'!$E:$E),SUMIF('[1]TrialBalance (YTD)'!$G:$G,B706,'[1]TrialBalance (YTD)'!$I:$I))</f>
        <v>#VALUE!</v>
      </c>
      <c r="G706" s="5">
        <f>IFERROR(INDEX('[1]TrialBalance (YTD)'!$G:$S,MATCH([1]TBMapping!$C708,'[1]TrialBalance (YTD)'!G:G,0),MATCH([1]TBMapping!H$3,'[1]TrialBalance (YTD)'!$G$7:$Z$7,0)),0)</f>
        <v>0</v>
      </c>
      <c r="H706" s="5" t="e">
        <f>SUMIF('[1]TrialBalance (YTD)'!G:G,B706,'[1]TrialBalance (YTD)'!H:H)</f>
        <v>#VALUE!</v>
      </c>
      <c r="I706" s="5">
        <f>IFERROR(INDEX('[1]TrialBalance (YTD)'!$G:$S,MATCH([1]TBMapping!$C708,'[1]TrialBalance (YTD)'!G:G,0),MATCH([1]TBMapping!J$3,'[1]TrialBalance (YTD)'!$G$7:$Z$7,0)),0)</f>
        <v>0</v>
      </c>
      <c r="K706" s="5" t="e">
        <f>SUMIF('[1]TrialBalance (Quarter)'!$A:$A,B706,'[1]TrialBalance (Quarter)'!$B:$B)</f>
        <v>#VALUE!</v>
      </c>
      <c r="L706" s="5">
        <f>IFERROR(INDEX('[1]TrialBalance (Quarter)'!$A:$L,MATCH([1]TBMapping!$C708,'[1]TrialBalance (Quarter)'!A:A,0),MATCH([1]TBMapping!M$3,'[1]TrialBalance (Quarter)'!$7:$7,0)),0)</f>
        <v>0</v>
      </c>
      <c r="M706" s="5">
        <f>IFERROR(INDEX('[1]TrialBalance (Quarter)'!$A:$L,MATCH([1]TBMapping!$C708,'[1]TrialBalance (Quarter)'!A:A,0),MATCH([1]TBMapping!N$3,'[1]TrialBalance (Quarter)'!$7:$7,0)),0)</f>
        <v>0</v>
      </c>
      <c r="N706" s="5">
        <f>IFERROR(INDEX('[1]TrialBalance (Quarter)'!$A:$L,MATCH([1]TBMapping!$C708,'[1]TrialBalance (Quarter)'!A:A,0),MATCH([1]TBMapping!O$3,'[1]TrialBalance (Quarter)'!$7:$7,0)),0)</f>
        <v>0</v>
      </c>
    </row>
    <row r="707" spans="1:14">
      <c r="A707" s="2">
        <v>2</v>
      </c>
      <c r="B707" s="3">
        <v>225130</v>
      </c>
      <c r="C707" s="10" t="s">
        <v>510</v>
      </c>
      <c r="D707" s="10" t="s">
        <v>11</v>
      </c>
      <c r="E707" s="10"/>
      <c r="F707" s="5" t="e">
        <f>IF(DataExtraction="Manual",SUMIF('[1]TrialBalance (YTD)'!$C:$C,B707,'[1]TrialBalance (YTD)'!$E:$E),SUMIF('[1]TrialBalance (YTD)'!$G:$G,B707,'[1]TrialBalance (YTD)'!$I:$I))</f>
        <v>#VALUE!</v>
      </c>
      <c r="G707" s="5">
        <f>IFERROR(INDEX('[1]TrialBalance (YTD)'!$G:$S,MATCH([1]TBMapping!$C709,'[1]TrialBalance (YTD)'!G:G,0),MATCH([1]TBMapping!H$3,'[1]TrialBalance (YTD)'!$G$7:$Z$7,0)),0)</f>
        <v>0</v>
      </c>
      <c r="H707" s="5" t="e">
        <f>SUMIF('[1]TrialBalance (YTD)'!G:G,B707,'[1]TrialBalance (YTD)'!H:H)</f>
        <v>#VALUE!</v>
      </c>
      <c r="I707" s="5">
        <f>IFERROR(INDEX('[1]TrialBalance (YTD)'!$G:$S,MATCH([1]TBMapping!$C709,'[1]TrialBalance (YTD)'!G:G,0),MATCH([1]TBMapping!J$3,'[1]TrialBalance (YTD)'!$G$7:$Z$7,0)),0)</f>
        <v>0</v>
      </c>
      <c r="K707" s="5" t="e">
        <f>SUMIF('[1]TrialBalance (Quarter)'!$A:$A,B707,'[1]TrialBalance (Quarter)'!$B:$B)</f>
        <v>#VALUE!</v>
      </c>
      <c r="L707" s="5">
        <f>IFERROR(INDEX('[1]TrialBalance (Quarter)'!$A:$L,MATCH([1]TBMapping!$C709,'[1]TrialBalance (Quarter)'!A:A,0),MATCH([1]TBMapping!M$3,'[1]TrialBalance (Quarter)'!$7:$7,0)),0)</f>
        <v>0</v>
      </c>
      <c r="M707" s="5">
        <f>IFERROR(INDEX('[1]TrialBalance (Quarter)'!$A:$L,MATCH([1]TBMapping!$C709,'[1]TrialBalance (Quarter)'!A:A,0),MATCH([1]TBMapping!N$3,'[1]TrialBalance (Quarter)'!$7:$7,0)),0)</f>
        <v>0</v>
      </c>
      <c r="N707" s="5">
        <f>IFERROR(INDEX('[1]TrialBalance (Quarter)'!$A:$L,MATCH([1]TBMapping!$C709,'[1]TrialBalance (Quarter)'!A:A,0),MATCH([1]TBMapping!O$3,'[1]TrialBalance (Quarter)'!$7:$7,0)),0)</f>
        <v>0</v>
      </c>
    </row>
    <row r="708" spans="1:14">
      <c r="A708" s="2">
        <v>2</v>
      </c>
      <c r="B708" s="3">
        <v>225135</v>
      </c>
      <c r="C708" s="11" t="s">
        <v>511</v>
      </c>
      <c r="D708" s="11" t="s">
        <v>11</v>
      </c>
      <c r="E708" s="11"/>
      <c r="F708" s="5" t="e">
        <f>IF(DataExtraction="Manual",SUMIF('[1]TrialBalance (YTD)'!$C:$C,B708,'[1]TrialBalance (YTD)'!$E:$E),SUMIF('[1]TrialBalance (YTD)'!$G:$G,B708,'[1]TrialBalance (YTD)'!$I:$I))</f>
        <v>#VALUE!</v>
      </c>
      <c r="G708" s="5">
        <f>IFERROR(INDEX('[1]TrialBalance (YTD)'!$G:$S,MATCH([1]TBMapping!$C710,'[1]TrialBalance (YTD)'!G:G,0),MATCH([1]TBMapping!H$3,'[1]TrialBalance (YTD)'!$G$7:$Z$7,0)),0)</f>
        <v>0</v>
      </c>
      <c r="H708" s="5" t="e">
        <f>SUMIF('[1]TrialBalance (YTD)'!G:G,B708,'[1]TrialBalance (YTD)'!H:H)</f>
        <v>#VALUE!</v>
      </c>
      <c r="I708" s="5">
        <f>IFERROR(INDEX('[1]TrialBalance (YTD)'!$G:$S,MATCH([1]TBMapping!$C710,'[1]TrialBalance (YTD)'!G:G,0),MATCH([1]TBMapping!J$3,'[1]TrialBalance (YTD)'!$G$7:$Z$7,0)),0)</f>
        <v>0</v>
      </c>
      <c r="K708" s="5" t="e">
        <f>SUMIF('[1]TrialBalance (Quarter)'!$A:$A,B708,'[1]TrialBalance (Quarter)'!$B:$B)</f>
        <v>#VALUE!</v>
      </c>
      <c r="L708" s="5">
        <f>IFERROR(INDEX('[1]TrialBalance (Quarter)'!$A:$L,MATCH([1]TBMapping!$C710,'[1]TrialBalance (Quarter)'!A:A,0),MATCH([1]TBMapping!M$3,'[1]TrialBalance (Quarter)'!$7:$7,0)),0)</f>
        <v>0</v>
      </c>
      <c r="M708" s="5">
        <f>IFERROR(INDEX('[1]TrialBalance (Quarter)'!$A:$L,MATCH([1]TBMapping!$C710,'[1]TrialBalance (Quarter)'!A:A,0),MATCH([1]TBMapping!N$3,'[1]TrialBalance (Quarter)'!$7:$7,0)),0)</f>
        <v>0</v>
      </c>
      <c r="N708" s="5">
        <f>IFERROR(INDEX('[1]TrialBalance (Quarter)'!$A:$L,MATCH([1]TBMapping!$C710,'[1]TrialBalance (Quarter)'!A:A,0),MATCH([1]TBMapping!O$3,'[1]TrialBalance (Quarter)'!$7:$7,0)),0)</f>
        <v>0</v>
      </c>
    </row>
    <row r="709" spans="1:14">
      <c r="A709" s="2">
        <v>2</v>
      </c>
      <c r="B709" s="3">
        <v>225137</v>
      </c>
      <c r="C709" s="10" t="s">
        <v>530</v>
      </c>
      <c r="D709" s="10" t="s">
        <v>11</v>
      </c>
      <c r="E709" s="10"/>
      <c r="F709" s="5" t="e">
        <f>IF(DataExtraction="Manual",SUMIF('[1]TrialBalance (YTD)'!$C:$C,B709,'[1]TrialBalance (YTD)'!$E:$E),SUMIF('[1]TrialBalance (YTD)'!$G:$G,B709,'[1]TrialBalance (YTD)'!$I:$I))</f>
        <v>#VALUE!</v>
      </c>
      <c r="G709" s="5">
        <f>IFERROR(INDEX('[1]TrialBalance (YTD)'!$G:$S,MATCH([1]TBMapping!$C711,'[1]TrialBalance (YTD)'!G:G,0),MATCH([1]TBMapping!H$3,'[1]TrialBalance (YTD)'!$G$7:$Z$7,0)),0)</f>
        <v>0</v>
      </c>
      <c r="H709" s="5" t="e">
        <f>SUMIF('[1]TrialBalance (YTD)'!G:G,B709,'[1]TrialBalance (YTD)'!H:H)</f>
        <v>#VALUE!</v>
      </c>
      <c r="I709" s="5">
        <f>IFERROR(INDEX('[1]TrialBalance (YTD)'!$G:$S,MATCH([1]TBMapping!$C711,'[1]TrialBalance (YTD)'!G:G,0),MATCH([1]TBMapping!J$3,'[1]TrialBalance (YTD)'!$G$7:$Z$7,0)),0)</f>
        <v>0</v>
      </c>
      <c r="K709" s="5" t="e">
        <f>SUMIF('[1]TrialBalance (Quarter)'!$A:$A,B709,'[1]TrialBalance (Quarter)'!$B:$B)</f>
        <v>#VALUE!</v>
      </c>
      <c r="L709" s="5">
        <f>IFERROR(INDEX('[1]TrialBalance (Quarter)'!$A:$L,MATCH([1]TBMapping!$C711,'[1]TrialBalance (Quarter)'!A:A,0),MATCH([1]TBMapping!M$3,'[1]TrialBalance (Quarter)'!$7:$7,0)),0)</f>
        <v>0</v>
      </c>
      <c r="M709" s="5">
        <f>IFERROR(INDEX('[1]TrialBalance (Quarter)'!$A:$L,MATCH([1]TBMapping!$C711,'[1]TrialBalance (Quarter)'!A:A,0),MATCH([1]TBMapping!N$3,'[1]TrialBalance (Quarter)'!$7:$7,0)),0)</f>
        <v>0</v>
      </c>
      <c r="N709" s="5">
        <f>IFERROR(INDEX('[1]TrialBalance (Quarter)'!$A:$L,MATCH([1]TBMapping!$C711,'[1]TrialBalance (Quarter)'!A:A,0),MATCH([1]TBMapping!O$3,'[1]TrialBalance (Quarter)'!$7:$7,0)),0)</f>
        <v>0</v>
      </c>
    </row>
    <row r="710" spans="1:14">
      <c r="A710" s="2">
        <v>2</v>
      </c>
      <c r="B710" s="3">
        <v>225210</v>
      </c>
      <c r="C710" s="11" t="s">
        <v>579</v>
      </c>
      <c r="D710" s="11" t="s">
        <v>11</v>
      </c>
      <c r="E710" s="11"/>
      <c r="F710" s="5" t="e">
        <f>IF(DataExtraction="Manual",SUMIF('[1]TrialBalance (YTD)'!$C:$C,B710,'[1]TrialBalance (YTD)'!$E:$E),SUMIF('[1]TrialBalance (YTD)'!$G:$G,B710,'[1]TrialBalance (YTD)'!$I:$I))</f>
        <v>#VALUE!</v>
      </c>
      <c r="G710" s="5">
        <f>IFERROR(INDEX('[1]TrialBalance (YTD)'!$G:$S,MATCH([1]TBMapping!$C712,'[1]TrialBalance (YTD)'!G:G,0),MATCH([1]TBMapping!H$3,'[1]TrialBalance (YTD)'!$G$7:$Z$7,0)),0)</f>
        <v>0</v>
      </c>
      <c r="H710" s="5" t="e">
        <f>SUMIF('[1]TrialBalance (YTD)'!G:G,B710,'[1]TrialBalance (YTD)'!H:H)</f>
        <v>#VALUE!</v>
      </c>
      <c r="I710" s="5">
        <f>IFERROR(INDEX('[1]TrialBalance (YTD)'!$G:$S,MATCH([1]TBMapping!$C712,'[1]TrialBalance (YTD)'!G:G,0),MATCH([1]TBMapping!J$3,'[1]TrialBalance (YTD)'!$G$7:$Z$7,0)),0)</f>
        <v>0</v>
      </c>
      <c r="K710" s="5" t="e">
        <f>SUMIF('[1]TrialBalance (Quarter)'!$A:$A,B710,'[1]TrialBalance (Quarter)'!$B:$B)</f>
        <v>#VALUE!</v>
      </c>
      <c r="L710" s="5">
        <f>IFERROR(INDEX('[1]TrialBalance (Quarter)'!$A:$L,MATCH([1]TBMapping!$C712,'[1]TrialBalance (Quarter)'!A:A,0),MATCH([1]TBMapping!M$3,'[1]TrialBalance (Quarter)'!$7:$7,0)),0)</f>
        <v>0</v>
      </c>
      <c r="M710" s="5">
        <f>IFERROR(INDEX('[1]TrialBalance (Quarter)'!$A:$L,MATCH([1]TBMapping!$C712,'[1]TrialBalance (Quarter)'!A:A,0),MATCH([1]TBMapping!N$3,'[1]TrialBalance (Quarter)'!$7:$7,0)),0)</f>
        <v>0</v>
      </c>
      <c r="N710" s="5">
        <f>IFERROR(INDEX('[1]TrialBalance (Quarter)'!$A:$L,MATCH([1]TBMapping!$C712,'[1]TrialBalance (Quarter)'!A:A,0),MATCH([1]TBMapping!O$3,'[1]TrialBalance (Quarter)'!$7:$7,0)),0)</f>
        <v>0</v>
      </c>
    </row>
    <row r="711" spans="1:14">
      <c r="A711" s="2">
        <v>2</v>
      </c>
      <c r="B711" s="3">
        <v>225220</v>
      </c>
      <c r="C711" s="10" t="s">
        <v>563</v>
      </c>
      <c r="D711" s="10" t="s">
        <v>11</v>
      </c>
      <c r="E711" s="10"/>
      <c r="F711" s="5" t="e">
        <f>IF(DataExtraction="Manual",SUMIF('[1]TrialBalance (YTD)'!$C:$C,B711,'[1]TrialBalance (YTD)'!$E:$E),SUMIF('[1]TrialBalance (YTD)'!$G:$G,B711,'[1]TrialBalance (YTD)'!$I:$I))</f>
        <v>#VALUE!</v>
      </c>
      <c r="G711" s="5">
        <f>IFERROR(INDEX('[1]TrialBalance (YTD)'!$G:$S,MATCH([1]TBMapping!$C713,'[1]TrialBalance (YTD)'!G:G,0),MATCH([1]TBMapping!H$3,'[1]TrialBalance (YTD)'!$G$7:$Z$7,0)),0)</f>
        <v>0</v>
      </c>
      <c r="H711" s="5" t="e">
        <f>SUMIF('[1]TrialBalance (YTD)'!G:G,B711,'[1]TrialBalance (YTD)'!H:H)</f>
        <v>#VALUE!</v>
      </c>
      <c r="I711" s="5">
        <f>IFERROR(INDEX('[1]TrialBalance (YTD)'!$G:$S,MATCH([1]TBMapping!$C713,'[1]TrialBalance (YTD)'!G:G,0),MATCH([1]TBMapping!J$3,'[1]TrialBalance (YTD)'!$G$7:$Z$7,0)),0)</f>
        <v>0</v>
      </c>
      <c r="K711" s="5" t="e">
        <f>SUMIF('[1]TrialBalance (Quarter)'!$A:$A,B711,'[1]TrialBalance (Quarter)'!$B:$B)</f>
        <v>#VALUE!</v>
      </c>
      <c r="L711" s="5">
        <f>IFERROR(INDEX('[1]TrialBalance (Quarter)'!$A:$L,MATCH([1]TBMapping!$C713,'[1]TrialBalance (Quarter)'!A:A,0),MATCH([1]TBMapping!M$3,'[1]TrialBalance (Quarter)'!$7:$7,0)),0)</f>
        <v>0</v>
      </c>
      <c r="M711" s="5">
        <f>IFERROR(INDEX('[1]TrialBalance (Quarter)'!$A:$L,MATCH([1]TBMapping!$C713,'[1]TrialBalance (Quarter)'!A:A,0),MATCH([1]TBMapping!N$3,'[1]TrialBalance (Quarter)'!$7:$7,0)),0)</f>
        <v>0</v>
      </c>
      <c r="N711" s="5">
        <f>IFERROR(INDEX('[1]TrialBalance (Quarter)'!$A:$L,MATCH([1]TBMapping!$C713,'[1]TrialBalance (Quarter)'!A:A,0),MATCH([1]TBMapping!O$3,'[1]TrialBalance (Quarter)'!$7:$7,0)),0)</f>
        <v>0</v>
      </c>
    </row>
    <row r="712" spans="1:14">
      <c r="A712" s="2">
        <v>2</v>
      </c>
      <c r="B712" s="3">
        <v>225250</v>
      </c>
      <c r="C712" s="11" t="s">
        <v>530</v>
      </c>
      <c r="D712" s="11" t="s">
        <v>11</v>
      </c>
      <c r="E712" s="11"/>
      <c r="F712" s="5" t="e">
        <f>IF(DataExtraction="Manual",SUMIF('[1]TrialBalance (YTD)'!$C:$C,B712,'[1]TrialBalance (YTD)'!$E:$E),SUMIF('[1]TrialBalance (YTD)'!$G:$G,B712,'[1]TrialBalance (YTD)'!$I:$I))</f>
        <v>#VALUE!</v>
      </c>
      <c r="G712" s="5">
        <f>IFERROR(INDEX('[1]TrialBalance (YTD)'!$G:$S,MATCH([1]TBMapping!$C714,'[1]TrialBalance (YTD)'!G:G,0),MATCH([1]TBMapping!H$3,'[1]TrialBalance (YTD)'!$G$7:$Z$7,0)),0)</f>
        <v>0</v>
      </c>
      <c r="H712" s="5" t="e">
        <f>SUMIF('[1]TrialBalance (YTD)'!G:G,B712,'[1]TrialBalance (YTD)'!H:H)</f>
        <v>#VALUE!</v>
      </c>
      <c r="I712" s="5">
        <f>IFERROR(INDEX('[1]TrialBalance (YTD)'!$G:$S,MATCH([1]TBMapping!$C714,'[1]TrialBalance (YTD)'!G:G,0),MATCH([1]TBMapping!J$3,'[1]TrialBalance (YTD)'!$G$7:$Z$7,0)),0)</f>
        <v>0</v>
      </c>
      <c r="K712" s="5" t="e">
        <f>SUMIF('[1]TrialBalance (Quarter)'!$A:$A,B712,'[1]TrialBalance (Quarter)'!$B:$B)</f>
        <v>#VALUE!</v>
      </c>
      <c r="L712" s="5">
        <f>IFERROR(INDEX('[1]TrialBalance (Quarter)'!$A:$L,MATCH([1]TBMapping!$C714,'[1]TrialBalance (Quarter)'!A:A,0),MATCH([1]TBMapping!M$3,'[1]TrialBalance (Quarter)'!$7:$7,0)),0)</f>
        <v>0</v>
      </c>
      <c r="M712" s="5">
        <f>IFERROR(INDEX('[1]TrialBalance (Quarter)'!$A:$L,MATCH([1]TBMapping!$C714,'[1]TrialBalance (Quarter)'!A:A,0),MATCH([1]TBMapping!N$3,'[1]TrialBalance (Quarter)'!$7:$7,0)),0)</f>
        <v>0</v>
      </c>
      <c r="N712" s="5">
        <f>IFERROR(INDEX('[1]TrialBalance (Quarter)'!$A:$L,MATCH([1]TBMapping!$C714,'[1]TrialBalance (Quarter)'!A:A,0),MATCH([1]TBMapping!O$3,'[1]TrialBalance (Quarter)'!$7:$7,0)),0)</f>
        <v>0</v>
      </c>
    </row>
    <row r="713" spans="1:14">
      <c r="A713" s="2">
        <v>2</v>
      </c>
      <c r="B713" s="3">
        <v>225310</v>
      </c>
      <c r="C713" s="10" t="s">
        <v>580</v>
      </c>
      <c r="D713" s="10" t="s">
        <v>11</v>
      </c>
      <c r="E713" s="10"/>
      <c r="F713" s="5" t="e">
        <f>IF(DataExtraction="Manual",SUMIF('[1]TrialBalance (YTD)'!$C:$C,B713,'[1]TrialBalance (YTD)'!$E:$E),SUMIF('[1]TrialBalance (YTD)'!$G:$G,B713,'[1]TrialBalance (YTD)'!$I:$I))</f>
        <v>#VALUE!</v>
      </c>
      <c r="G713" s="5">
        <f>IFERROR(INDEX('[1]TrialBalance (YTD)'!$G:$S,MATCH([1]TBMapping!$C715,'[1]TrialBalance (YTD)'!G:G,0),MATCH([1]TBMapping!H$3,'[1]TrialBalance (YTD)'!$G$7:$Z$7,0)),0)</f>
        <v>0</v>
      </c>
      <c r="H713" s="5" t="e">
        <f>SUMIF('[1]TrialBalance (YTD)'!G:G,B713,'[1]TrialBalance (YTD)'!H:H)</f>
        <v>#VALUE!</v>
      </c>
      <c r="I713" s="5">
        <f>IFERROR(INDEX('[1]TrialBalance (YTD)'!$G:$S,MATCH([1]TBMapping!$C715,'[1]TrialBalance (YTD)'!G:G,0),MATCH([1]TBMapping!J$3,'[1]TrialBalance (YTD)'!$G$7:$Z$7,0)),0)</f>
        <v>0</v>
      </c>
      <c r="K713" s="5" t="e">
        <f>SUMIF('[1]TrialBalance (Quarter)'!$A:$A,B713,'[1]TrialBalance (Quarter)'!$B:$B)</f>
        <v>#VALUE!</v>
      </c>
      <c r="L713" s="5">
        <f>IFERROR(INDEX('[1]TrialBalance (Quarter)'!$A:$L,MATCH([1]TBMapping!$C715,'[1]TrialBalance (Quarter)'!A:A,0),MATCH([1]TBMapping!M$3,'[1]TrialBalance (Quarter)'!$7:$7,0)),0)</f>
        <v>0</v>
      </c>
      <c r="M713" s="5">
        <f>IFERROR(INDEX('[1]TrialBalance (Quarter)'!$A:$L,MATCH([1]TBMapping!$C715,'[1]TrialBalance (Quarter)'!A:A,0),MATCH([1]TBMapping!N$3,'[1]TrialBalance (Quarter)'!$7:$7,0)),0)</f>
        <v>0</v>
      </c>
      <c r="N713" s="5">
        <f>IFERROR(INDEX('[1]TrialBalance (Quarter)'!$A:$L,MATCH([1]TBMapping!$C715,'[1]TrialBalance (Quarter)'!A:A,0),MATCH([1]TBMapping!O$3,'[1]TrialBalance (Quarter)'!$7:$7,0)),0)</f>
        <v>0</v>
      </c>
    </row>
    <row r="714" spans="1:14">
      <c r="A714" s="2">
        <v>2</v>
      </c>
      <c r="B714" s="3">
        <v>225315</v>
      </c>
      <c r="C714" s="11" t="s">
        <v>560</v>
      </c>
      <c r="D714" s="11" t="s">
        <v>11</v>
      </c>
      <c r="E714" s="11"/>
      <c r="F714" s="5" t="e">
        <f>IF(DataExtraction="Manual",SUMIF('[1]TrialBalance (YTD)'!$C:$C,B714,'[1]TrialBalance (YTD)'!$E:$E),SUMIF('[1]TrialBalance (YTD)'!$G:$G,B714,'[1]TrialBalance (YTD)'!$I:$I))</f>
        <v>#VALUE!</v>
      </c>
      <c r="G714" s="5">
        <f>IFERROR(INDEX('[1]TrialBalance (YTD)'!$G:$S,MATCH([1]TBMapping!$C716,'[1]TrialBalance (YTD)'!G:G,0),MATCH([1]TBMapping!H$3,'[1]TrialBalance (YTD)'!$G$7:$Z$7,0)),0)</f>
        <v>0</v>
      </c>
      <c r="H714" s="5" t="e">
        <f>SUMIF('[1]TrialBalance (YTD)'!G:G,B714,'[1]TrialBalance (YTD)'!H:H)</f>
        <v>#VALUE!</v>
      </c>
      <c r="I714" s="5">
        <f>IFERROR(INDEX('[1]TrialBalance (YTD)'!$G:$S,MATCH([1]TBMapping!$C716,'[1]TrialBalance (YTD)'!G:G,0),MATCH([1]TBMapping!J$3,'[1]TrialBalance (YTD)'!$G$7:$Z$7,0)),0)</f>
        <v>0</v>
      </c>
      <c r="K714" s="5" t="e">
        <f>SUMIF('[1]TrialBalance (Quarter)'!$A:$A,B714,'[1]TrialBalance (Quarter)'!$B:$B)</f>
        <v>#VALUE!</v>
      </c>
      <c r="L714" s="5">
        <f>IFERROR(INDEX('[1]TrialBalance (Quarter)'!$A:$L,MATCH([1]TBMapping!$C716,'[1]TrialBalance (Quarter)'!A:A,0),MATCH([1]TBMapping!M$3,'[1]TrialBalance (Quarter)'!$7:$7,0)),0)</f>
        <v>0</v>
      </c>
      <c r="M714" s="5">
        <f>IFERROR(INDEX('[1]TrialBalance (Quarter)'!$A:$L,MATCH([1]TBMapping!$C716,'[1]TrialBalance (Quarter)'!A:A,0),MATCH([1]TBMapping!N$3,'[1]TrialBalance (Quarter)'!$7:$7,0)),0)</f>
        <v>0</v>
      </c>
      <c r="N714" s="5">
        <f>IFERROR(INDEX('[1]TrialBalance (Quarter)'!$A:$L,MATCH([1]TBMapping!$C716,'[1]TrialBalance (Quarter)'!A:A,0),MATCH([1]TBMapping!O$3,'[1]TrialBalance (Quarter)'!$7:$7,0)),0)</f>
        <v>0</v>
      </c>
    </row>
    <row r="715" spans="1:14">
      <c r="A715" s="2">
        <v>2</v>
      </c>
      <c r="B715" s="3">
        <v>225320</v>
      </c>
      <c r="C715" s="10" t="s">
        <v>513</v>
      </c>
      <c r="D715" s="10" t="s">
        <v>11</v>
      </c>
      <c r="E715" s="10"/>
      <c r="F715" s="5" t="e">
        <f>IF(DataExtraction="Manual",SUMIF('[1]TrialBalance (YTD)'!$C:$C,B715,'[1]TrialBalance (YTD)'!$E:$E),SUMIF('[1]TrialBalance (YTD)'!$G:$G,B715,'[1]TrialBalance (YTD)'!$I:$I))</f>
        <v>#VALUE!</v>
      </c>
      <c r="G715" s="5">
        <f>IFERROR(INDEX('[1]TrialBalance (YTD)'!$G:$S,MATCH([1]TBMapping!$C717,'[1]TrialBalance (YTD)'!G:G,0),MATCH([1]TBMapping!H$3,'[1]TrialBalance (YTD)'!$G$7:$Z$7,0)),0)</f>
        <v>0</v>
      </c>
      <c r="H715" s="5" t="e">
        <f>SUMIF('[1]TrialBalance (YTD)'!G:G,B715,'[1]TrialBalance (YTD)'!H:H)</f>
        <v>#VALUE!</v>
      </c>
      <c r="I715" s="5">
        <f>IFERROR(INDEX('[1]TrialBalance (YTD)'!$G:$S,MATCH([1]TBMapping!$C717,'[1]TrialBalance (YTD)'!G:G,0),MATCH([1]TBMapping!J$3,'[1]TrialBalance (YTD)'!$G$7:$Z$7,0)),0)</f>
        <v>0</v>
      </c>
      <c r="K715" s="5" t="e">
        <f>SUMIF('[1]TrialBalance (Quarter)'!$A:$A,B715,'[1]TrialBalance (Quarter)'!$B:$B)</f>
        <v>#VALUE!</v>
      </c>
      <c r="L715" s="5">
        <f>IFERROR(INDEX('[1]TrialBalance (Quarter)'!$A:$L,MATCH([1]TBMapping!$C717,'[1]TrialBalance (Quarter)'!A:A,0),MATCH([1]TBMapping!M$3,'[1]TrialBalance (Quarter)'!$7:$7,0)),0)</f>
        <v>0</v>
      </c>
      <c r="M715" s="5">
        <f>IFERROR(INDEX('[1]TrialBalance (Quarter)'!$A:$L,MATCH([1]TBMapping!$C717,'[1]TrialBalance (Quarter)'!A:A,0),MATCH([1]TBMapping!N$3,'[1]TrialBalance (Quarter)'!$7:$7,0)),0)</f>
        <v>0</v>
      </c>
      <c r="N715" s="5">
        <f>IFERROR(INDEX('[1]TrialBalance (Quarter)'!$A:$L,MATCH([1]TBMapping!$C717,'[1]TrialBalance (Quarter)'!A:A,0),MATCH([1]TBMapping!O$3,'[1]TrialBalance (Quarter)'!$7:$7,0)),0)</f>
        <v>0</v>
      </c>
    </row>
    <row r="716" spans="1:14">
      <c r="A716" s="2">
        <v>2</v>
      </c>
      <c r="B716" s="3">
        <v>225330</v>
      </c>
      <c r="C716" s="11" t="s">
        <v>521</v>
      </c>
      <c r="D716" s="11" t="s">
        <v>11</v>
      </c>
      <c r="E716" s="11"/>
      <c r="F716" s="5" t="e">
        <f>IF(DataExtraction="Manual",SUMIF('[1]TrialBalance (YTD)'!$C:$C,B716,'[1]TrialBalance (YTD)'!$E:$E),SUMIF('[1]TrialBalance (YTD)'!$G:$G,B716,'[1]TrialBalance (YTD)'!$I:$I))</f>
        <v>#VALUE!</v>
      </c>
      <c r="G716" s="5">
        <f>IFERROR(INDEX('[1]TrialBalance (YTD)'!$G:$S,MATCH([1]TBMapping!$C718,'[1]TrialBalance (YTD)'!G:G,0),MATCH([1]TBMapping!H$3,'[1]TrialBalance (YTD)'!$G$7:$Z$7,0)),0)</f>
        <v>0</v>
      </c>
      <c r="H716" s="5" t="e">
        <f>SUMIF('[1]TrialBalance (YTD)'!G:G,B716,'[1]TrialBalance (YTD)'!H:H)</f>
        <v>#VALUE!</v>
      </c>
      <c r="I716" s="5">
        <f>IFERROR(INDEX('[1]TrialBalance (YTD)'!$G:$S,MATCH([1]TBMapping!$C718,'[1]TrialBalance (YTD)'!G:G,0),MATCH([1]TBMapping!J$3,'[1]TrialBalance (YTD)'!$G$7:$Z$7,0)),0)</f>
        <v>0</v>
      </c>
      <c r="K716" s="5" t="e">
        <f>SUMIF('[1]TrialBalance (Quarter)'!$A:$A,B716,'[1]TrialBalance (Quarter)'!$B:$B)</f>
        <v>#VALUE!</v>
      </c>
      <c r="L716" s="5">
        <f>IFERROR(INDEX('[1]TrialBalance (Quarter)'!$A:$L,MATCH([1]TBMapping!$C718,'[1]TrialBalance (Quarter)'!A:A,0),MATCH([1]TBMapping!M$3,'[1]TrialBalance (Quarter)'!$7:$7,0)),0)</f>
        <v>0</v>
      </c>
      <c r="M716" s="5">
        <f>IFERROR(INDEX('[1]TrialBalance (Quarter)'!$A:$L,MATCH([1]TBMapping!$C718,'[1]TrialBalance (Quarter)'!A:A,0),MATCH([1]TBMapping!N$3,'[1]TrialBalance (Quarter)'!$7:$7,0)),0)</f>
        <v>0</v>
      </c>
      <c r="N716" s="5">
        <f>IFERROR(INDEX('[1]TrialBalance (Quarter)'!$A:$L,MATCH([1]TBMapping!$C718,'[1]TrialBalance (Quarter)'!A:A,0),MATCH([1]TBMapping!O$3,'[1]TrialBalance (Quarter)'!$7:$7,0)),0)</f>
        <v>0</v>
      </c>
    </row>
    <row r="717" spans="1:14">
      <c r="A717" s="2">
        <v>2</v>
      </c>
      <c r="B717" s="3">
        <v>225350</v>
      </c>
      <c r="C717" s="10" t="s">
        <v>530</v>
      </c>
      <c r="D717" s="10" t="s">
        <v>11</v>
      </c>
      <c r="E717" s="10"/>
      <c r="F717" s="5" t="e">
        <f>IF(DataExtraction="Manual",SUMIF('[1]TrialBalance (YTD)'!$C:$C,B717,'[1]TrialBalance (YTD)'!$E:$E),SUMIF('[1]TrialBalance (YTD)'!$G:$G,B717,'[1]TrialBalance (YTD)'!$I:$I))</f>
        <v>#VALUE!</v>
      </c>
      <c r="G717" s="5">
        <f>IFERROR(INDEX('[1]TrialBalance (YTD)'!$G:$S,MATCH([1]TBMapping!$C719,'[1]TrialBalance (YTD)'!G:G,0),MATCH([1]TBMapping!H$3,'[1]TrialBalance (YTD)'!$G$7:$Z$7,0)),0)</f>
        <v>0</v>
      </c>
      <c r="H717" s="5" t="e">
        <f>SUMIF('[1]TrialBalance (YTD)'!G:G,B717,'[1]TrialBalance (YTD)'!H:H)</f>
        <v>#VALUE!</v>
      </c>
      <c r="I717" s="5">
        <f>IFERROR(INDEX('[1]TrialBalance (YTD)'!$G:$S,MATCH([1]TBMapping!$C719,'[1]TrialBalance (YTD)'!G:G,0),MATCH([1]TBMapping!J$3,'[1]TrialBalance (YTD)'!$G$7:$Z$7,0)),0)</f>
        <v>0</v>
      </c>
      <c r="K717" s="5" t="e">
        <f>SUMIF('[1]TrialBalance (Quarter)'!$A:$A,B717,'[1]TrialBalance (Quarter)'!$B:$B)</f>
        <v>#VALUE!</v>
      </c>
      <c r="L717" s="5">
        <f>IFERROR(INDEX('[1]TrialBalance (Quarter)'!$A:$L,MATCH([1]TBMapping!$C719,'[1]TrialBalance (Quarter)'!A:A,0),MATCH([1]TBMapping!M$3,'[1]TrialBalance (Quarter)'!$7:$7,0)),0)</f>
        <v>0</v>
      </c>
      <c r="M717" s="5">
        <f>IFERROR(INDEX('[1]TrialBalance (Quarter)'!$A:$L,MATCH([1]TBMapping!$C719,'[1]TrialBalance (Quarter)'!A:A,0),MATCH([1]TBMapping!N$3,'[1]TrialBalance (Quarter)'!$7:$7,0)),0)</f>
        <v>0</v>
      </c>
      <c r="N717" s="5">
        <f>IFERROR(INDEX('[1]TrialBalance (Quarter)'!$A:$L,MATCH([1]TBMapping!$C719,'[1]TrialBalance (Quarter)'!A:A,0),MATCH([1]TBMapping!O$3,'[1]TrialBalance (Quarter)'!$7:$7,0)),0)</f>
        <v>0</v>
      </c>
    </row>
    <row r="718" spans="1:14">
      <c r="A718" s="2">
        <v>2</v>
      </c>
      <c r="B718" s="3">
        <v>225410</v>
      </c>
      <c r="C718" s="11" t="s">
        <v>522</v>
      </c>
      <c r="D718" s="11" t="s">
        <v>11</v>
      </c>
      <c r="E718" s="11"/>
      <c r="F718" s="5" t="e">
        <f>IF(DataExtraction="Manual",SUMIF('[1]TrialBalance (YTD)'!$C:$C,B718,'[1]TrialBalance (YTD)'!$E:$E),SUMIF('[1]TrialBalance (YTD)'!$G:$G,B718,'[1]TrialBalance (YTD)'!$I:$I))</f>
        <v>#VALUE!</v>
      </c>
      <c r="G718" s="5">
        <f>IFERROR(INDEX('[1]TrialBalance (YTD)'!$G:$S,MATCH([1]TBMapping!$C720,'[1]TrialBalance (YTD)'!G:G,0),MATCH([1]TBMapping!H$3,'[1]TrialBalance (YTD)'!$G$7:$Z$7,0)),0)</f>
        <v>0</v>
      </c>
      <c r="H718" s="5" t="e">
        <f>SUMIF('[1]TrialBalance (YTD)'!G:G,B718,'[1]TrialBalance (YTD)'!H:H)</f>
        <v>#VALUE!</v>
      </c>
      <c r="I718" s="5">
        <f>IFERROR(INDEX('[1]TrialBalance (YTD)'!$G:$S,MATCH([1]TBMapping!$C720,'[1]TrialBalance (YTD)'!G:G,0),MATCH([1]TBMapping!J$3,'[1]TrialBalance (YTD)'!$G$7:$Z$7,0)),0)</f>
        <v>0</v>
      </c>
      <c r="K718" s="5" t="e">
        <f>SUMIF('[1]TrialBalance (Quarter)'!$A:$A,B718,'[1]TrialBalance (Quarter)'!$B:$B)</f>
        <v>#VALUE!</v>
      </c>
      <c r="L718" s="5">
        <f>IFERROR(INDEX('[1]TrialBalance (Quarter)'!$A:$L,MATCH([1]TBMapping!$C720,'[1]TrialBalance (Quarter)'!A:A,0),MATCH([1]TBMapping!M$3,'[1]TrialBalance (Quarter)'!$7:$7,0)),0)</f>
        <v>0</v>
      </c>
      <c r="M718" s="5">
        <f>IFERROR(INDEX('[1]TrialBalance (Quarter)'!$A:$L,MATCH([1]TBMapping!$C720,'[1]TrialBalance (Quarter)'!A:A,0),MATCH([1]TBMapping!N$3,'[1]TrialBalance (Quarter)'!$7:$7,0)),0)</f>
        <v>0</v>
      </c>
      <c r="N718" s="5">
        <f>IFERROR(INDEX('[1]TrialBalance (Quarter)'!$A:$L,MATCH([1]TBMapping!$C720,'[1]TrialBalance (Quarter)'!A:A,0),MATCH([1]TBMapping!O$3,'[1]TrialBalance (Quarter)'!$7:$7,0)),0)</f>
        <v>0</v>
      </c>
    </row>
    <row r="719" spans="1:14">
      <c r="A719" s="2">
        <v>2</v>
      </c>
      <c r="B719" s="3">
        <v>225420</v>
      </c>
      <c r="C719" s="10" t="s">
        <v>523</v>
      </c>
      <c r="D719" s="10" t="s">
        <v>11</v>
      </c>
      <c r="E719" s="10"/>
      <c r="F719" s="5" t="e">
        <f>IF(DataExtraction="Manual",SUMIF('[1]TrialBalance (YTD)'!$C:$C,B719,'[1]TrialBalance (YTD)'!$E:$E),SUMIF('[1]TrialBalance (YTD)'!$G:$G,B719,'[1]TrialBalance (YTD)'!$I:$I))</f>
        <v>#VALUE!</v>
      </c>
      <c r="G719" s="5">
        <f>IFERROR(INDEX('[1]TrialBalance (YTD)'!$G:$S,MATCH([1]TBMapping!$C721,'[1]TrialBalance (YTD)'!G:G,0),MATCH([1]TBMapping!H$3,'[1]TrialBalance (YTD)'!$G$7:$Z$7,0)),0)</f>
        <v>0</v>
      </c>
      <c r="H719" s="5" t="e">
        <f>SUMIF('[1]TrialBalance (YTD)'!G:G,B719,'[1]TrialBalance (YTD)'!H:H)</f>
        <v>#VALUE!</v>
      </c>
      <c r="I719" s="5">
        <f>IFERROR(INDEX('[1]TrialBalance (YTD)'!$G:$S,MATCH([1]TBMapping!$C721,'[1]TrialBalance (YTD)'!G:G,0),MATCH([1]TBMapping!J$3,'[1]TrialBalance (YTD)'!$G$7:$Z$7,0)),0)</f>
        <v>0</v>
      </c>
      <c r="K719" s="5" t="e">
        <f>SUMIF('[1]TrialBalance (Quarter)'!$A:$A,B719,'[1]TrialBalance (Quarter)'!$B:$B)</f>
        <v>#VALUE!</v>
      </c>
      <c r="L719" s="5">
        <f>IFERROR(INDEX('[1]TrialBalance (Quarter)'!$A:$L,MATCH([1]TBMapping!$C721,'[1]TrialBalance (Quarter)'!A:A,0),MATCH([1]TBMapping!M$3,'[1]TrialBalance (Quarter)'!$7:$7,0)),0)</f>
        <v>0</v>
      </c>
      <c r="M719" s="5">
        <f>IFERROR(INDEX('[1]TrialBalance (Quarter)'!$A:$L,MATCH([1]TBMapping!$C721,'[1]TrialBalance (Quarter)'!A:A,0),MATCH([1]TBMapping!N$3,'[1]TrialBalance (Quarter)'!$7:$7,0)),0)</f>
        <v>0</v>
      </c>
      <c r="N719" s="5">
        <f>IFERROR(INDEX('[1]TrialBalance (Quarter)'!$A:$L,MATCH([1]TBMapping!$C721,'[1]TrialBalance (Quarter)'!A:A,0),MATCH([1]TBMapping!O$3,'[1]TrialBalance (Quarter)'!$7:$7,0)),0)</f>
        <v>0</v>
      </c>
    </row>
    <row r="720" spans="1:14">
      <c r="A720" s="2">
        <v>2</v>
      </c>
      <c r="B720" s="3">
        <v>225450</v>
      </c>
      <c r="C720" s="11" t="s">
        <v>530</v>
      </c>
      <c r="D720" s="11" t="s">
        <v>11</v>
      </c>
      <c r="E720" s="11"/>
      <c r="F720" s="5" t="e">
        <f>IF(DataExtraction="Manual",SUMIF('[1]TrialBalance (YTD)'!$C:$C,B720,'[1]TrialBalance (YTD)'!$E:$E),SUMIF('[1]TrialBalance (YTD)'!$G:$G,B720,'[1]TrialBalance (YTD)'!$I:$I))</f>
        <v>#VALUE!</v>
      </c>
      <c r="G720" s="5">
        <f>IFERROR(INDEX('[1]TrialBalance (YTD)'!$G:$S,MATCH([1]TBMapping!$C722,'[1]TrialBalance (YTD)'!G:G,0),MATCH([1]TBMapping!H$3,'[1]TrialBalance (YTD)'!$G$7:$Z$7,0)),0)</f>
        <v>0</v>
      </c>
      <c r="H720" s="5" t="e">
        <f>SUMIF('[1]TrialBalance (YTD)'!G:G,B720,'[1]TrialBalance (YTD)'!H:H)</f>
        <v>#VALUE!</v>
      </c>
      <c r="I720" s="5">
        <f>IFERROR(INDEX('[1]TrialBalance (YTD)'!$G:$S,MATCH([1]TBMapping!$C722,'[1]TrialBalance (YTD)'!G:G,0),MATCH([1]TBMapping!J$3,'[1]TrialBalance (YTD)'!$G$7:$Z$7,0)),0)</f>
        <v>0</v>
      </c>
      <c r="K720" s="5" t="e">
        <f>SUMIF('[1]TrialBalance (Quarter)'!$A:$A,B720,'[1]TrialBalance (Quarter)'!$B:$B)</f>
        <v>#VALUE!</v>
      </c>
      <c r="L720" s="5">
        <f>IFERROR(INDEX('[1]TrialBalance (Quarter)'!$A:$L,MATCH([1]TBMapping!$C722,'[1]TrialBalance (Quarter)'!A:A,0),MATCH([1]TBMapping!M$3,'[1]TrialBalance (Quarter)'!$7:$7,0)),0)</f>
        <v>0</v>
      </c>
      <c r="M720" s="5">
        <f>IFERROR(INDEX('[1]TrialBalance (Quarter)'!$A:$L,MATCH([1]TBMapping!$C722,'[1]TrialBalance (Quarter)'!A:A,0),MATCH([1]TBMapping!N$3,'[1]TrialBalance (Quarter)'!$7:$7,0)),0)</f>
        <v>0</v>
      </c>
      <c r="N720" s="5">
        <f>IFERROR(INDEX('[1]TrialBalance (Quarter)'!$A:$L,MATCH([1]TBMapping!$C722,'[1]TrialBalance (Quarter)'!A:A,0),MATCH([1]TBMapping!O$3,'[1]TrialBalance (Quarter)'!$7:$7,0)),0)</f>
        <v>0</v>
      </c>
    </row>
    <row r="721" spans="1:14">
      <c r="B721" s="3">
        <v>225999</v>
      </c>
      <c r="C721" s="10" t="s">
        <v>581</v>
      </c>
      <c r="D721" s="10" t="s">
        <v>16</v>
      </c>
      <c r="E721" s="10"/>
      <c r="F721" s="5" t="e">
        <f>IF(DataExtraction="Manual",SUMIF('[1]TrialBalance (YTD)'!$C:$C,B721,'[1]TrialBalance (YTD)'!$E:$E),SUMIF('[1]TrialBalance (YTD)'!$G:$G,B721,'[1]TrialBalance (YTD)'!$I:$I))</f>
        <v>#VALUE!</v>
      </c>
      <c r="G721" s="5">
        <f>IFERROR(INDEX('[1]TrialBalance (YTD)'!$G:$S,MATCH([1]TBMapping!$C723,'[1]TrialBalance (YTD)'!G:G,0),MATCH([1]TBMapping!H$3,'[1]TrialBalance (YTD)'!$G$7:$Z$7,0)),0)</f>
        <v>0</v>
      </c>
      <c r="H721" s="5" t="e">
        <f>SUMIF('[1]TrialBalance (YTD)'!G:G,B721,'[1]TrialBalance (YTD)'!H:H)</f>
        <v>#VALUE!</v>
      </c>
      <c r="I721" s="5">
        <f>IFERROR(INDEX('[1]TrialBalance (YTD)'!$G:$S,MATCH([1]TBMapping!$C723,'[1]TrialBalance (YTD)'!G:G,0),MATCH([1]TBMapping!J$3,'[1]TrialBalance (YTD)'!$G$7:$Z$7,0)),0)</f>
        <v>0</v>
      </c>
      <c r="K721" s="5" t="e">
        <f>SUMIF('[1]TrialBalance (Quarter)'!$A:$A,B721,'[1]TrialBalance (Quarter)'!$B:$B)</f>
        <v>#VALUE!</v>
      </c>
      <c r="L721" s="5">
        <f>IFERROR(INDEX('[1]TrialBalance (Quarter)'!$A:$L,MATCH([1]TBMapping!$C723,'[1]TrialBalance (Quarter)'!A:A,0),MATCH([1]TBMapping!M$3,'[1]TrialBalance (Quarter)'!$7:$7,0)),0)</f>
        <v>0</v>
      </c>
      <c r="M721" s="5">
        <f>IFERROR(INDEX('[1]TrialBalance (Quarter)'!$A:$L,MATCH([1]TBMapping!$C723,'[1]TrialBalance (Quarter)'!A:A,0),MATCH([1]TBMapping!N$3,'[1]TrialBalance (Quarter)'!$7:$7,0)),0)</f>
        <v>0</v>
      </c>
      <c r="N721" s="5">
        <f>IFERROR(INDEX('[1]TrialBalance (Quarter)'!$A:$L,MATCH([1]TBMapping!$C723,'[1]TrialBalance (Quarter)'!A:A,0),MATCH([1]TBMapping!O$3,'[1]TrialBalance (Quarter)'!$7:$7,0)),0)</f>
        <v>0</v>
      </c>
    </row>
    <row r="722" spans="1:14">
      <c r="B722" s="3">
        <v>229999</v>
      </c>
      <c r="C722" s="11" t="s">
        <v>582</v>
      </c>
      <c r="D722" s="11" t="s">
        <v>16</v>
      </c>
      <c r="E722" s="11"/>
      <c r="F722" s="5" t="e">
        <f>IF(DataExtraction="Manual",SUMIF('[1]TrialBalance (YTD)'!$C:$C,B722,'[1]TrialBalance (YTD)'!$E:$E),SUMIF('[1]TrialBalance (YTD)'!$G:$G,B722,'[1]TrialBalance (YTD)'!$I:$I))</f>
        <v>#VALUE!</v>
      </c>
      <c r="G722" s="5">
        <f>IFERROR(INDEX('[1]TrialBalance (YTD)'!$G:$S,MATCH([1]TBMapping!$C724,'[1]TrialBalance (YTD)'!G:G,0),MATCH([1]TBMapping!H$3,'[1]TrialBalance (YTD)'!$G$7:$Z$7,0)),0)</f>
        <v>0</v>
      </c>
      <c r="H722" s="5" t="e">
        <f>SUMIF('[1]TrialBalance (YTD)'!G:G,B722,'[1]TrialBalance (YTD)'!H:H)</f>
        <v>#VALUE!</v>
      </c>
      <c r="I722" s="5">
        <f>IFERROR(INDEX('[1]TrialBalance (YTD)'!$G:$S,MATCH([1]TBMapping!$C724,'[1]TrialBalance (YTD)'!G:G,0),MATCH([1]TBMapping!J$3,'[1]TrialBalance (YTD)'!$G$7:$Z$7,0)),0)</f>
        <v>0</v>
      </c>
      <c r="K722" s="5" t="e">
        <f>SUMIF('[1]TrialBalance (Quarter)'!$A:$A,B722,'[1]TrialBalance (Quarter)'!$B:$B)</f>
        <v>#VALUE!</v>
      </c>
      <c r="L722" s="5">
        <f>IFERROR(INDEX('[1]TrialBalance (Quarter)'!$A:$L,MATCH([1]TBMapping!$C724,'[1]TrialBalance (Quarter)'!A:A,0),MATCH([1]TBMapping!M$3,'[1]TrialBalance (Quarter)'!$7:$7,0)),0)</f>
        <v>0</v>
      </c>
      <c r="M722" s="5">
        <f>IFERROR(INDEX('[1]TrialBalance (Quarter)'!$A:$L,MATCH([1]TBMapping!$C724,'[1]TrialBalance (Quarter)'!A:A,0),MATCH([1]TBMapping!N$3,'[1]TrialBalance (Quarter)'!$7:$7,0)),0)</f>
        <v>0</v>
      </c>
      <c r="N722" s="5">
        <f>IFERROR(INDEX('[1]TrialBalance (Quarter)'!$A:$L,MATCH([1]TBMapping!$C724,'[1]TrialBalance (Quarter)'!A:A,0),MATCH([1]TBMapping!O$3,'[1]TrialBalance (Quarter)'!$7:$7,0)),0)</f>
        <v>0</v>
      </c>
    </row>
    <row r="723" spans="1:14">
      <c r="B723" s="3">
        <v>230000</v>
      </c>
      <c r="C723" s="10" t="s">
        <v>583</v>
      </c>
      <c r="D723" s="10" t="s">
        <v>5</v>
      </c>
      <c r="E723" s="10"/>
      <c r="F723" s="5" t="e">
        <f>IF(DataExtraction="Manual",SUMIF('[1]TrialBalance (YTD)'!$C:$C,B723,'[1]TrialBalance (YTD)'!$E:$E),SUMIF('[1]TrialBalance (YTD)'!$G:$G,B723,'[1]TrialBalance (YTD)'!$I:$I))</f>
        <v>#VALUE!</v>
      </c>
      <c r="G723" s="5">
        <f>IFERROR(INDEX('[1]TrialBalance (YTD)'!$G:$S,MATCH([1]TBMapping!$C725,'[1]TrialBalance (YTD)'!G:G,0),MATCH([1]TBMapping!H$3,'[1]TrialBalance (YTD)'!$G$7:$Z$7,0)),0)</f>
        <v>0</v>
      </c>
      <c r="H723" s="5" t="e">
        <f>SUMIF('[1]TrialBalance (YTD)'!G:G,B723,'[1]TrialBalance (YTD)'!H:H)</f>
        <v>#VALUE!</v>
      </c>
      <c r="I723" s="5">
        <f>IFERROR(INDEX('[1]TrialBalance (YTD)'!$G:$S,MATCH([1]TBMapping!$C725,'[1]TrialBalance (YTD)'!G:G,0),MATCH([1]TBMapping!J$3,'[1]TrialBalance (YTD)'!$G$7:$Z$7,0)),0)</f>
        <v>0</v>
      </c>
      <c r="K723" s="5" t="e">
        <f>SUMIF('[1]TrialBalance (Quarter)'!$A:$A,B723,'[1]TrialBalance (Quarter)'!$B:$B)</f>
        <v>#VALUE!</v>
      </c>
      <c r="L723" s="5">
        <f>IFERROR(INDEX('[1]TrialBalance (Quarter)'!$A:$L,MATCH([1]TBMapping!$C725,'[1]TrialBalance (Quarter)'!A:A,0),MATCH([1]TBMapping!M$3,'[1]TrialBalance (Quarter)'!$7:$7,0)),0)</f>
        <v>0</v>
      </c>
      <c r="M723" s="5">
        <f>IFERROR(INDEX('[1]TrialBalance (Quarter)'!$A:$L,MATCH([1]TBMapping!$C725,'[1]TrialBalance (Quarter)'!A:A,0),MATCH([1]TBMapping!N$3,'[1]TrialBalance (Quarter)'!$7:$7,0)),0)</f>
        <v>0</v>
      </c>
      <c r="N723" s="5">
        <f>IFERROR(INDEX('[1]TrialBalance (Quarter)'!$A:$L,MATCH([1]TBMapping!$C725,'[1]TrialBalance (Quarter)'!A:A,0),MATCH([1]TBMapping!O$3,'[1]TrialBalance (Quarter)'!$7:$7,0)),0)</f>
        <v>0</v>
      </c>
    </row>
    <row r="724" spans="1:14">
      <c r="B724" s="3">
        <v>230100</v>
      </c>
      <c r="C724" s="11" t="s">
        <v>584</v>
      </c>
      <c r="D724" s="11" t="s">
        <v>5</v>
      </c>
      <c r="E724" s="11"/>
      <c r="F724" s="5" t="e">
        <f>IF(DataExtraction="Manual",SUMIF('[1]TrialBalance (YTD)'!$C:$C,B724,'[1]TrialBalance (YTD)'!$E:$E),SUMIF('[1]TrialBalance (YTD)'!$G:$G,B724,'[1]TrialBalance (YTD)'!$I:$I))</f>
        <v>#VALUE!</v>
      </c>
      <c r="G724" s="5">
        <f>IFERROR(INDEX('[1]TrialBalance (YTD)'!$G:$S,MATCH([1]TBMapping!$C726,'[1]TrialBalance (YTD)'!G:G,0),MATCH([1]TBMapping!H$3,'[1]TrialBalance (YTD)'!$G$7:$Z$7,0)),0)</f>
        <v>0</v>
      </c>
      <c r="H724" s="5" t="e">
        <f>SUMIF('[1]TrialBalance (YTD)'!G:G,B724,'[1]TrialBalance (YTD)'!H:H)</f>
        <v>#VALUE!</v>
      </c>
      <c r="I724" s="5">
        <f>IFERROR(INDEX('[1]TrialBalance (YTD)'!$G:$S,MATCH([1]TBMapping!$C726,'[1]TrialBalance (YTD)'!G:G,0),MATCH([1]TBMapping!J$3,'[1]TrialBalance (YTD)'!$G$7:$Z$7,0)),0)</f>
        <v>0</v>
      </c>
      <c r="K724" s="5" t="e">
        <f>SUMIF('[1]TrialBalance (Quarter)'!$A:$A,B724,'[1]TrialBalance (Quarter)'!$B:$B)</f>
        <v>#VALUE!</v>
      </c>
      <c r="L724" s="5">
        <f>IFERROR(INDEX('[1]TrialBalance (Quarter)'!$A:$L,MATCH([1]TBMapping!$C726,'[1]TrialBalance (Quarter)'!A:A,0),MATCH([1]TBMapping!M$3,'[1]TrialBalance (Quarter)'!$7:$7,0)),0)</f>
        <v>0</v>
      </c>
      <c r="M724" s="5">
        <f>IFERROR(INDEX('[1]TrialBalance (Quarter)'!$A:$L,MATCH([1]TBMapping!$C726,'[1]TrialBalance (Quarter)'!A:A,0),MATCH([1]TBMapping!N$3,'[1]TrialBalance (Quarter)'!$7:$7,0)),0)</f>
        <v>0</v>
      </c>
      <c r="N724" s="5">
        <f>IFERROR(INDEX('[1]TrialBalance (Quarter)'!$A:$L,MATCH([1]TBMapping!$C726,'[1]TrialBalance (Quarter)'!A:A,0),MATCH([1]TBMapping!O$3,'[1]TrialBalance (Quarter)'!$7:$7,0)),0)</f>
        <v>0</v>
      </c>
    </row>
    <row r="725" spans="1:14">
      <c r="A725" s="2">
        <v>5</v>
      </c>
      <c r="B725" s="3">
        <v>230110</v>
      </c>
      <c r="C725" s="10" t="s">
        <v>423</v>
      </c>
      <c r="D725" s="10" t="s">
        <v>11</v>
      </c>
      <c r="E725" s="10"/>
      <c r="F725" s="5" t="e">
        <f>IF(DataExtraction="Manual",SUMIF('[1]TrialBalance (YTD)'!$C:$C,B725,'[1]TrialBalance (YTD)'!$E:$E),SUMIF('[1]TrialBalance (YTD)'!$G:$G,B725,'[1]TrialBalance (YTD)'!$I:$I))</f>
        <v>#VALUE!</v>
      </c>
      <c r="G725" s="5">
        <f>IFERROR(INDEX('[1]TrialBalance (YTD)'!$G:$S,MATCH([1]TBMapping!$C727,'[1]TrialBalance (YTD)'!G:G,0),MATCH([1]TBMapping!H$3,'[1]TrialBalance (YTD)'!$G$7:$Z$7,0)),0)</f>
        <v>0</v>
      </c>
      <c r="H725" s="5" t="e">
        <f>SUMIF('[1]TrialBalance (YTD)'!G:G,B725,'[1]TrialBalance (YTD)'!H:H)</f>
        <v>#VALUE!</v>
      </c>
      <c r="I725" s="5">
        <f>IFERROR(INDEX('[1]TrialBalance (YTD)'!$G:$S,MATCH([1]TBMapping!$C727,'[1]TrialBalance (YTD)'!G:G,0),MATCH([1]TBMapping!J$3,'[1]TrialBalance (YTD)'!$G$7:$Z$7,0)),0)</f>
        <v>0</v>
      </c>
      <c r="K725" s="5" t="e">
        <f>SUMIF('[1]TrialBalance (Quarter)'!$A:$A,B725,'[1]TrialBalance (Quarter)'!$B:$B)</f>
        <v>#VALUE!</v>
      </c>
      <c r="L725" s="5">
        <f>IFERROR(INDEX('[1]TrialBalance (Quarter)'!$A:$L,MATCH([1]TBMapping!$C727,'[1]TrialBalance (Quarter)'!A:A,0),MATCH([1]TBMapping!M$3,'[1]TrialBalance (Quarter)'!$7:$7,0)),0)</f>
        <v>0</v>
      </c>
      <c r="M725" s="5">
        <f>IFERROR(INDEX('[1]TrialBalance (Quarter)'!$A:$L,MATCH([1]TBMapping!$C727,'[1]TrialBalance (Quarter)'!A:A,0),MATCH([1]TBMapping!N$3,'[1]TrialBalance (Quarter)'!$7:$7,0)),0)</f>
        <v>0</v>
      </c>
      <c r="N725" s="5">
        <f>IFERROR(INDEX('[1]TrialBalance (Quarter)'!$A:$L,MATCH([1]TBMapping!$C727,'[1]TrialBalance (Quarter)'!A:A,0),MATCH([1]TBMapping!O$3,'[1]TrialBalance (Quarter)'!$7:$7,0)),0)</f>
        <v>0</v>
      </c>
    </row>
    <row r="726" spans="1:14">
      <c r="B726" s="3">
        <v>230199</v>
      </c>
      <c r="C726" s="11" t="s">
        <v>585</v>
      </c>
      <c r="D726" s="11" t="s">
        <v>16</v>
      </c>
      <c r="E726" s="11"/>
      <c r="F726" s="5" t="e">
        <f>IF(DataExtraction="Manual",SUMIF('[1]TrialBalance (YTD)'!$C:$C,B726,'[1]TrialBalance (YTD)'!$E:$E),SUMIF('[1]TrialBalance (YTD)'!$G:$G,B726,'[1]TrialBalance (YTD)'!$I:$I))</f>
        <v>#VALUE!</v>
      </c>
      <c r="G726" s="5">
        <f>IFERROR(INDEX('[1]TrialBalance (YTD)'!$G:$S,MATCH([1]TBMapping!$C728,'[1]TrialBalance (YTD)'!G:G,0),MATCH([1]TBMapping!H$3,'[1]TrialBalance (YTD)'!$G$7:$Z$7,0)),0)</f>
        <v>0</v>
      </c>
      <c r="H726" s="5" t="e">
        <f>SUMIF('[1]TrialBalance (YTD)'!G:G,B726,'[1]TrialBalance (YTD)'!H:H)</f>
        <v>#VALUE!</v>
      </c>
      <c r="I726" s="5">
        <f>IFERROR(INDEX('[1]TrialBalance (YTD)'!$G:$S,MATCH([1]TBMapping!$C728,'[1]TrialBalance (YTD)'!G:G,0),MATCH([1]TBMapping!J$3,'[1]TrialBalance (YTD)'!$G$7:$Z$7,0)),0)</f>
        <v>0</v>
      </c>
      <c r="K726" s="5" t="e">
        <f>SUMIF('[1]TrialBalance (Quarter)'!$A:$A,B726,'[1]TrialBalance (Quarter)'!$B:$B)</f>
        <v>#VALUE!</v>
      </c>
      <c r="L726" s="5">
        <f>IFERROR(INDEX('[1]TrialBalance (Quarter)'!$A:$L,MATCH([1]TBMapping!$C728,'[1]TrialBalance (Quarter)'!A:A,0),MATCH([1]TBMapping!M$3,'[1]TrialBalance (Quarter)'!$7:$7,0)),0)</f>
        <v>0</v>
      </c>
      <c r="M726" s="5">
        <f>IFERROR(INDEX('[1]TrialBalance (Quarter)'!$A:$L,MATCH([1]TBMapping!$C728,'[1]TrialBalance (Quarter)'!A:A,0),MATCH([1]TBMapping!N$3,'[1]TrialBalance (Quarter)'!$7:$7,0)),0)</f>
        <v>0</v>
      </c>
      <c r="N726" s="5">
        <f>IFERROR(INDEX('[1]TrialBalance (Quarter)'!$A:$L,MATCH([1]TBMapping!$C728,'[1]TrialBalance (Quarter)'!A:A,0),MATCH([1]TBMapping!O$3,'[1]TrialBalance (Quarter)'!$7:$7,0)),0)</f>
        <v>0</v>
      </c>
    </row>
    <row r="727" spans="1:14">
      <c r="A727" s="2">
        <v>5</v>
      </c>
      <c r="B727" s="3">
        <v>230200</v>
      </c>
      <c r="C727" s="10" t="s">
        <v>518</v>
      </c>
      <c r="D727" s="10" t="s">
        <v>11</v>
      </c>
      <c r="E727" s="10"/>
      <c r="F727" s="5" t="e">
        <f>IF(DataExtraction="Manual",SUMIF('[1]TrialBalance (YTD)'!$C:$C,B727,'[1]TrialBalance (YTD)'!$E:$E),SUMIF('[1]TrialBalance (YTD)'!$G:$G,B727,'[1]TrialBalance (YTD)'!$I:$I))</f>
        <v>#VALUE!</v>
      </c>
      <c r="G727" s="5">
        <f>IFERROR(INDEX('[1]TrialBalance (YTD)'!$G:$S,MATCH([1]TBMapping!$C729,'[1]TrialBalance (YTD)'!G:G,0),MATCH([1]TBMapping!H$3,'[1]TrialBalance (YTD)'!$G$7:$Z$7,0)),0)</f>
        <v>0</v>
      </c>
      <c r="H727" s="5" t="e">
        <f>SUMIF('[1]TrialBalance (YTD)'!G:G,B727,'[1]TrialBalance (YTD)'!H:H)</f>
        <v>#VALUE!</v>
      </c>
      <c r="I727" s="5">
        <f>IFERROR(INDEX('[1]TrialBalance (YTD)'!$G:$S,MATCH([1]TBMapping!$C729,'[1]TrialBalance (YTD)'!G:G,0),MATCH([1]TBMapping!J$3,'[1]TrialBalance (YTD)'!$G$7:$Z$7,0)),0)</f>
        <v>0</v>
      </c>
      <c r="K727" s="5" t="e">
        <f>SUMIF('[1]TrialBalance (Quarter)'!$A:$A,B727,'[1]TrialBalance (Quarter)'!$B:$B)</f>
        <v>#VALUE!</v>
      </c>
      <c r="L727" s="5">
        <f>IFERROR(INDEX('[1]TrialBalance (Quarter)'!$A:$L,MATCH([1]TBMapping!$C729,'[1]TrialBalance (Quarter)'!A:A,0),MATCH([1]TBMapping!M$3,'[1]TrialBalance (Quarter)'!$7:$7,0)),0)</f>
        <v>0</v>
      </c>
      <c r="M727" s="5">
        <f>IFERROR(INDEX('[1]TrialBalance (Quarter)'!$A:$L,MATCH([1]TBMapping!$C729,'[1]TrialBalance (Quarter)'!A:A,0),MATCH([1]TBMapping!N$3,'[1]TrialBalance (Quarter)'!$7:$7,0)),0)</f>
        <v>0</v>
      </c>
      <c r="N727" s="5">
        <f>IFERROR(INDEX('[1]TrialBalance (Quarter)'!$A:$L,MATCH([1]TBMapping!$C729,'[1]TrialBalance (Quarter)'!A:A,0),MATCH([1]TBMapping!O$3,'[1]TrialBalance (Quarter)'!$7:$7,0)),0)</f>
        <v>0</v>
      </c>
    </row>
    <row r="728" spans="1:14">
      <c r="A728" s="2">
        <v>5</v>
      </c>
      <c r="B728" s="3">
        <v>230210</v>
      </c>
      <c r="C728" s="11" t="s">
        <v>586</v>
      </c>
      <c r="D728" s="11" t="s">
        <v>11</v>
      </c>
      <c r="E728" s="11"/>
      <c r="F728" s="5" t="e">
        <f>IF(DataExtraction="Manual",SUMIF('[1]TrialBalance (YTD)'!$C:$C,B728,'[1]TrialBalance (YTD)'!$E:$E),SUMIF('[1]TrialBalance (YTD)'!$G:$G,B728,'[1]TrialBalance (YTD)'!$I:$I))</f>
        <v>#VALUE!</v>
      </c>
      <c r="G728" s="5">
        <f>IFERROR(INDEX('[1]TrialBalance (YTD)'!$G:$S,MATCH([1]TBMapping!$C730,'[1]TrialBalance (YTD)'!G:G,0),MATCH([1]TBMapping!H$3,'[1]TrialBalance (YTD)'!$G$7:$Z$7,0)),0)</f>
        <v>0</v>
      </c>
      <c r="H728" s="5" t="e">
        <f>SUMIF('[1]TrialBalance (YTD)'!G:G,B728,'[1]TrialBalance (YTD)'!H:H)</f>
        <v>#VALUE!</v>
      </c>
      <c r="I728" s="5">
        <f>IFERROR(INDEX('[1]TrialBalance (YTD)'!$G:$S,MATCH([1]TBMapping!$C730,'[1]TrialBalance (YTD)'!G:G,0),MATCH([1]TBMapping!J$3,'[1]TrialBalance (YTD)'!$G$7:$Z$7,0)),0)</f>
        <v>0</v>
      </c>
      <c r="K728" s="5" t="e">
        <f>SUMIF('[1]TrialBalance (Quarter)'!$A:$A,B728,'[1]TrialBalance (Quarter)'!$B:$B)</f>
        <v>#VALUE!</v>
      </c>
      <c r="L728" s="5">
        <f>IFERROR(INDEX('[1]TrialBalance (Quarter)'!$A:$L,MATCH([1]TBMapping!$C730,'[1]TrialBalance (Quarter)'!A:A,0),MATCH([1]TBMapping!M$3,'[1]TrialBalance (Quarter)'!$7:$7,0)),0)</f>
        <v>0</v>
      </c>
      <c r="M728" s="5">
        <f>IFERROR(INDEX('[1]TrialBalance (Quarter)'!$A:$L,MATCH([1]TBMapping!$C730,'[1]TrialBalance (Quarter)'!A:A,0),MATCH([1]TBMapping!N$3,'[1]TrialBalance (Quarter)'!$7:$7,0)),0)</f>
        <v>0</v>
      </c>
      <c r="N728" s="5">
        <f>IFERROR(INDEX('[1]TrialBalance (Quarter)'!$A:$L,MATCH([1]TBMapping!$C730,'[1]TrialBalance (Quarter)'!A:A,0),MATCH([1]TBMapping!O$3,'[1]TrialBalance (Quarter)'!$7:$7,0)),0)</f>
        <v>0</v>
      </c>
    </row>
    <row r="729" spans="1:14">
      <c r="A729" s="2">
        <v>5</v>
      </c>
      <c r="B729" s="3">
        <v>230211</v>
      </c>
      <c r="C729" s="10" t="s">
        <v>587</v>
      </c>
      <c r="D729" s="10" t="s">
        <v>11</v>
      </c>
      <c r="E729" s="10"/>
      <c r="F729" s="5" t="e">
        <f>IF(DataExtraction="Manual",SUMIF('[1]TrialBalance (YTD)'!$C:$C,B729,'[1]TrialBalance (YTD)'!$E:$E),SUMIF('[1]TrialBalance (YTD)'!$G:$G,B729,'[1]TrialBalance (YTD)'!$I:$I))</f>
        <v>#VALUE!</v>
      </c>
      <c r="G729" s="5">
        <f>IFERROR(INDEX('[1]TrialBalance (YTD)'!$G:$S,MATCH([1]TBMapping!$C731,'[1]TrialBalance (YTD)'!G:G,0),MATCH([1]TBMapping!H$3,'[1]TrialBalance (YTD)'!$G$7:$Z$7,0)),0)</f>
        <v>0</v>
      </c>
      <c r="H729" s="5" t="e">
        <f>SUMIF('[1]TrialBalance (YTD)'!G:G,B729,'[1]TrialBalance (YTD)'!H:H)</f>
        <v>#VALUE!</v>
      </c>
      <c r="I729" s="5">
        <f>IFERROR(INDEX('[1]TrialBalance (YTD)'!$G:$S,MATCH([1]TBMapping!$C731,'[1]TrialBalance (YTD)'!G:G,0),MATCH([1]TBMapping!J$3,'[1]TrialBalance (YTD)'!$G$7:$Z$7,0)),0)</f>
        <v>0</v>
      </c>
      <c r="K729" s="5" t="e">
        <f>SUMIF('[1]TrialBalance (Quarter)'!$A:$A,B729,'[1]TrialBalance (Quarter)'!$B:$B)</f>
        <v>#VALUE!</v>
      </c>
      <c r="L729" s="5">
        <f>IFERROR(INDEX('[1]TrialBalance (Quarter)'!$A:$L,MATCH([1]TBMapping!$C731,'[1]TrialBalance (Quarter)'!A:A,0),MATCH([1]TBMapping!M$3,'[1]TrialBalance (Quarter)'!$7:$7,0)),0)</f>
        <v>0</v>
      </c>
      <c r="M729" s="5">
        <f>IFERROR(INDEX('[1]TrialBalance (Quarter)'!$A:$L,MATCH([1]TBMapping!$C731,'[1]TrialBalance (Quarter)'!A:A,0),MATCH([1]TBMapping!N$3,'[1]TrialBalance (Quarter)'!$7:$7,0)),0)</f>
        <v>0</v>
      </c>
      <c r="N729" s="5">
        <f>IFERROR(INDEX('[1]TrialBalance (Quarter)'!$A:$L,MATCH([1]TBMapping!$C731,'[1]TrialBalance (Quarter)'!A:A,0),MATCH([1]TBMapping!O$3,'[1]TrialBalance (Quarter)'!$7:$7,0)),0)</f>
        <v>0</v>
      </c>
    </row>
    <row r="730" spans="1:14">
      <c r="A730" s="2">
        <v>5</v>
      </c>
      <c r="B730" s="3">
        <v>230212</v>
      </c>
      <c r="C730" s="11" t="s">
        <v>588</v>
      </c>
      <c r="D730" s="11" t="s">
        <v>11</v>
      </c>
      <c r="E730" s="11"/>
      <c r="F730" s="5" t="e">
        <f>IF(DataExtraction="Manual",SUMIF('[1]TrialBalance (YTD)'!$C:$C,B730,'[1]TrialBalance (YTD)'!$E:$E),SUMIF('[1]TrialBalance (YTD)'!$G:$G,B730,'[1]TrialBalance (YTD)'!$I:$I))</f>
        <v>#VALUE!</v>
      </c>
      <c r="G730" s="5">
        <f>IFERROR(INDEX('[1]TrialBalance (YTD)'!$G:$S,MATCH([1]TBMapping!$C732,'[1]TrialBalance (YTD)'!G:G,0),MATCH([1]TBMapping!H$3,'[1]TrialBalance (YTD)'!$G$7:$Z$7,0)),0)</f>
        <v>0</v>
      </c>
      <c r="H730" s="5" t="e">
        <f>SUMIF('[1]TrialBalance (YTD)'!G:G,B730,'[1]TrialBalance (YTD)'!H:H)</f>
        <v>#VALUE!</v>
      </c>
      <c r="I730" s="5">
        <f>IFERROR(INDEX('[1]TrialBalance (YTD)'!$G:$S,MATCH([1]TBMapping!$C732,'[1]TrialBalance (YTD)'!G:G,0),MATCH([1]TBMapping!J$3,'[1]TrialBalance (YTD)'!$G$7:$Z$7,0)),0)</f>
        <v>0</v>
      </c>
      <c r="K730" s="5" t="e">
        <f>SUMIF('[1]TrialBalance (Quarter)'!$A:$A,B730,'[1]TrialBalance (Quarter)'!$B:$B)</f>
        <v>#VALUE!</v>
      </c>
      <c r="L730" s="5">
        <f>IFERROR(INDEX('[1]TrialBalance (Quarter)'!$A:$L,MATCH([1]TBMapping!$C732,'[1]TrialBalance (Quarter)'!A:A,0),MATCH([1]TBMapping!M$3,'[1]TrialBalance (Quarter)'!$7:$7,0)),0)</f>
        <v>0</v>
      </c>
      <c r="M730" s="5">
        <f>IFERROR(INDEX('[1]TrialBalance (Quarter)'!$A:$L,MATCH([1]TBMapping!$C732,'[1]TrialBalance (Quarter)'!A:A,0),MATCH([1]TBMapping!N$3,'[1]TrialBalance (Quarter)'!$7:$7,0)),0)</f>
        <v>0</v>
      </c>
      <c r="N730" s="5">
        <f>IFERROR(INDEX('[1]TrialBalance (Quarter)'!$A:$L,MATCH([1]TBMapping!$C732,'[1]TrialBalance (Quarter)'!A:A,0),MATCH([1]TBMapping!O$3,'[1]TrialBalance (Quarter)'!$7:$7,0)),0)</f>
        <v>0</v>
      </c>
    </row>
    <row r="731" spans="1:14">
      <c r="A731" s="2">
        <v>5</v>
      </c>
      <c r="B731" s="3">
        <v>230213</v>
      </c>
      <c r="C731" s="10" t="s">
        <v>589</v>
      </c>
      <c r="D731" s="10" t="s">
        <v>11</v>
      </c>
      <c r="E731" s="10"/>
      <c r="F731" s="5" t="e">
        <f>IF(DataExtraction="Manual",SUMIF('[1]TrialBalance (YTD)'!$C:$C,B731,'[1]TrialBalance (YTD)'!$E:$E),SUMIF('[1]TrialBalance (YTD)'!$G:$G,B731,'[1]TrialBalance (YTD)'!$I:$I))</f>
        <v>#VALUE!</v>
      </c>
      <c r="G731" s="5">
        <f>IFERROR(INDEX('[1]TrialBalance (YTD)'!$G:$S,MATCH([1]TBMapping!$C733,'[1]TrialBalance (YTD)'!G:G,0),MATCH([1]TBMapping!H$3,'[1]TrialBalance (YTD)'!$G$7:$Z$7,0)),0)</f>
        <v>0</v>
      </c>
      <c r="H731" s="5" t="e">
        <f>SUMIF('[1]TrialBalance (YTD)'!G:G,B731,'[1]TrialBalance (YTD)'!H:H)</f>
        <v>#VALUE!</v>
      </c>
      <c r="I731" s="5">
        <f>IFERROR(INDEX('[1]TrialBalance (YTD)'!$G:$S,MATCH([1]TBMapping!$C733,'[1]TrialBalance (YTD)'!G:G,0),MATCH([1]TBMapping!J$3,'[1]TrialBalance (YTD)'!$G$7:$Z$7,0)),0)</f>
        <v>0</v>
      </c>
      <c r="K731" s="5" t="e">
        <f>SUMIF('[1]TrialBalance (Quarter)'!$A:$A,B731,'[1]TrialBalance (Quarter)'!$B:$B)</f>
        <v>#VALUE!</v>
      </c>
      <c r="L731" s="5">
        <f>IFERROR(INDEX('[1]TrialBalance (Quarter)'!$A:$L,MATCH([1]TBMapping!$C733,'[1]TrialBalance (Quarter)'!A:A,0),MATCH([1]TBMapping!M$3,'[1]TrialBalance (Quarter)'!$7:$7,0)),0)</f>
        <v>0</v>
      </c>
      <c r="M731" s="5">
        <f>IFERROR(INDEX('[1]TrialBalance (Quarter)'!$A:$L,MATCH([1]TBMapping!$C733,'[1]TrialBalance (Quarter)'!A:A,0),MATCH([1]TBMapping!N$3,'[1]TrialBalance (Quarter)'!$7:$7,0)),0)</f>
        <v>0</v>
      </c>
      <c r="N731" s="5">
        <f>IFERROR(INDEX('[1]TrialBalance (Quarter)'!$A:$L,MATCH([1]TBMapping!$C733,'[1]TrialBalance (Quarter)'!A:A,0),MATCH([1]TBMapping!O$3,'[1]TrialBalance (Quarter)'!$7:$7,0)),0)</f>
        <v>0</v>
      </c>
    </row>
    <row r="732" spans="1:14">
      <c r="A732" s="2">
        <v>5</v>
      </c>
      <c r="B732" s="3">
        <v>230214</v>
      </c>
      <c r="C732" s="11" t="s">
        <v>590</v>
      </c>
      <c r="D732" s="11" t="s">
        <v>11</v>
      </c>
      <c r="E732" s="11"/>
      <c r="F732" s="5" t="e">
        <f>IF(DataExtraction="Manual",SUMIF('[1]TrialBalance (YTD)'!$C:$C,B732,'[1]TrialBalance (YTD)'!$E:$E),SUMIF('[1]TrialBalance (YTD)'!$G:$G,B732,'[1]TrialBalance (YTD)'!$I:$I))</f>
        <v>#VALUE!</v>
      </c>
      <c r="G732" s="5">
        <f>IFERROR(INDEX('[1]TrialBalance (YTD)'!$G:$S,MATCH([1]TBMapping!$C734,'[1]TrialBalance (YTD)'!G:G,0),MATCH([1]TBMapping!H$3,'[1]TrialBalance (YTD)'!$G$7:$Z$7,0)),0)</f>
        <v>0</v>
      </c>
      <c r="H732" s="5" t="e">
        <f>SUMIF('[1]TrialBalance (YTD)'!G:G,B732,'[1]TrialBalance (YTD)'!H:H)</f>
        <v>#VALUE!</v>
      </c>
      <c r="I732" s="5">
        <f>IFERROR(INDEX('[1]TrialBalance (YTD)'!$G:$S,MATCH([1]TBMapping!$C734,'[1]TrialBalance (YTD)'!G:G,0),MATCH([1]TBMapping!J$3,'[1]TrialBalance (YTD)'!$G$7:$Z$7,0)),0)</f>
        <v>0</v>
      </c>
      <c r="K732" s="5" t="e">
        <f>SUMIF('[1]TrialBalance (Quarter)'!$A:$A,B732,'[1]TrialBalance (Quarter)'!$B:$B)</f>
        <v>#VALUE!</v>
      </c>
      <c r="L732" s="5">
        <f>IFERROR(INDEX('[1]TrialBalance (Quarter)'!$A:$L,MATCH([1]TBMapping!$C734,'[1]TrialBalance (Quarter)'!A:A,0),MATCH([1]TBMapping!M$3,'[1]TrialBalance (Quarter)'!$7:$7,0)),0)</f>
        <v>0</v>
      </c>
      <c r="M732" s="5">
        <f>IFERROR(INDEX('[1]TrialBalance (Quarter)'!$A:$L,MATCH([1]TBMapping!$C734,'[1]TrialBalance (Quarter)'!A:A,0),MATCH([1]TBMapping!N$3,'[1]TrialBalance (Quarter)'!$7:$7,0)),0)</f>
        <v>0</v>
      </c>
      <c r="N732" s="5">
        <f>IFERROR(INDEX('[1]TrialBalance (Quarter)'!$A:$L,MATCH([1]TBMapping!$C734,'[1]TrialBalance (Quarter)'!A:A,0),MATCH([1]TBMapping!O$3,'[1]TrialBalance (Quarter)'!$7:$7,0)),0)</f>
        <v>0</v>
      </c>
    </row>
    <row r="733" spans="1:14">
      <c r="B733" s="3">
        <v>231000</v>
      </c>
      <c r="C733" s="10" t="s">
        <v>591</v>
      </c>
      <c r="D733" s="10" t="s">
        <v>5</v>
      </c>
      <c r="E733" s="10"/>
      <c r="F733" s="5" t="e">
        <f>IF(DataExtraction="Manual",SUMIF('[1]TrialBalance (YTD)'!$C:$C,B733,'[1]TrialBalance (YTD)'!$E:$E),SUMIF('[1]TrialBalance (YTD)'!$G:$G,B733,'[1]TrialBalance (YTD)'!$I:$I))</f>
        <v>#VALUE!</v>
      </c>
      <c r="G733" s="5">
        <f>IFERROR(INDEX('[1]TrialBalance (YTD)'!$G:$S,MATCH([1]TBMapping!$C735,'[1]TrialBalance (YTD)'!G:G,0),MATCH([1]TBMapping!H$3,'[1]TrialBalance (YTD)'!$G$7:$Z$7,0)),0)</f>
        <v>0</v>
      </c>
      <c r="H733" s="5" t="e">
        <f>SUMIF('[1]TrialBalance (YTD)'!G:G,B733,'[1]TrialBalance (YTD)'!H:H)</f>
        <v>#VALUE!</v>
      </c>
      <c r="I733" s="5">
        <f>IFERROR(INDEX('[1]TrialBalance (YTD)'!$G:$S,MATCH([1]TBMapping!$C735,'[1]TrialBalance (YTD)'!G:G,0),MATCH([1]TBMapping!J$3,'[1]TrialBalance (YTD)'!$G$7:$Z$7,0)),0)</f>
        <v>0</v>
      </c>
      <c r="K733" s="5" t="e">
        <f>SUMIF('[1]TrialBalance (Quarter)'!$A:$A,B733,'[1]TrialBalance (Quarter)'!$B:$B)</f>
        <v>#VALUE!</v>
      </c>
      <c r="L733" s="5">
        <f>IFERROR(INDEX('[1]TrialBalance (Quarter)'!$A:$L,MATCH([1]TBMapping!$C735,'[1]TrialBalance (Quarter)'!A:A,0),MATCH([1]TBMapping!M$3,'[1]TrialBalance (Quarter)'!$7:$7,0)),0)</f>
        <v>0</v>
      </c>
      <c r="M733" s="5">
        <f>IFERROR(INDEX('[1]TrialBalance (Quarter)'!$A:$L,MATCH([1]TBMapping!$C735,'[1]TrialBalance (Quarter)'!A:A,0),MATCH([1]TBMapping!N$3,'[1]TrialBalance (Quarter)'!$7:$7,0)),0)</f>
        <v>0</v>
      </c>
      <c r="N733" s="5">
        <f>IFERROR(INDEX('[1]TrialBalance (Quarter)'!$A:$L,MATCH([1]TBMapping!$C735,'[1]TrialBalance (Quarter)'!A:A,0),MATCH([1]TBMapping!O$3,'[1]TrialBalance (Quarter)'!$7:$7,0)),0)</f>
        <v>0</v>
      </c>
    </row>
    <row r="734" spans="1:14">
      <c r="A734" s="2">
        <v>4</v>
      </c>
      <c r="B734" s="3">
        <v>231110</v>
      </c>
      <c r="C734" s="11" t="s">
        <v>507</v>
      </c>
      <c r="D734" s="11" t="s">
        <v>11</v>
      </c>
      <c r="E734" s="11"/>
      <c r="F734" s="5" t="e">
        <f>IF(DataExtraction="Manual",SUMIF('[1]TrialBalance (YTD)'!$C:$C,B734,'[1]TrialBalance (YTD)'!$E:$E),SUMIF('[1]TrialBalance (YTD)'!$G:$G,B734,'[1]TrialBalance (YTD)'!$I:$I))</f>
        <v>#VALUE!</v>
      </c>
      <c r="G734" s="5">
        <f>IFERROR(INDEX('[1]TrialBalance (YTD)'!$G:$S,MATCH([1]TBMapping!$C736,'[1]TrialBalance (YTD)'!G:G,0),MATCH([1]TBMapping!H$3,'[1]TrialBalance (YTD)'!$G$7:$Z$7,0)),0)</f>
        <v>0</v>
      </c>
      <c r="H734" s="5" t="e">
        <f>SUMIF('[1]TrialBalance (YTD)'!G:G,B734,'[1]TrialBalance (YTD)'!H:H)</f>
        <v>#VALUE!</v>
      </c>
      <c r="I734" s="5">
        <f>IFERROR(INDEX('[1]TrialBalance (YTD)'!$G:$S,MATCH([1]TBMapping!$C736,'[1]TrialBalance (YTD)'!G:G,0),MATCH([1]TBMapping!J$3,'[1]TrialBalance (YTD)'!$G$7:$Z$7,0)),0)</f>
        <v>0</v>
      </c>
      <c r="K734" s="5" t="e">
        <f>SUMIF('[1]TrialBalance (Quarter)'!$A:$A,B734,'[1]TrialBalance (Quarter)'!$B:$B)</f>
        <v>#VALUE!</v>
      </c>
      <c r="L734" s="5">
        <f>IFERROR(INDEX('[1]TrialBalance (Quarter)'!$A:$L,MATCH([1]TBMapping!$C736,'[1]TrialBalance (Quarter)'!A:A,0),MATCH([1]TBMapping!M$3,'[1]TrialBalance (Quarter)'!$7:$7,0)),0)</f>
        <v>0</v>
      </c>
      <c r="M734" s="5">
        <f>IFERROR(INDEX('[1]TrialBalance (Quarter)'!$A:$L,MATCH([1]TBMapping!$C736,'[1]TrialBalance (Quarter)'!A:A,0),MATCH([1]TBMapping!N$3,'[1]TrialBalance (Quarter)'!$7:$7,0)),0)</f>
        <v>0</v>
      </c>
      <c r="N734" s="5">
        <f>IFERROR(INDEX('[1]TrialBalance (Quarter)'!$A:$L,MATCH([1]TBMapping!$C736,'[1]TrialBalance (Quarter)'!A:A,0),MATCH([1]TBMapping!O$3,'[1]TrialBalance (Quarter)'!$7:$7,0)),0)</f>
        <v>0</v>
      </c>
    </row>
    <row r="735" spans="1:14">
      <c r="A735" s="2">
        <v>4</v>
      </c>
      <c r="B735" s="3">
        <v>231120</v>
      </c>
      <c r="C735" s="10" t="s">
        <v>509</v>
      </c>
      <c r="D735" s="10" t="s">
        <v>11</v>
      </c>
      <c r="E735" s="10"/>
      <c r="F735" s="5" t="e">
        <f>IF(DataExtraction="Manual",SUMIF('[1]TrialBalance (YTD)'!$C:$C,B735,'[1]TrialBalance (YTD)'!$E:$E),SUMIF('[1]TrialBalance (YTD)'!$G:$G,B735,'[1]TrialBalance (YTD)'!$I:$I))</f>
        <v>#VALUE!</v>
      </c>
      <c r="G735" s="5">
        <f>IFERROR(INDEX('[1]TrialBalance (YTD)'!$G:$S,MATCH([1]TBMapping!$C737,'[1]TrialBalance (YTD)'!G:G,0),MATCH([1]TBMapping!H$3,'[1]TrialBalance (YTD)'!$G$7:$Z$7,0)),0)</f>
        <v>0</v>
      </c>
      <c r="H735" s="5" t="e">
        <f>SUMIF('[1]TrialBalance (YTD)'!G:G,B735,'[1]TrialBalance (YTD)'!H:H)</f>
        <v>#VALUE!</v>
      </c>
      <c r="I735" s="5">
        <f>IFERROR(INDEX('[1]TrialBalance (YTD)'!$G:$S,MATCH([1]TBMapping!$C737,'[1]TrialBalance (YTD)'!G:G,0),MATCH([1]TBMapping!J$3,'[1]TrialBalance (YTD)'!$G$7:$Z$7,0)),0)</f>
        <v>0</v>
      </c>
      <c r="K735" s="5" t="e">
        <f>SUMIF('[1]TrialBalance (Quarter)'!$A:$A,B735,'[1]TrialBalance (Quarter)'!$B:$B)</f>
        <v>#VALUE!</v>
      </c>
      <c r="L735" s="5">
        <f>IFERROR(INDEX('[1]TrialBalance (Quarter)'!$A:$L,MATCH([1]TBMapping!$C737,'[1]TrialBalance (Quarter)'!A:A,0),MATCH([1]TBMapping!M$3,'[1]TrialBalance (Quarter)'!$7:$7,0)),0)</f>
        <v>0</v>
      </c>
      <c r="M735" s="5">
        <f>IFERROR(INDEX('[1]TrialBalance (Quarter)'!$A:$L,MATCH([1]TBMapping!$C737,'[1]TrialBalance (Quarter)'!A:A,0),MATCH([1]TBMapping!N$3,'[1]TrialBalance (Quarter)'!$7:$7,0)),0)</f>
        <v>0</v>
      </c>
      <c r="N735" s="5">
        <f>IFERROR(INDEX('[1]TrialBalance (Quarter)'!$A:$L,MATCH([1]TBMapping!$C737,'[1]TrialBalance (Quarter)'!A:A,0),MATCH([1]TBMapping!O$3,'[1]TrialBalance (Quarter)'!$7:$7,0)),0)</f>
        <v>0</v>
      </c>
    </row>
    <row r="736" spans="1:14">
      <c r="A736" s="2">
        <v>4</v>
      </c>
      <c r="B736" s="3">
        <v>231130</v>
      </c>
      <c r="C736" s="11" t="s">
        <v>510</v>
      </c>
      <c r="D736" s="11" t="s">
        <v>11</v>
      </c>
      <c r="E736" s="11"/>
      <c r="F736" s="5" t="e">
        <f>IF(DataExtraction="Manual",SUMIF('[1]TrialBalance (YTD)'!$C:$C,B736,'[1]TrialBalance (YTD)'!$E:$E),SUMIF('[1]TrialBalance (YTD)'!$G:$G,B736,'[1]TrialBalance (YTD)'!$I:$I))</f>
        <v>#VALUE!</v>
      </c>
      <c r="G736" s="5">
        <f>IFERROR(INDEX('[1]TrialBalance (YTD)'!$G:$S,MATCH([1]TBMapping!$C738,'[1]TrialBalance (YTD)'!G:G,0),MATCH([1]TBMapping!H$3,'[1]TrialBalance (YTD)'!$G$7:$Z$7,0)),0)</f>
        <v>0</v>
      </c>
      <c r="H736" s="5" t="e">
        <f>SUMIF('[1]TrialBalance (YTD)'!G:G,B736,'[1]TrialBalance (YTD)'!H:H)</f>
        <v>#VALUE!</v>
      </c>
      <c r="I736" s="5">
        <f>IFERROR(INDEX('[1]TrialBalance (YTD)'!$G:$S,MATCH([1]TBMapping!$C738,'[1]TrialBalance (YTD)'!G:G,0),MATCH([1]TBMapping!J$3,'[1]TrialBalance (YTD)'!$G$7:$Z$7,0)),0)</f>
        <v>0</v>
      </c>
      <c r="K736" s="5" t="e">
        <f>SUMIF('[1]TrialBalance (Quarter)'!$A:$A,B736,'[1]TrialBalance (Quarter)'!$B:$B)</f>
        <v>#VALUE!</v>
      </c>
      <c r="L736" s="5">
        <f>IFERROR(INDEX('[1]TrialBalance (Quarter)'!$A:$L,MATCH([1]TBMapping!$C738,'[1]TrialBalance (Quarter)'!A:A,0),MATCH([1]TBMapping!M$3,'[1]TrialBalance (Quarter)'!$7:$7,0)),0)</f>
        <v>0</v>
      </c>
      <c r="M736" s="5">
        <f>IFERROR(INDEX('[1]TrialBalance (Quarter)'!$A:$L,MATCH([1]TBMapping!$C738,'[1]TrialBalance (Quarter)'!A:A,0),MATCH([1]TBMapping!N$3,'[1]TrialBalance (Quarter)'!$7:$7,0)),0)</f>
        <v>0</v>
      </c>
      <c r="N736" s="5">
        <f>IFERROR(INDEX('[1]TrialBalance (Quarter)'!$A:$L,MATCH([1]TBMapping!$C738,'[1]TrialBalance (Quarter)'!A:A,0),MATCH([1]TBMapping!O$3,'[1]TrialBalance (Quarter)'!$7:$7,0)),0)</f>
        <v>0</v>
      </c>
    </row>
    <row r="737" spans="1:14">
      <c r="A737" s="2">
        <v>4</v>
      </c>
      <c r="B737" s="3">
        <v>231150</v>
      </c>
      <c r="C737" s="10" t="s">
        <v>592</v>
      </c>
      <c r="D737" s="10" t="s">
        <v>11</v>
      </c>
      <c r="E737" s="10"/>
      <c r="F737" s="5" t="e">
        <f>IF(DataExtraction="Manual",SUMIF('[1]TrialBalance (YTD)'!$C:$C,B737,'[1]TrialBalance (YTD)'!$E:$E),SUMIF('[1]TrialBalance (YTD)'!$G:$G,B737,'[1]TrialBalance (YTD)'!$I:$I))</f>
        <v>#VALUE!</v>
      </c>
      <c r="G737" s="5">
        <f>IFERROR(INDEX('[1]TrialBalance (YTD)'!$G:$S,MATCH([1]TBMapping!$C739,'[1]TrialBalance (YTD)'!G:G,0),MATCH([1]TBMapping!H$3,'[1]TrialBalance (YTD)'!$G$7:$Z$7,0)),0)</f>
        <v>0</v>
      </c>
      <c r="H737" s="5" t="e">
        <f>SUMIF('[1]TrialBalance (YTD)'!G:G,B737,'[1]TrialBalance (YTD)'!H:H)</f>
        <v>#VALUE!</v>
      </c>
      <c r="I737" s="5">
        <f>IFERROR(INDEX('[1]TrialBalance (YTD)'!$G:$S,MATCH([1]TBMapping!$C739,'[1]TrialBalance (YTD)'!G:G,0),MATCH([1]TBMapping!J$3,'[1]TrialBalance (YTD)'!$G$7:$Z$7,0)),0)</f>
        <v>0</v>
      </c>
      <c r="K737" s="5" t="e">
        <f>SUMIF('[1]TrialBalance (Quarter)'!$A:$A,B737,'[1]TrialBalance (Quarter)'!$B:$B)</f>
        <v>#VALUE!</v>
      </c>
      <c r="L737" s="5">
        <f>IFERROR(INDEX('[1]TrialBalance (Quarter)'!$A:$L,MATCH([1]TBMapping!$C739,'[1]TrialBalance (Quarter)'!A:A,0),MATCH([1]TBMapping!M$3,'[1]TrialBalance (Quarter)'!$7:$7,0)),0)</f>
        <v>0</v>
      </c>
      <c r="M737" s="5">
        <f>IFERROR(INDEX('[1]TrialBalance (Quarter)'!$A:$L,MATCH([1]TBMapping!$C739,'[1]TrialBalance (Quarter)'!A:A,0),MATCH([1]TBMapping!N$3,'[1]TrialBalance (Quarter)'!$7:$7,0)),0)</f>
        <v>0</v>
      </c>
      <c r="N737" s="5">
        <f>IFERROR(INDEX('[1]TrialBalance (Quarter)'!$A:$L,MATCH([1]TBMapping!$C739,'[1]TrialBalance (Quarter)'!A:A,0),MATCH([1]TBMapping!O$3,'[1]TrialBalance (Quarter)'!$7:$7,0)),0)</f>
        <v>0</v>
      </c>
    </row>
    <row r="738" spans="1:14">
      <c r="A738" s="2">
        <v>4</v>
      </c>
      <c r="B738" s="3">
        <v>231210</v>
      </c>
      <c r="C738" s="11" t="s">
        <v>579</v>
      </c>
      <c r="D738" s="11" t="s">
        <v>11</v>
      </c>
      <c r="E738" s="11"/>
      <c r="F738" s="5" t="e">
        <f>IF(DataExtraction="Manual",SUMIF('[1]TrialBalance (YTD)'!$C:$C,B738,'[1]TrialBalance (YTD)'!$E:$E),SUMIF('[1]TrialBalance (YTD)'!$G:$G,B738,'[1]TrialBalance (YTD)'!$I:$I))</f>
        <v>#VALUE!</v>
      </c>
      <c r="G738" s="5">
        <f>IFERROR(INDEX('[1]TrialBalance (YTD)'!$G:$S,MATCH([1]TBMapping!$C740,'[1]TrialBalance (YTD)'!G:G,0),MATCH([1]TBMapping!H$3,'[1]TrialBalance (YTD)'!$G$7:$Z$7,0)),0)</f>
        <v>0</v>
      </c>
      <c r="H738" s="5" t="e">
        <f>SUMIF('[1]TrialBalance (YTD)'!G:G,B738,'[1]TrialBalance (YTD)'!H:H)</f>
        <v>#VALUE!</v>
      </c>
      <c r="I738" s="5">
        <f>IFERROR(INDEX('[1]TrialBalance (YTD)'!$G:$S,MATCH([1]TBMapping!$C740,'[1]TrialBalance (YTD)'!G:G,0),MATCH([1]TBMapping!J$3,'[1]TrialBalance (YTD)'!$G$7:$Z$7,0)),0)</f>
        <v>0</v>
      </c>
      <c r="K738" s="5" t="e">
        <f>SUMIF('[1]TrialBalance (Quarter)'!$A:$A,B738,'[1]TrialBalance (Quarter)'!$B:$B)</f>
        <v>#VALUE!</v>
      </c>
      <c r="L738" s="5">
        <f>IFERROR(INDEX('[1]TrialBalance (Quarter)'!$A:$L,MATCH([1]TBMapping!$C740,'[1]TrialBalance (Quarter)'!A:A,0),MATCH([1]TBMapping!M$3,'[1]TrialBalance (Quarter)'!$7:$7,0)),0)</f>
        <v>0</v>
      </c>
      <c r="M738" s="5">
        <f>IFERROR(INDEX('[1]TrialBalance (Quarter)'!$A:$L,MATCH([1]TBMapping!$C740,'[1]TrialBalance (Quarter)'!A:A,0),MATCH([1]TBMapping!N$3,'[1]TrialBalance (Quarter)'!$7:$7,0)),0)</f>
        <v>0</v>
      </c>
      <c r="N738" s="5">
        <f>IFERROR(INDEX('[1]TrialBalance (Quarter)'!$A:$L,MATCH([1]TBMapping!$C740,'[1]TrialBalance (Quarter)'!A:A,0),MATCH([1]TBMapping!O$3,'[1]TrialBalance (Quarter)'!$7:$7,0)),0)</f>
        <v>0</v>
      </c>
    </row>
    <row r="739" spans="1:14">
      <c r="A739" s="2">
        <v>4</v>
      </c>
      <c r="B739" s="3">
        <v>231220</v>
      </c>
      <c r="C739" s="10" t="s">
        <v>593</v>
      </c>
      <c r="D739" s="10" t="s">
        <v>11</v>
      </c>
      <c r="E739" s="10"/>
      <c r="F739" s="5" t="e">
        <f>IF(DataExtraction="Manual",SUMIF('[1]TrialBalance (YTD)'!$C:$C,B739,'[1]TrialBalance (YTD)'!$E:$E),SUMIF('[1]TrialBalance (YTD)'!$G:$G,B739,'[1]TrialBalance (YTD)'!$I:$I))</f>
        <v>#VALUE!</v>
      </c>
      <c r="G739" s="5">
        <f>IFERROR(INDEX('[1]TrialBalance (YTD)'!$G:$S,MATCH([1]TBMapping!$C741,'[1]TrialBalance (YTD)'!G:G,0),MATCH([1]TBMapping!H$3,'[1]TrialBalance (YTD)'!$G$7:$Z$7,0)),0)</f>
        <v>0</v>
      </c>
      <c r="H739" s="5" t="e">
        <f>SUMIF('[1]TrialBalance (YTD)'!G:G,B739,'[1]TrialBalance (YTD)'!H:H)</f>
        <v>#VALUE!</v>
      </c>
      <c r="I739" s="5">
        <f>IFERROR(INDEX('[1]TrialBalance (YTD)'!$G:$S,MATCH([1]TBMapping!$C741,'[1]TrialBalance (YTD)'!G:G,0),MATCH([1]TBMapping!J$3,'[1]TrialBalance (YTD)'!$G$7:$Z$7,0)),0)</f>
        <v>0</v>
      </c>
      <c r="K739" s="5" t="e">
        <f>SUMIF('[1]TrialBalance (Quarter)'!$A:$A,B739,'[1]TrialBalance (Quarter)'!$B:$B)</f>
        <v>#VALUE!</v>
      </c>
      <c r="L739" s="5">
        <f>IFERROR(INDEX('[1]TrialBalance (Quarter)'!$A:$L,MATCH([1]TBMapping!$C741,'[1]TrialBalance (Quarter)'!A:A,0),MATCH([1]TBMapping!M$3,'[1]TrialBalance (Quarter)'!$7:$7,0)),0)</f>
        <v>0</v>
      </c>
      <c r="M739" s="5">
        <f>IFERROR(INDEX('[1]TrialBalance (Quarter)'!$A:$L,MATCH([1]TBMapping!$C741,'[1]TrialBalance (Quarter)'!A:A,0),MATCH([1]TBMapping!N$3,'[1]TrialBalance (Quarter)'!$7:$7,0)),0)</f>
        <v>0</v>
      </c>
      <c r="N739" s="5">
        <f>IFERROR(INDEX('[1]TrialBalance (Quarter)'!$A:$L,MATCH([1]TBMapping!$C741,'[1]TrialBalance (Quarter)'!A:A,0),MATCH([1]TBMapping!O$3,'[1]TrialBalance (Quarter)'!$7:$7,0)),0)</f>
        <v>0</v>
      </c>
    </row>
    <row r="740" spans="1:14">
      <c r="A740" s="2">
        <v>4</v>
      </c>
      <c r="B740" s="3">
        <v>231221</v>
      </c>
      <c r="C740" s="11" t="s">
        <v>594</v>
      </c>
      <c r="D740" s="11" t="s">
        <v>11</v>
      </c>
      <c r="E740" s="11"/>
      <c r="F740" s="5" t="e">
        <f>IF(DataExtraction="Manual",SUMIF('[1]TrialBalance (YTD)'!$C:$C,B740,'[1]TrialBalance (YTD)'!$E:$E),SUMIF('[1]TrialBalance (YTD)'!$G:$G,B740,'[1]TrialBalance (YTD)'!$I:$I))</f>
        <v>#VALUE!</v>
      </c>
      <c r="G740" s="5">
        <f>IFERROR(INDEX('[1]TrialBalance (YTD)'!$G:$S,MATCH([1]TBMapping!$C742,'[1]TrialBalance (YTD)'!G:G,0),MATCH([1]TBMapping!H$3,'[1]TrialBalance (YTD)'!$G$7:$Z$7,0)),0)</f>
        <v>0</v>
      </c>
      <c r="H740" s="5" t="e">
        <f>SUMIF('[1]TrialBalance (YTD)'!G:G,B740,'[1]TrialBalance (YTD)'!H:H)</f>
        <v>#VALUE!</v>
      </c>
      <c r="I740" s="5">
        <f>IFERROR(INDEX('[1]TrialBalance (YTD)'!$G:$S,MATCH([1]TBMapping!$C742,'[1]TrialBalance (YTD)'!G:G,0),MATCH([1]TBMapping!J$3,'[1]TrialBalance (YTD)'!$G$7:$Z$7,0)),0)</f>
        <v>0</v>
      </c>
      <c r="K740" s="5" t="e">
        <f>SUMIF('[1]TrialBalance (Quarter)'!$A:$A,B740,'[1]TrialBalance (Quarter)'!$B:$B)</f>
        <v>#VALUE!</v>
      </c>
      <c r="L740" s="5">
        <f>IFERROR(INDEX('[1]TrialBalance (Quarter)'!$A:$L,MATCH([1]TBMapping!$C742,'[1]TrialBalance (Quarter)'!A:A,0),MATCH([1]TBMapping!M$3,'[1]TrialBalance (Quarter)'!$7:$7,0)),0)</f>
        <v>0</v>
      </c>
      <c r="M740" s="5">
        <f>IFERROR(INDEX('[1]TrialBalance (Quarter)'!$A:$L,MATCH([1]TBMapping!$C742,'[1]TrialBalance (Quarter)'!A:A,0),MATCH([1]TBMapping!N$3,'[1]TrialBalance (Quarter)'!$7:$7,0)),0)</f>
        <v>0</v>
      </c>
      <c r="N740" s="5">
        <f>IFERROR(INDEX('[1]TrialBalance (Quarter)'!$A:$L,MATCH([1]TBMapping!$C742,'[1]TrialBalance (Quarter)'!A:A,0),MATCH([1]TBMapping!O$3,'[1]TrialBalance (Quarter)'!$7:$7,0)),0)</f>
        <v>0</v>
      </c>
    </row>
    <row r="741" spans="1:14">
      <c r="A741" s="2">
        <v>4</v>
      </c>
      <c r="B741" s="3">
        <v>231230</v>
      </c>
      <c r="C741" s="10" t="s">
        <v>595</v>
      </c>
      <c r="D741" s="10" t="s">
        <v>11</v>
      </c>
      <c r="E741" s="10"/>
      <c r="F741" s="5" t="e">
        <f>IF(DataExtraction="Manual",SUMIF('[1]TrialBalance (YTD)'!$C:$C,B741,'[1]TrialBalance (YTD)'!$E:$E),SUMIF('[1]TrialBalance (YTD)'!$G:$G,B741,'[1]TrialBalance (YTD)'!$I:$I))</f>
        <v>#VALUE!</v>
      </c>
      <c r="G741" s="5">
        <f>IFERROR(INDEX('[1]TrialBalance (YTD)'!$G:$S,MATCH([1]TBMapping!$C743,'[1]TrialBalance (YTD)'!G:G,0),MATCH([1]TBMapping!H$3,'[1]TrialBalance (YTD)'!$G$7:$Z$7,0)),0)</f>
        <v>0</v>
      </c>
      <c r="H741" s="5" t="e">
        <f>SUMIF('[1]TrialBalance (YTD)'!G:G,B741,'[1]TrialBalance (YTD)'!H:H)</f>
        <v>#VALUE!</v>
      </c>
      <c r="I741" s="5">
        <f>IFERROR(INDEX('[1]TrialBalance (YTD)'!$G:$S,MATCH([1]TBMapping!$C743,'[1]TrialBalance (YTD)'!G:G,0),MATCH([1]TBMapping!J$3,'[1]TrialBalance (YTD)'!$G$7:$Z$7,0)),0)</f>
        <v>0</v>
      </c>
      <c r="K741" s="5" t="e">
        <f>SUMIF('[1]TrialBalance (Quarter)'!$A:$A,B741,'[1]TrialBalance (Quarter)'!$B:$B)</f>
        <v>#VALUE!</v>
      </c>
      <c r="L741" s="5">
        <f>IFERROR(INDEX('[1]TrialBalance (Quarter)'!$A:$L,MATCH([1]TBMapping!$C743,'[1]TrialBalance (Quarter)'!A:A,0),MATCH([1]TBMapping!M$3,'[1]TrialBalance (Quarter)'!$7:$7,0)),0)</f>
        <v>0</v>
      </c>
      <c r="M741" s="5">
        <f>IFERROR(INDEX('[1]TrialBalance (Quarter)'!$A:$L,MATCH([1]TBMapping!$C743,'[1]TrialBalance (Quarter)'!A:A,0),MATCH([1]TBMapping!N$3,'[1]TrialBalance (Quarter)'!$7:$7,0)),0)</f>
        <v>0</v>
      </c>
      <c r="N741" s="5">
        <f>IFERROR(INDEX('[1]TrialBalance (Quarter)'!$A:$L,MATCH([1]TBMapping!$C743,'[1]TrialBalance (Quarter)'!A:A,0),MATCH([1]TBMapping!O$3,'[1]TrialBalance (Quarter)'!$7:$7,0)),0)</f>
        <v>0</v>
      </c>
    </row>
    <row r="742" spans="1:14">
      <c r="A742" s="2">
        <v>4</v>
      </c>
      <c r="B742" s="3">
        <v>231240</v>
      </c>
      <c r="C742" s="11" t="s">
        <v>596</v>
      </c>
      <c r="D742" s="11" t="s">
        <v>11</v>
      </c>
      <c r="E742" s="11"/>
      <c r="F742" s="5" t="e">
        <f>IF(DataExtraction="Manual",SUMIF('[1]TrialBalance (YTD)'!$C:$C,B742,'[1]TrialBalance (YTD)'!$E:$E),SUMIF('[1]TrialBalance (YTD)'!$G:$G,B742,'[1]TrialBalance (YTD)'!$I:$I))</f>
        <v>#VALUE!</v>
      </c>
      <c r="G742" s="5">
        <f>IFERROR(INDEX('[1]TrialBalance (YTD)'!$G:$S,MATCH([1]TBMapping!$C744,'[1]TrialBalance (YTD)'!G:G,0),MATCH([1]TBMapping!H$3,'[1]TrialBalance (YTD)'!$G$7:$Z$7,0)),0)</f>
        <v>0</v>
      </c>
      <c r="H742" s="5" t="e">
        <f>SUMIF('[1]TrialBalance (YTD)'!G:G,B742,'[1]TrialBalance (YTD)'!H:H)</f>
        <v>#VALUE!</v>
      </c>
      <c r="I742" s="5">
        <f>IFERROR(INDEX('[1]TrialBalance (YTD)'!$G:$S,MATCH([1]TBMapping!$C744,'[1]TrialBalance (YTD)'!G:G,0),MATCH([1]TBMapping!J$3,'[1]TrialBalance (YTD)'!$G$7:$Z$7,0)),0)</f>
        <v>0</v>
      </c>
      <c r="K742" s="5" t="e">
        <f>SUMIF('[1]TrialBalance (Quarter)'!$A:$A,B742,'[1]TrialBalance (Quarter)'!$B:$B)</f>
        <v>#VALUE!</v>
      </c>
      <c r="L742" s="5">
        <f>IFERROR(INDEX('[1]TrialBalance (Quarter)'!$A:$L,MATCH([1]TBMapping!$C744,'[1]TrialBalance (Quarter)'!A:A,0),MATCH([1]TBMapping!M$3,'[1]TrialBalance (Quarter)'!$7:$7,0)),0)</f>
        <v>0</v>
      </c>
      <c r="M742" s="5">
        <f>IFERROR(INDEX('[1]TrialBalance (Quarter)'!$A:$L,MATCH([1]TBMapping!$C744,'[1]TrialBalance (Quarter)'!A:A,0),MATCH([1]TBMapping!N$3,'[1]TrialBalance (Quarter)'!$7:$7,0)),0)</f>
        <v>0</v>
      </c>
      <c r="N742" s="5">
        <f>IFERROR(INDEX('[1]TrialBalance (Quarter)'!$A:$L,MATCH([1]TBMapping!$C744,'[1]TrialBalance (Quarter)'!A:A,0),MATCH([1]TBMapping!O$3,'[1]TrialBalance (Quarter)'!$7:$7,0)),0)</f>
        <v>0</v>
      </c>
    </row>
    <row r="743" spans="1:14">
      <c r="A743" s="2">
        <v>4</v>
      </c>
      <c r="B743" s="3">
        <v>231250</v>
      </c>
      <c r="C743" s="10" t="s">
        <v>597</v>
      </c>
      <c r="D743" s="10" t="s">
        <v>11</v>
      </c>
      <c r="E743" s="10"/>
      <c r="F743" s="5" t="e">
        <f>IF(DataExtraction="Manual",SUMIF('[1]TrialBalance (YTD)'!$C:$C,B743,'[1]TrialBalance (YTD)'!$E:$E),SUMIF('[1]TrialBalance (YTD)'!$G:$G,B743,'[1]TrialBalance (YTD)'!$I:$I))</f>
        <v>#VALUE!</v>
      </c>
      <c r="G743" s="5">
        <f>IFERROR(INDEX('[1]TrialBalance (YTD)'!$G:$S,MATCH([1]TBMapping!$C745,'[1]TrialBalance (YTD)'!G:G,0),MATCH([1]TBMapping!H$3,'[1]TrialBalance (YTD)'!$G$7:$Z$7,0)),0)</f>
        <v>0</v>
      </c>
      <c r="H743" s="5" t="e">
        <f>SUMIF('[1]TrialBalance (YTD)'!G:G,B743,'[1]TrialBalance (YTD)'!H:H)</f>
        <v>#VALUE!</v>
      </c>
      <c r="I743" s="5">
        <f>IFERROR(INDEX('[1]TrialBalance (YTD)'!$G:$S,MATCH([1]TBMapping!$C745,'[1]TrialBalance (YTD)'!G:G,0),MATCH([1]TBMapping!J$3,'[1]TrialBalance (YTD)'!$G$7:$Z$7,0)),0)</f>
        <v>0</v>
      </c>
      <c r="K743" s="5" t="e">
        <f>SUMIF('[1]TrialBalance (Quarter)'!$A:$A,B743,'[1]TrialBalance (Quarter)'!$B:$B)</f>
        <v>#VALUE!</v>
      </c>
      <c r="L743" s="5">
        <f>IFERROR(INDEX('[1]TrialBalance (Quarter)'!$A:$L,MATCH([1]TBMapping!$C745,'[1]TrialBalance (Quarter)'!A:A,0),MATCH([1]TBMapping!M$3,'[1]TrialBalance (Quarter)'!$7:$7,0)),0)</f>
        <v>0</v>
      </c>
      <c r="M743" s="5">
        <f>IFERROR(INDEX('[1]TrialBalance (Quarter)'!$A:$L,MATCH([1]TBMapping!$C745,'[1]TrialBalance (Quarter)'!A:A,0),MATCH([1]TBMapping!N$3,'[1]TrialBalance (Quarter)'!$7:$7,0)),0)</f>
        <v>0</v>
      </c>
      <c r="N743" s="5">
        <f>IFERROR(INDEX('[1]TrialBalance (Quarter)'!$A:$L,MATCH([1]TBMapping!$C745,'[1]TrialBalance (Quarter)'!A:A,0),MATCH([1]TBMapping!O$3,'[1]TrialBalance (Quarter)'!$7:$7,0)),0)</f>
        <v>0</v>
      </c>
    </row>
    <row r="744" spans="1:14">
      <c r="A744" s="2">
        <v>4</v>
      </c>
      <c r="B744" s="3">
        <v>231255</v>
      </c>
      <c r="C744" s="11" t="s">
        <v>592</v>
      </c>
      <c r="D744" s="11" t="s">
        <v>11</v>
      </c>
      <c r="E744" s="11"/>
      <c r="F744" s="5" t="e">
        <f>IF(DataExtraction="Manual",SUMIF('[1]TrialBalance (YTD)'!$C:$C,B744,'[1]TrialBalance (YTD)'!$E:$E),SUMIF('[1]TrialBalance (YTD)'!$G:$G,B744,'[1]TrialBalance (YTD)'!$I:$I))</f>
        <v>#VALUE!</v>
      </c>
      <c r="G744" s="5">
        <f>IFERROR(INDEX('[1]TrialBalance (YTD)'!$G:$S,MATCH([1]TBMapping!$C746,'[1]TrialBalance (YTD)'!G:G,0),MATCH([1]TBMapping!H$3,'[1]TrialBalance (YTD)'!$G$7:$Z$7,0)),0)</f>
        <v>0</v>
      </c>
      <c r="H744" s="5" t="e">
        <f>SUMIF('[1]TrialBalance (YTD)'!G:G,B744,'[1]TrialBalance (YTD)'!H:H)</f>
        <v>#VALUE!</v>
      </c>
      <c r="I744" s="5">
        <f>IFERROR(INDEX('[1]TrialBalance (YTD)'!$G:$S,MATCH([1]TBMapping!$C746,'[1]TrialBalance (YTD)'!G:G,0),MATCH([1]TBMapping!J$3,'[1]TrialBalance (YTD)'!$G$7:$Z$7,0)),0)</f>
        <v>0</v>
      </c>
      <c r="K744" s="5" t="e">
        <f>SUMIF('[1]TrialBalance (Quarter)'!$A:$A,B744,'[1]TrialBalance (Quarter)'!$B:$B)</f>
        <v>#VALUE!</v>
      </c>
      <c r="L744" s="5">
        <f>IFERROR(INDEX('[1]TrialBalance (Quarter)'!$A:$L,MATCH([1]TBMapping!$C746,'[1]TrialBalance (Quarter)'!A:A,0),MATCH([1]TBMapping!M$3,'[1]TrialBalance (Quarter)'!$7:$7,0)),0)</f>
        <v>0</v>
      </c>
      <c r="M744" s="5">
        <f>IFERROR(INDEX('[1]TrialBalance (Quarter)'!$A:$L,MATCH([1]TBMapping!$C746,'[1]TrialBalance (Quarter)'!A:A,0),MATCH([1]TBMapping!N$3,'[1]TrialBalance (Quarter)'!$7:$7,0)),0)</f>
        <v>0</v>
      </c>
      <c r="N744" s="5">
        <f>IFERROR(INDEX('[1]TrialBalance (Quarter)'!$A:$L,MATCH([1]TBMapping!$C746,'[1]TrialBalance (Quarter)'!A:A,0),MATCH([1]TBMapping!O$3,'[1]TrialBalance (Quarter)'!$7:$7,0)),0)</f>
        <v>0</v>
      </c>
    </row>
    <row r="745" spans="1:14">
      <c r="A745" s="2">
        <v>4</v>
      </c>
      <c r="B745" s="3">
        <v>231260</v>
      </c>
      <c r="C745" s="10" t="s">
        <v>598</v>
      </c>
      <c r="D745" s="10" t="s">
        <v>11</v>
      </c>
      <c r="E745" s="10"/>
      <c r="F745" s="5" t="e">
        <f>IF(DataExtraction="Manual",SUMIF('[1]TrialBalance (YTD)'!$C:$C,B745,'[1]TrialBalance (YTD)'!$E:$E),SUMIF('[1]TrialBalance (YTD)'!$G:$G,B745,'[1]TrialBalance (YTD)'!$I:$I))</f>
        <v>#VALUE!</v>
      </c>
      <c r="G745" s="5">
        <f>IFERROR(INDEX('[1]TrialBalance (YTD)'!$G:$S,MATCH([1]TBMapping!$C747,'[1]TrialBalance (YTD)'!G:G,0),MATCH([1]TBMapping!H$3,'[1]TrialBalance (YTD)'!$G$7:$Z$7,0)),0)</f>
        <v>0</v>
      </c>
      <c r="H745" s="5" t="e">
        <f>SUMIF('[1]TrialBalance (YTD)'!G:G,B745,'[1]TrialBalance (YTD)'!H:H)</f>
        <v>#VALUE!</v>
      </c>
      <c r="I745" s="5">
        <f>IFERROR(INDEX('[1]TrialBalance (YTD)'!$G:$S,MATCH([1]TBMapping!$C747,'[1]TrialBalance (YTD)'!G:G,0),MATCH([1]TBMapping!J$3,'[1]TrialBalance (YTD)'!$G$7:$Z$7,0)),0)</f>
        <v>0</v>
      </c>
      <c r="K745" s="5" t="e">
        <f>SUMIF('[1]TrialBalance (Quarter)'!$A:$A,B745,'[1]TrialBalance (Quarter)'!$B:$B)</f>
        <v>#VALUE!</v>
      </c>
      <c r="L745" s="5">
        <f>IFERROR(INDEX('[1]TrialBalance (Quarter)'!$A:$L,MATCH([1]TBMapping!$C747,'[1]TrialBalance (Quarter)'!A:A,0),MATCH([1]TBMapping!M$3,'[1]TrialBalance (Quarter)'!$7:$7,0)),0)</f>
        <v>0</v>
      </c>
      <c r="M745" s="5">
        <f>IFERROR(INDEX('[1]TrialBalance (Quarter)'!$A:$L,MATCH([1]TBMapping!$C747,'[1]TrialBalance (Quarter)'!A:A,0),MATCH([1]TBMapping!N$3,'[1]TrialBalance (Quarter)'!$7:$7,0)),0)</f>
        <v>0</v>
      </c>
      <c r="N745" s="5">
        <f>IFERROR(INDEX('[1]TrialBalance (Quarter)'!$A:$L,MATCH([1]TBMapping!$C747,'[1]TrialBalance (Quarter)'!A:A,0),MATCH([1]TBMapping!O$3,'[1]TrialBalance (Quarter)'!$7:$7,0)),0)</f>
        <v>0</v>
      </c>
    </row>
    <row r="746" spans="1:14">
      <c r="A746" s="2">
        <v>4</v>
      </c>
      <c r="B746" s="3">
        <v>231270</v>
      </c>
      <c r="C746" s="11" t="s">
        <v>510</v>
      </c>
      <c r="D746" s="11" t="s">
        <v>11</v>
      </c>
      <c r="E746" s="11"/>
      <c r="F746" s="5" t="e">
        <f>IF(DataExtraction="Manual",SUMIF('[1]TrialBalance (YTD)'!$C:$C,B746,'[1]TrialBalance (YTD)'!$E:$E),SUMIF('[1]TrialBalance (YTD)'!$G:$G,B746,'[1]TrialBalance (YTD)'!$I:$I))</f>
        <v>#VALUE!</v>
      </c>
      <c r="G746" s="5">
        <f>IFERROR(INDEX('[1]TrialBalance (YTD)'!$G:$S,MATCH([1]TBMapping!$C748,'[1]TrialBalance (YTD)'!G:G,0),MATCH([1]TBMapping!H$3,'[1]TrialBalance (YTD)'!$G$7:$Z$7,0)),0)</f>
        <v>0</v>
      </c>
      <c r="H746" s="5" t="e">
        <f>SUMIF('[1]TrialBalance (YTD)'!G:G,B746,'[1]TrialBalance (YTD)'!H:H)</f>
        <v>#VALUE!</v>
      </c>
      <c r="I746" s="5">
        <f>IFERROR(INDEX('[1]TrialBalance (YTD)'!$G:$S,MATCH([1]TBMapping!$C748,'[1]TrialBalance (YTD)'!G:G,0),MATCH([1]TBMapping!J$3,'[1]TrialBalance (YTD)'!$G$7:$Z$7,0)),0)</f>
        <v>0</v>
      </c>
      <c r="K746" s="5" t="e">
        <f>SUMIF('[1]TrialBalance (Quarter)'!$A:$A,B746,'[1]TrialBalance (Quarter)'!$B:$B)</f>
        <v>#VALUE!</v>
      </c>
      <c r="L746" s="5">
        <f>IFERROR(INDEX('[1]TrialBalance (Quarter)'!$A:$L,MATCH([1]TBMapping!$C748,'[1]TrialBalance (Quarter)'!A:A,0),MATCH([1]TBMapping!M$3,'[1]TrialBalance (Quarter)'!$7:$7,0)),0)</f>
        <v>0</v>
      </c>
      <c r="M746" s="5">
        <f>IFERROR(INDEX('[1]TrialBalance (Quarter)'!$A:$L,MATCH([1]TBMapping!$C748,'[1]TrialBalance (Quarter)'!A:A,0),MATCH([1]TBMapping!N$3,'[1]TrialBalance (Quarter)'!$7:$7,0)),0)</f>
        <v>0</v>
      </c>
      <c r="N746" s="5">
        <f>IFERROR(INDEX('[1]TrialBalance (Quarter)'!$A:$L,MATCH([1]TBMapping!$C748,'[1]TrialBalance (Quarter)'!A:A,0),MATCH([1]TBMapping!O$3,'[1]TrialBalance (Quarter)'!$7:$7,0)),0)</f>
        <v>0</v>
      </c>
    </row>
    <row r="747" spans="1:14">
      <c r="B747" s="3">
        <v>231999</v>
      </c>
      <c r="C747" s="10" t="s">
        <v>599</v>
      </c>
      <c r="D747" s="10" t="s">
        <v>16</v>
      </c>
      <c r="E747" s="10"/>
      <c r="F747" s="5" t="e">
        <f>IF(DataExtraction="Manual",SUMIF('[1]TrialBalance (YTD)'!$C:$C,B747,'[1]TrialBalance (YTD)'!$E:$E),SUMIF('[1]TrialBalance (YTD)'!$G:$G,B747,'[1]TrialBalance (YTD)'!$I:$I))</f>
        <v>#VALUE!</v>
      </c>
      <c r="G747" s="5">
        <f>IFERROR(INDEX('[1]TrialBalance (YTD)'!$G:$S,MATCH([1]TBMapping!$C749,'[1]TrialBalance (YTD)'!G:G,0),MATCH([1]TBMapping!H$3,'[1]TrialBalance (YTD)'!$G$7:$Z$7,0)),0)</f>
        <v>0</v>
      </c>
      <c r="H747" s="5" t="e">
        <f>SUMIF('[1]TrialBalance (YTD)'!G:G,B747,'[1]TrialBalance (YTD)'!H:H)</f>
        <v>#VALUE!</v>
      </c>
      <c r="I747" s="5">
        <f>IFERROR(INDEX('[1]TrialBalance (YTD)'!$G:$S,MATCH([1]TBMapping!$C749,'[1]TrialBalance (YTD)'!G:G,0),MATCH([1]TBMapping!J$3,'[1]TrialBalance (YTD)'!$G$7:$Z$7,0)),0)</f>
        <v>0</v>
      </c>
      <c r="K747" s="5" t="e">
        <f>SUMIF('[1]TrialBalance (Quarter)'!$A:$A,B747,'[1]TrialBalance (Quarter)'!$B:$B)</f>
        <v>#VALUE!</v>
      </c>
      <c r="L747" s="5">
        <f>IFERROR(INDEX('[1]TrialBalance (Quarter)'!$A:$L,MATCH([1]TBMapping!$C749,'[1]TrialBalance (Quarter)'!A:A,0),MATCH([1]TBMapping!M$3,'[1]TrialBalance (Quarter)'!$7:$7,0)),0)</f>
        <v>0</v>
      </c>
      <c r="M747" s="5">
        <f>IFERROR(INDEX('[1]TrialBalance (Quarter)'!$A:$L,MATCH([1]TBMapping!$C749,'[1]TrialBalance (Quarter)'!A:A,0),MATCH([1]TBMapping!N$3,'[1]TrialBalance (Quarter)'!$7:$7,0)),0)</f>
        <v>0</v>
      </c>
      <c r="N747" s="5">
        <f>IFERROR(INDEX('[1]TrialBalance (Quarter)'!$A:$L,MATCH([1]TBMapping!$C749,'[1]TrialBalance (Quarter)'!A:A,0),MATCH([1]TBMapping!O$3,'[1]TrialBalance (Quarter)'!$7:$7,0)),0)</f>
        <v>0</v>
      </c>
    </row>
    <row r="748" spans="1:14">
      <c r="B748" s="3">
        <v>232000</v>
      </c>
      <c r="C748" s="11" t="s">
        <v>600</v>
      </c>
      <c r="D748" s="11" t="s">
        <v>5</v>
      </c>
      <c r="E748" s="11"/>
      <c r="F748" s="5" t="e">
        <f>IF(DataExtraction="Manual",SUMIF('[1]TrialBalance (YTD)'!$C:$C,B748,'[1]TrialBalance (YTD)'!$E:$E),SUMIF('[1]TrialBalance (YTD)'!$G:$G,B748,'[1]TrialBalance (YTD)'!$I:$I))</f>
        <v>#VALUE!</v>
      </c>
      <c r="G748" s="5">
        <f>IFERROR(INDEX('[1]TrialBalance (YTD)'!$G:$S,MATCH([1]TBMapping!$C750,'[1]TrialBalance (YTD)'!G:G,0),MATCH([1]TBMapping!H$3,'[1]TrialBalance (YTD)'!$G$7:$Z$7,0)),0)</f>
        <v>0</v>
      </c>
      <c r="H748" s="5" t="e">
        <f>SUMIF('[1]TrialBalance (YTD)'!G:G,B748,'[1]TrialBalance (YTD)'!H:H)</f>
        <v>#VALUE!</v>
      </c>
      <c r="I748" s="5">
        <f>IFERROR(INDEX('[1]TrialBalance (YTD)'!$G:$S,MATCH([1]TBMapping!$C750,'[1]TrialBalance (YTD)'!G:G,0),MATCH([1]TBMapping!J$3,'[1]TrialBalance (YTD)'!$G$7:$Z$7,0)),0)</f>
        <v>0</v>
      </c>
      <c r="K748" s="5" t="e">
        <f>SUMIF('[1]TrialBalance (Quarter)'!$A:$A,B748,'[1]TrialBalance (Quarter)'!$B:$B)</f>
        <v>#VALUE!</v>
      </c>
      <c r="L748" s="5">
        <f>IFERROR(INDEX('[1]TrialBalance (Quarter)'!$A:$L,MATCH([1]TBMapping!$C750,'[1]TrialBalance (Quarter)'!A:A,0),MATCH([1]TBMapping!M$3,'[1]TrialBalance (Quarter)'!$7:$7,0)),0)</f>
        <v>0</v>
      </c>
      <c r="M748" s="5">
        <f>IFERROR(INDEX('[1]TrialBalance (Quarter)'!$A:$L,MATCH([1]TBMapping!$C750,'[1]TrialBalance (Quarter)'!A:A,0),MATCH([1]TBMapping!N$3,'[1]TrialBalance (Quarter)'!$7:$7,0)),0)</f>
        <v>0</v>
      </c>
      <c r="N748" s="5">
        <f>IFERROR(INDEX('[1]TrialBalance (Quarter)'!$A:$L,MATCH([1]TBMapping!$C750,'[1]TrialBalance (Quarter)'!A:A,0),MATCH([1]TBMapping!O$3,'[1]TrialBalance (Quarter)'!$7:$7,0)),0)</f>
        <v>0</v>
      </c>
    </row>
    <row r="749" spans="1:14">
      <c r="A749" s="2">
        <v>5</v>
      </c>
      <c r="B749" s="3">
        <v>232110</v>
      </c>
      <c r="C749" s="10" t="s">
        <v>507</v>
      </c>
      <c r="D749" s="10" t="s">
        <v>11</v>
      </c>
      <c r="E749" s="10"/>
      <c r="F749" s="5" t="e">
        <f>IF(DataExtraction="Manual",SUMIF('[1]TrialBalance (YTD)'!$C:$C,B749,'[1]TrialBalance (YTD)'!$E:$E),SUMIF('[1]TrialBalance (YTD)'!$G:$G,B749,'[1]TrialBalance (YTD)'!$I:$I))</f>
        <v>#VALUE!</v>
      </c>
      <c r="G749" s="5">
        <f>IFERROR(INDEX('[1]TrialBalance (YTD)'!$G:$S,MATCH([1]TBMapping!$C751,'[1]TrialBalance (YTD)'!G:G,0),MATCH([1]TBMapping!H$3,'[1]TrialBalance (YTD)'!$G$7:$Z$7,0)),0)</f>
        <v>0</v>
      </c>
      <c r="H749" s="5" t="e">
        <f>SUMIF('[1]TrialBalance (YTD)'!G:G,B749,'[1]TrialBalance (YTD)'!H:H)</f>
        <v>#VALUE!</v>
      </c>
      <c r="I749" s="5">
        <f>IFERROR(INDEX('[1]TrialBalance (YTD)'!$G:$S,MATCH([1]TBMapping!$C751,'[1]TrialBalance (YTD)'!G:G,0),MATCH([1]TBMapping!J$3,'[1]TrialBalance (YTD)'!$G$7:$Z$7,0)),0)</f>
        <v>0</v>
      </c>
      <c r="K749" s="5" t="e">
        <f>SUMIF('[1]TrialBalance (Quarter)'!$A:$A,B749,'[1]TrialBalance (Quarter)'!$B:$B)</f>
        <v>#VALUE!</v>
      </c>
      <c r="L749" s="5">
        <f>IFERROR(INDEX('[1]TrialBalance (Quarter)'!$A:$L,MATCH([1]TBMapping!$C751,'[1]TrialBalance (Quarter)'!A:A,0),MATCH([1]TBMapping!M$3,'[1]TrialBalance (Quarter)'!$7:$7,0)),0)</f>
        <v>0</v>
      </c>
      <c r="M749" s="5">
        <f>IFERROR(INDEX('[1]TrialBalance (Quarter)'!$A:$L,MATCH([1]TBMapping!$C751,'[1]TrialBalance (Quarter)'!A:A,0),MATCH([1]TBMapping!N$3,'[1]TrialBalance (Quarter)'!$7:$7,0)),0)</f>
        <v>0</v>
      </c>
      <c r="N749" s="5">
        <f>IFERROR(INDEX('[1]TrialBalance (Quarter)'!$A:$L,MATCH([1]TBMapping!$C751,'[1]TrialBalance (Quarter)'!A:A,0),MATCH([1]TBMapping!O$3,'[1]TrialBalance (Quarter)'!$7:$7,0)),0)</f>
        <v>0</v>
      </c>
    </row>
    <row r="750" spans="1:14">
      <c r="A750" s="2">
        <v>5</v>
      </c>
      <c r="B750" s="3">
        <v>232120</v>
      </c>
      <c r="C750" s="11" t="s">
        <v>509</v>
      </c>
      <c r="D750" s="11" t="s">
        <v>11</v>
      </c>
      <c r="E750" s="11"/>
      <c r="F750" s="5" t="e">
        <f>IF(DataExtraction="Manual",SUMIF('[1]TrialBalance (YTD)'!$C:$C,B750,'[1]TrialBalance (YTD)'!$E:$E),SUMIF('[1]TrialBalance (YTD)'!$G:$G,B750,'[1]TrialBalance (YTD)'!$I:$I))</f>
        <v>#VALUE!</v>
      </c>
      <c r="G750" s="5">
        <f>IFERROR(INDEX('[1]TrialBalance (YTD)'!$G:$S,MATCH([1]TBMapping!$C752,'[1]TrialBalance (YTD)'!G:G,0),MATCH([1]TBMapping!H$3,'[1]TrialBalance (YTD)'!$G$7:$Z$7,0)),0)</f>
        <v>0</v>
      </c>
      <c r="H750" s="5" t="e">
        <f>SUMIF('[1]TrialBalance (YTD)'!G:G,B750,'[1]TrialBalance (YTD)'!H:H)</f>
        <v>#VALUE!</v>
      </c>
      <c r="I750" s="5">
        <f>IFERROR(INDEX('[1]TrialBalance (YTD)'!$G:$S,MATCH([1]TBMapping!$C752,'[1]TrialBalance (YTD)'!G:G,0),MATCH([1]TBMapping!J$3,'[1]TrialBalance (YTD)'!$G$7:$Z$7,0)),0)</f>
        <v>0</v>
      </c>
      <c r="K750" s="5" t="e">
        <f>SUMIF('[1]TrialBalance (Quarter)'!$A:$A,B750,'[1]TrialBalance (Quarter)'!$B:$B)</f>
        <v>#VALUE!</v>
      </c>
      <c r="L750" s="5">
        <f>IFERROR(INDEX('[1]TrialBalance (Quarter)'!$A:$L,MATCH([1]TBMapping!$C752,'[1]TrialBalance (Quarter)'!A:A,0),MATCH([1]TBMapping!M$3,'[1]TrialBalance (Quarter)'!$7:$7,0)),0)</f>
        <v>0</v>
      </c>
      <c r="M750" s="5">
        <f>IFERROR(INDEX('[1]TrialBalance (Quarter)'!$A:$L,MATCH([1]TBMapping!$C752,'[1]TrialBalance (Quarter)'!A:A,0),MATCH([1]TBMapping!N$3,'[1]TrialBalance (Quarter)'!$7:$7,0)),0)</f>
        <v>0</v>
      </c>
      <c r="N750" s="5">
        <f>IFERROR(INDEX('[1]TrialBalance (Quarter)'!$A:$L,MATCH([1]TBMapping!$C752,'[1]TrialBalance (Quarter)'!A:A,0),MATCH([1]TBMapping!O$3,'[1]TrialBalance (Quarter)'!$7:$7,0)),0)</f>
        <v>0</v>
      </c>
    </row>
    <row r="751" spans="1:14">
      <c r="A751" s="2">
        <v>5</v>
      </c>
      <c r="B751" s="3">
        <v>232130</v>
      </c>
      <c r="C751" s="10" t="s">
        <v>510</v>
      </c>
      <c r="D751" s="10" t="s">
        <v>11</v>
      </c>
      <c r="E751" s="10"/>
      <c r="F751" s="5" t="e">
        <f>IF(DataExtraction="Manual",SUMIF('[1]TrialBalance (YTD)'!$C:$C,B751,'[1]TrialBalance (YTD)'!$E:$E),SUMIF('[1]TrialBalance (YTD)'!$G:$G,B751,'[1]TrialBalance (YTD)'!$I:$I))</f>
        <v>#VALUE!</v>
      </c>
      <c r="G751" s="5">
        <f>IFERROR(INDEX('[1]TrialBalance (YTD)'!$G:$S,MATCH([1]TBMapping!$C753,'[1]TrialBalance (YTD)'!G:G,0),MATCH([1]TBMapping!H$3,'[1]TrialBalance (YTD)'!$G$7:$Z$7,0)),0)</f>
        <v>0</v>
      </c>
      <c r="H751" s="5" t="e">
        <f>SUMIF('[1]TrialBalance (YTD)'!G:G,B751,'[1]TrialBalance (YTD)'!H:H)</f>
        <v>#VALUE!</v>
      </c>
      <c r="I751" s="5">
        <f>IFERROR(INDEX('[1]TrialBalance (YTD)'!$G:$S,MATCH([1]TBMapping!$C753,'[1]TrialBalance (YTD)'!G:G,0),MATCH([1]TBMapping!J$3,'[1]TrialBalance (YTD)'!$G$7:$Z$7,0)),0)</f>
        <v>0</v>
      </c>
      <c r="K751" s="5" t="e">
        <f>SUMIF('[1]TrialBalance (Quarter)'!$A:$A,B751,'[1]TrialBalance (Quarter)'!$B:$B)</f>
        <v>#VALUE!</v>
      </c>
      <c r="L751" s="5">
        <f>IFERROR(INDEX('[1]TrialBalance (Quarter)'!$A:$L,MATCH([1]TBMapping!$C753,'[1]TrialBalance (Quarter)'!A:A,0),MATCH([1]TBMapping!M$3,'[1]TrialBalance (Quarter)'!$7:$7,0)),0)</f>
        <v>0</v>
      </c>
      <c r="M751" s="5">
        <f>IFERROR(INDEX('[1]TrialBalance (Quarter)'!$A:$L,MATCH([1]TBMapping!$C753,'[1]TrialBalance (Quarter)'!A:A,0),MATCH([1]TBMapping!N$3,'[1]TrialBalance (Quarter)'!$7:$7,0)),0)</f>
        <v>0</v>
      </c>
      <c r="N751" s="5">
        <f>IFERROR(INDEX('[1]TrialBalance (Quarter)'!$A:$L,MATCH([1]TBMapping!$C753,'[1]TrialBalance (Quarter)'!A:A,0),MATCH([1]TBMapping!O$3,'[1]TrialBalance (Quarter)'!$7:$7,0)),0)</f>
        <v>0</v>
      </c>
    </row>
    <row r="752" spans="1:14">
      <c r="A752" s="2">
        <v>5</v>
      </c>
      <c r="B752" s="3">
        <v>232150</v>
      </c>
      <c r="C752" s="11" t="s">
        <v>592</v>
      </c>
      <c r="D752" s="11" t="s">
        <v>11</v>
      </c>
      <c r="E752" s="11"/>
      <c r="F752" s="5" t="e">
        <f>IF(DataExtraction="Manual",SUMIF('[1]TrialBalance (YTD)'!$C:$C,B752,'[1]TrialBalance (YTD)'!$E:$E),SUMIF('[1]TrialBalance (YTD)'!$G:$G,B752,'[1]TrialBalance (YTD)'!$I:$I))</f>
        <v>#VALUE!</v>
      </c>
      <c r="G752" s="5">
        <f>IFERROR(INDEX('[1]TrialBalance (YTD)'!$G:$S,MATCH([1]TBMapping!$C754,'[1]TrialBalance (YTD)'!G:G,0),MATCH([1]TBMapping!H$3,'[1]TrialBalance (YTD)'!$G$7:$Z$7,0)),0)</f>
        <v>0</v>
      </c>
      <c r="H752" s="5" t="e">
        <f>SUMIF('[1]TrialBalance (YTD)'!G:G,B752,'[1]TrialBalance (YTD)'!H:H)</f>
        <v>#VALUE!</v>
      </c>
      <c r="I752" s="5">
        <f>IFERROR(INDEX('[1]TrialBalance (YTD)'!$G:$S,MATCH([1]TBMapping!$C754,'[1]TrialBalance (YTD)'!G:G,0),MATCH([1]TBMapping!J$3,'[1]TrialBalance (YTD)'!$G$7:$Z$7,0)),0)</f>
        <v>0</v>
      </c>
      <c r="K752" s="5" t="e">
        <f>SUMIF('[1]TrialBalance (Quarter)'!$A:$A,B752,'[1]TrialBalance (Quarter)'!$B:$B)</f>
        <v>#VALUE!</v>
      </c>
      <c r="L752" s="5">
        <f>IFERROR(INDEX('[1]TrialBalance (Quarter)'!$A:$L,MATCH([1]TBMapping!$C754,'[1]TrialBalance (Quarter)'!A:A,0),MATCH([1]TBMapping!M$3,'[1]TrialBalance (Quarter)'!$7:$7,0)),0)</f>
        <v>0</v>
      </c>
      <c r="M752" s="5">
        <f>IFERROR(INDEX('[1]TrialBalance (Quarter)'!$A:$L,MATCH([1]TBMapping!$C754,'[1]TrialBalance (Quarter)'!A:A,0),MATCH([1]TBMapping!N$3,'[1]TrialBalance (Quarter)'!$7:$7,0)),0)</f>
        <v>0</v>
      </c>
      <c r="N752" s="5">
        <f>IFERROR(INDEX('[1]TrialBalance (Quarter)'!$A:$L,MATCH([1]TBMapping!$C754,'[1]TrialBalance (Quarter)'!A:A,0),MATCH([1]TBMapping!O$3,'[1]TrialBalance (Quarter)'!$7:$7,0)),0)</f>
        <v>0</v>
      </c>
    </row>
    <row r="753" spans="1:14">
      <c r="A753" s="2">
        <v>5</v>
      </c>
      <c r="B753" s="3">
        <v>232210</v>
      </c>
      <c r="C753" s="10" t="s">
        <v>561</v>
      </c>
      <c r="D753" s="10" t="s">
        <v>11</v>
      </c>
      <c r="E753" s="10"/>
      <c r="F753" s="5" t="e">
        <f>IF(DataExtraction="Manual",SUMIF('[1]TrialBalance (YTD)'!$C:$C,B753,'[1]TrialBalance (YTD)'!$E:$E),SUMIF('[1]TrialBalance (YTD)'!$G:$G,B753,'[1]TrialBalance (YTD)'!$I:$I))</f>
        <v>#VALUE!</v>
      </c>
      <c r="G753" s="5">
        <f>IFERROR(INDEX('[1]TrialBalance (YTD)'!$G:$S,MATCH([1]TBMapping!$C755,'[1]TrialBalance (YTD)'!G:G,0),MATCH([1]TBMapping!H$3,'[1]TrialBalance (YTD)'!$G$7:$Z$7,0)),0)</f>
        <v>0</v>
      </c>
      <c r="H753" s="5" t="e">
        <f>SUMIF('[1]TrialBalance (YTD)'!G:G,B753,'[1]TrialBalance (YTD)'!H:H)</f>
        <v>#VALUE!</v>
      </c>
      <c r="I753" s="5">
        <f>IFERROR(INDEX('[1]TrialBalance (YTD)'!$G:$S,MATCH([1]TBMapping!$C755,'[1]TrialBalance (YTD)'!G:G,0),MATCH([1]TBMapping!J$3,'[1]TrialBalance (YTD)'!$G$7:$Z$7,0)),0)</f>
        <v>0</v>
      </c>
      <c r="K753" s="5" t="e">
        <f>SUMIF('[1]TrialBalance (Quarter)'!$A:$A,B753,'[1]TrialBalance (Quarter)'!$B:$B)</f>
        <v>#VALUE!</v>
      </c>
      <c r="L753" s="5">
        <f>IFERROR(INDEX('[1]TrialBalance (Quarter)'!$A:$L,MATCH([1]TBMapping!$C755,'[1]TrialBalance (Quarter)'!A:A,0),MATCH([1]TBMapping!M$3,'[1]TrialBalance (Quarter)'!$7:$7,0)),0)</f>
        <v>0</v>
      </c>
      <c r="M753" s="5">
        <f>IFERROR(INDEX('[1]TrialBalance (Quarter)'!$A:$L,MATCH([1]TBMapping!$C755,'[1]TrialBalance (Quarter)'!A:A,0),MATCH([1]TBMapping!N$3,'[1]TrialBalance (Quarter)'!$7:$7,0)),0)</f>
        <v>0</v>
      </c>
      <c r="N753" s="5">
        <f>IFERROR(INDEX('[1]TrialBalance (Quarter)'!$A:$L,MATCH([1]TBMapping!$C755,'[1]TrialBalance (Quarter)'!A:A,0),MATCH([1]TBMapping!O$3,'[1]TrialBalance (Quarter)'!$7:$7,0)),0)</f>
        <v>0</v>
      </c>
    </row>
    <row r="754" spans="1:14">
      <c r="A754" s="2">
        <v>5</v>
      </c>
      <c r="B754" s="3">
        <v>232220</v>
      </c>
      <c r="C754" s="11" t="s">
        <v>593</v>
      </c>
      <c r="D754" s="11" t="s">
        <v>11</v>
      </c>
      <c r="E754" s="11"/>
      <c r="F754" s="5" t="e">
        <f>IF(DataExtraction="Manual",SUMIF('[1]TrialBalance (YTD)'!$C:$C,B754,'[1]TrialBalance (YTD)'!$E:$E),SUMIF('[1]TrialBalance (YTD)'!$G:$G,B754,'[1]TrialBalance (YTD)'!$I:$I))</f>
        <v>#VALUE!</v>
      </c>
      <c r="G754" s="5">
        <f>IFERROR(INDEX('[1]TrialBalance (YTD)'!$G:$S,MATCH([1]TBMapping!$C756,'[1]TrialBalance (YTD)'!G:G,0),MATCH([1]TBMapping!H$3,'[1]TrialBalance (YTD)'!$G$7:$Z$7,0)),0)</f>
        <v>0</v>
      </c>
      <c r="H754" s="5" t="e">
        <f>SUMIF('[1]TrialBalance (YTD)'!G:G,B754,'[1]TrialBalance (YTD)'!H:H)</f>
        <v>#VALUE!</v>
      </c>
      <c r="I754" s="5">
        <f>IFERROR(INDEX('[1]TrialBalance (YTD)'!$G:$S,MATCH([1]TBMapping!$C756,'[1]TrialBalance (YTD)'!G:G,0),MATCH([1]TBMapping!J$3,'[1]TrialBalance (YTD)'!$G$7:$Z$7,0)),0)</f>
        <v>0</v>
      </c>
      <c r="K754" s="5" t="e">
        <f>SUMIF('[1]TrialBalance (Quarter)'!$A:$A,B754,'[1]TrialBalance (Quarter)'!$B:$B)</f>
        <v>#VALUE!</v>
      </c>
      <c r="L754" s="5">
        <f>IFERROR(INDEX('[1]TrialBalance (Quarter)'!$A:$L,MATCH([1]TBMapping!$C756,'[1]TrialBalance (Quarter)'!A:A,0),MATCH([1]TBMapping!M$3,'[1]TrialBalance (Quarter)'!$7:$7,0)),0)</f>
        <v>0</v>
      </c>
      <c r="M754" s="5">
        <f>IFERROR(INDEX('[1]TrialBalance (Quarter)'!$A:$L,MATCH([1]TBMapping!$C756,'[1]TrialBalance (Quarter)'!A:A,0),MATCH([1]TBMapping!N$3,'[1]TrialBalance (Quarter)'!$7:$7,0)),0)</f>
        <v>0</v>
      </c>
      <c r="N754" s="5">
        <f>IFERROR(INDEX('[1]TrialBalance (Quarter)'!$A:$L,MATCH([1]TBMapping!$C756,'[1]TrialBalance (Quarter)'!A:A,0),MATCH([1]TBMapping!O$3,'[1]TrialBalance (Quarter)'!$7:$7,0)),0)</f>
        <v>0</v>
      </c>
    </row>
    <row r="755" spans="1:14">
      <c r="A755" s="2">
        <v>5</v>
      </c>
      <c r="B755" s="3">
        <v>232221</v>
      </c>
      <c r="C755" s="10" t="s">
        <v>594</v>
      </c>
      <c r="D755" s="10" t="s">
        <v>11</v>
      </c>
      <c r="E755" s="10"/>
      <c r="F755" s="5" t="e">
        <f>IF(DataExtraction="Manual",SUMIF('[1]TrialBalance (YTD)'!$C:$C,B755,'[1]TrialBalance (YTD)'!$E:$E),SUMIF('[1]TrialBalance (YTD)'!$G:$G,B755,'[1]TrialBalance (YTD)'!$I:$I))</f>
        <v>#VALUE!</v>
      </c>
      <c r="G755" s="5">
        <f>IFERROR(INDEX('[1]TrialBalance (YTD)'!$G:$S,MATCH([1]TBMapping!$C757,'[1]TrialBalance (YTD)'!G:G,0),MATCH([1]TBMapping!H$3,'[1]TrialBalance (YTD)'!$G$7:$Z$7,0)),0)</f>
        <v>0</v>
      </c>
      <c r="H755" s="5" t="e">
        <f>SUMIF('[1]TrialBalance (YTD)'!G:G,B755,'[1]TrialBalance (YTD)'!H:H)</f>
        <v>#VALUE!</v>
      </c>
      <c r="I755" s="5">
        <f>IFERROR(INDEX('[1]TrialBalance (YTD)'!$G:$S,MATCH([1]TBMapping!$C757,'[1]TrialBalance (YTD)'!G:G,0),MATCH([1]TBMapping!J$3,'[1]TrialBalance (YTD)'!$G$7:$Z$7,0)),0)</f>
        <v>0</v>
      </c>
      <c r="K755" s="5" t="e">
        <f>SUMIF('[1]TrialBalance (Quarter)'!$A:$A,B755,'[1]TrialBalance (Quarter)'!$B:$B)</f>
        <v>#VALUE!</v>
      </c>
      <c r="L755" s="5">
        <f>IFERROR(INDEX('[1]TrialBalance (Quarter)'!$A:$L,MATCH([1]TBMapping!$C757,'[1]TrialBalance (Quarter)'!A:A,0),MATCH([1]TBMapping!M$3,'[1]TrialBalance (Quarter)'!$7:$7,0)),0)</f>
        <v>0</v>
      </c>
      <c r="M755" s="5">
        <f>IFERROR(INDEX('[1]TrialBalance (Quarter)'!$A:$L,MATCH([1]TBMapping!$C757,'[1]TrialBalance (Quarter)'!A:A,0),MATCH([1]TBMapping!N$3,'[1]TrialBalance (Quarter)'!$7:$7,0)),0)</f>
        <v>0</v>
      </c>
      <c r="N755" s="5">
        <f>IFERROR(INDEX('[1]TrialBalance (Quarter)'!$A:$L,MATCH([1]TBMapping!$C757,'[1]TrialBalance (Quarter)'!A:A,0),MATCH([1]TBMapping!O$3,'[1]TrialBalance (Quarter)'!$7:$7,0)),0)</f>
        <v>0</v>
      </c>
    </row>
    <row r="756" spans="1:14">
      <c r="A756" s="2">
        <v>5</v>
      </c>
      <c r="B756" s="3">
        <v>232230</v>
      </c>
      <c r="C756" s="11" t="s">
        <v>595</v>
      </c>
      <c r="D756" s="11" t="s">
        <v>11</v>
      </c>
      <c r="E756" s="11"/>
      <c r="F756" s="5" t="e">
        <f>IF(DataExtraction="Manual",SUMIF('[1]TrialBalance (YTD)'!$C:$C,B756,'[1]TrialBalance (YTD)'!$E:$E),SUMIF('[1]TrialBalance (YTD)'!$G:$G,B756,'[1]TrialBalance (YTD)'!$I:$I))</f>
        <v>#VALUE!</v>
      </c>
      <c r="G756" s="5">
        <f>IFERROR(INDEX('[1]TrialBalance (YTD)'!$G:$S,MATCH([1]TBMapping!$C758,'[1]TrialBalance (YTD)'!G:G,0),MATCH([1]TBMapping!H$3,'[1]TrialBalance (YTD)'!$G$7:$Z$7,0)),0)</f>
        <v>0</v>
      </c>
      <c r="H756" s="5" t="e">
        <f>SUMIF('[1]TrialBalance (YTD)'!G:G,B756,'[1]TrialBalance (YTD)'!H:H)</f>
        <v>#VALUE!</v>
      </c>
      <c r="I756" s="5">
        <f>IFERROR(INDEX('[1]TrialBalance (YTD)'!$G:$S,MATCH([1]TBMapping!$C758,'[1]TrialBalance (YTD)'!G:G,0),MATCH([1]TBMapping!J$3,'[1]TrialBalance (YTD)'!$G$7:$Z$7,0)),0)</f>
        <v>0</v>
      </c>
      <c r="K756" s="5" t="e">
        <f>SUMIF('[1]TrialBalance (Quarter)'!$A:$A,B756,'[1]TrialBalance (Quarter)'!$B:$B)</f>
        <v>#VALUE!</v>
      </c>
      <c r="L756" s="5">
        <f>IFERROR(INDEX('[1]TrialBalance (Quarter)'!$A:$L,MATCH([1]TBMapping!$C758,'[1]TrialBalance (Quarter)'!A:A,0),MATCH([1]TBMapping!M$3,'[1]TrialBalance (Quarter)'!$7:$7,0)),0)</f>
        <v>0</v>
      </c>
      <c r="M756" s="5">
        <f>IFERROR(INDEX('[1]TrialBalance (Quarter)'!$A:$L,MATCH([1]TBMapping!$C758,'[1]TrialBalance (Quarter)'!A:A,0),MATCH([1]TBMapping!N$3,'[1]TrialBalance (Quarter)'!$7:$7,0)),0)</f>
        <v>0</v>
      </c>
      <c r="N756" s="5">
        <f>IFERROR(INDEX('[1]TrialBalance (Quarter)'!$A:$L,MATCH([1]TBMapping!$C758,'[1]TrialBalance (Quarter)'!A:A,0),MATCH([1]TBMapping!O$3,'[1]TrialBalance (Quarter)'!$7:$7,0)),0)</f>
        <v>0</v>
      </c>
    </row>
    <row r="757" spans="1:14">
      <c r="A757" s="2">
        <v>5</v>
      </c>
      <c r="B757" s="3">
        <v>232240</v>
      </c>
      <c r="C757" s="10" t="s">
        <v>596</v>
      </c>
      <c r="D757" s="10" t="s">
        <v>11</v>
      </c>
      <c r="E757" s="10"/>
      <c r="F757" s="5" t="e">
        <f>IF(DataExtraction="Manual",SUMIF('[1]TrialBalance (YTD)'!$C:$C,B757,'[1]TrialBalance (YTD)'!$E:$E),SUMIF('[1]TrialBalance (YTD)'!$G:$G,B757,'[1]TrialBalance (YTD)'!$I:$I))</f>
        <v>#VALUE!</v>
      </c>
      <c r="G757" s="5">
        <f>IFERROR(INDEX('[1]TrialBalance (YTD)'!$G:$S,MATCH([1]TBMapping!$C759,'[1]TrialBalance (YTD)'!G:G,0),MATCH([1]TBMapping!H$3,'[1]TrialBalance (YTD)'!$G$7:$Z$7,0)),0)</f>
        <v>0</v>
      </c>
      <c r="H757" s="5" t="e">
        <f>SUMIF('[1]TrialBalance (YTD)'!G:G,B757,'[1]TrialBalance (YTD)'!H:H)</f>
        <v>#VALUE!</v>
      </c>
      <c r="I757" s="5">
        <f>IFERROR(INDEX('[1]TrialBalance (YTD)'!$G:$S,MATCH([1]TBMapping!$C759,'[1]TrialBalance (YTD)'!G:G,0),MATCH([1]TBMapping!J$3,'[1]TrialBalance (YTD)'!$G$7:$Z$7,0)),0)</f>
        <v>0</v>
      </c>
      <c r="K757" s="5" t="e">
        <f>SUMIF('[1]TrialBalance (Quarter)'!$A:$A,B757,'[1]TrialBalance (Quarter)'!$B:$B)</f>
        <v>#VALUE!</v>
      </c>
      <c r="L757" s="5">
        <f>IFERROR(INDEX('[1]TrialBalance (Quarter)'!$A:$L,MATCH([1]TBMapping!$C759,'[1]TrialBalance (Quarter)'!A:A,0),MATCH([1]TBMapping!M$3,'[1]TrialBalance (Quarter)'!$7:$7,0)),0)</f>
        <v>0</v>
      </c>
      <c r="M757" s="5">
        <f>IFERROR(INDEX('[1]TrialBalance (Quarter)'!$A:$L,MATCH([1]TBMapping!$C759,'[1]TrialBalance (Quarter)'!A:A,0),MATCH([1]TBMapping!N$3,'[1]TrialBalance (Quarter)'!$7:$7,0)),0)</f>
        <v>0</v>
      </c>
      <c r="N757" s="5">
        <f>IFERROR(INDEX('[1]TrialBalance (Quarter)'!$A:$L,MATCH([1]TBMapping!$C759,'[1]TrialBalance (Quarter)'!A:A,0),MATCH([1]TBMapping!O$3,'[1]TrialBalance (Quarter)'!$7:$7,0)),0)</f>
        <v>0</v>
      </c>
    </row>
    <row r="758" spans="1:14">
      <c r="A758" s="2">
        <v>5</v>
      </c>
      <c r="B758" s="3">
        <v>232250</v>
      </c>
      <c r="C758" s="11" t="s">
        <v>597</v>
      </c>
      <c r="D758" s="11" t="s">
        <v>11</v>
      </c>
      <c r="E758" s="11"/>
      <c r="F758" s="5" t="e">
        <f>IF(DataExtraction="Manual",SUMIF('[1]TrialBalance (YTD)'!$C:$C,B758,'[1]TrialBalance (YTD)'!$E:$E),SUMIF('[1]TrialBalance (YTD)'!$G:$G,B758,'[1]TrialBalance (YTD)'!$I:$I))</f>
        <v>#VALUE!</v>
      </c>
      <c r="G758" s="5">
        <f>IFERROR(INDEX('[1]TrialBalance (YTD)'!$G:$S,MATCH([1]TBMapping!$C760,'[1]TrialBalance (YTD)'!G:G,0),MATCH([1]TBMapping!H$3,'[1]TrialBalance (YTD)'!$G$7:$Z$7,0)),0)</f>
        <v>0</v>
      </c>
      <c r="H758" s="5" t="e">
        <f>SUMIF('[1]TrialBalance (YTD)'!G:G,B758,'[1]TrialBalance (YTD)'!H:H)</f>
        <v>#VALUE!</v>
      </c>
      <c r="I758" s="5">
        <f>IFERROR(INDEX('[1]TrialBalance (YTD)'!$G:$S,MATCH([1]TBMapping!$C760,'[1]TrialBalance (YTD)'!G:G,0),MATCH([1]TBMapping!J$3,'[1]TrialBalance (YTD)'!$G$7:$Z$7,0)),0)</f>
        <v>0</v>
      </c>
      <c r="K758" s="5" t="e">
        <f>SUMIF('[1]TrialBalance (Quarter)'!$A:$A,B758,'[1]TrialBalance (Quarter)'!$B:$B)</f>
        <v>#VALUE!</v>
      </c>
      <c r="L758" s="5">
        <f>IFERROR(INDEX('[1]TrialBalance (Quarter)'!$A:$L,MATCH([1]TBMapping!$C760,'[1]TrialBalance (Quarter)'!A:A,0),MATCH([1]TBMapping!M$3,'[1]TrialBalance (Quarter)'!$7:$7,0)),0)</f>
        <v>0</v>
      </c>
      <c r="M758" s="5">
        <f>IFERROR(INDEX('[1]TrialBalance (Quarter)'!$A:$L,MATCH([1]TBMapping!$C760,'[1]TrialBalance (Quarter)'!A:A,0),MATCH([1]TBMapping!N$3,'[1]TrialBalance (Quarter)'!$7:$7,0)),0)</f>
        <v>0</v>
      </c>
      <c r="N758" s="5">
        <f>IFERROR(INDEX('[1]TrialBalance (Quarter)'!$A:$L,MATCH([1]TBMapping!$C760,'[1]TrialBalance (Quarter)'!A:A,0),MATCH([1]TBMapping!O$3,'[1]TrialBalance (Quarter)'!$7:$7,0)),0)</f>
        <v>0</v>
      </c>
    </row>
    <row r="759" spans="1:14">
      <c r="A759" s="2">
        <v>5</v>
      </c>
      <c r="B759" s="3">
        <v>232255</v>
      </c>
      <c r="C759" s="10" t="s">
        <v>592</v>
      </c>
      <c r="D759" s="10" t="s">
        <v>11</v>
      </c>
      <c r="E759" s="10"/>
      <c r="F759" s="5" t="e">
        <f>IF(DataExtraction="Manual",SUMIF('[1]TrialBalance (YTD)'!$C:$C,B759,'[1]TrialBalance (YTD)'!$E:$E),SUMIF('[1]TrialBalance (YTD)'!$G:$G,B759,'[1]TrialBalance (YTD)'!$I:$I))</f>
        <v>#VALUE!</v>
      </c>
      <c r="G759" s="5">
        <f>IFERROR(INDEX('[1]TrialBalance (YTD)'!$G:$S,MATCH([1]TBMapping!$C761,'[1]TrialBalance (YTD)'!G:G,0),MATCH([1]TBMapping!H$3,'[1]TrialBalance (YTD)'!$G$7:$Z$7,0)),0)</f>
        <v>0</v>
      </c>
      <c r="H759" s="5" t="e">
        <f>SUMIF('[1]TrialBalance (YTD)'!G:G,B759,'[1]TrialBalance (YTD)'!H:H)</f>
        <v>#VALUE!</v>
      </c>
      <c r="I759" s="5">
        <f>IFERROR(INDEX('[1]TrialBalance (YTD)'!$G:$S,MATCH([1]TBMapping!$C761,'[1]TrialBalance (YTD)'!G:G,0),MATCH([1]TBMapping!J$3,'[1]TrialBalance (YTD)'!$G$7:$Z$7,0)),0)</f>
        <v>0</v>
      </c>
      <c r="K759" s="5" t="e">
        <f>SUMIF('[1]TrialBalance (Quarter)'!$A:$A,B759,'[1]TrialBalance (Quarter)'!$B:$B)</f>
        <v>#VALUE!</v>
      </c>
      <c r="L759" s="5">
        <f>IFERROR(INDEX('[1]TrialBalance (Quarter)'!$A:$L,MATCH([1]TBMapping!$C761,'[1]TrialBalance (Quarter)'!A:A,0),MATCH([1]TBMapping!M$3,'[1]TrialBalance (Quarter)'!$7:$7,0)),0)</f>
        <v>0</v>
      </c>
      <c r="M759" s="5">
        <f>IFERROR(INDEX('[1]TrialBalance (Quarter)'!$A:$L,MATCH([1]TBMapping!$C761,'[1]TrialBalance (Quarter)'!A:A,0),MATCH([1]TBMapping!N$3,'[1]TrialBalance (Quarter)'!$7:$7,0)),0)</f>
        <v>0</v>
      </c>
      <c r="N759" s="5">
        <f>IFERROR(INDEX('[1]TrialBalance (Quarter)'!$A:$L,MATCH([1]TBMapping!$C761,'[1]TrialBalance (Quarter)'!A:A,0),MATCH([1]TBMapping!O$3,'[1]TrialBalance (Quarter)'!$7:$7,0)),0)</f>
        <v>0</v>
      </c>
    </row>
    <row r="760" spans="1:14">
      <c r="A760" s="2">
        <v>5</v>
      </c>
      <c r="B760" s="3">
        <v>232260</v>
      </c>
      <c r="C760" s="11" t="s">
        <v>598</v>
      </c>
      <c r="D760" s="11" t="s">
        <v>11</v>
      </c>
      <c r="E760" s="11"/>
      <c r="F760" s="5" t="e">
        <f>IF(DataExtraction="Manual",SUMIF('[1]TrialBalance (YTD)'!$C:$C,B760,'[1]TrialBalance (YTD)'!$E:$E),SUMIF('[1]TrialBalance (YTD)'!$G:$G,B760,'[1]TrialBalance (YTD)'!$I:$I))</f>
        <v>#VALUE!</v>
      </c>
      <c r="G760" s="5">
        <f>IFERROR(INDEX('[1]TrialBalance (YTD)'!$G:$S,MATCH([1]TBMapping!$C762,'[1]TrialBalance (YTD)'!G:G,0),MATCH([1]TBMapping!H$3,'[1]TrialBalance (YTD)'!$G$7:$Z$7,0)),0)</f>
        <v>0</v>
      </c>
      <c r="H760" s="5" t="e">
        <f>SUMIF('[1]TrialBalance (YTD)'!G:G,B760,'[1]TrialBalance (YTD)'!H:H)</f>
        <v>#VALUE!</v>
      </c>
      <c r="I760" s="5">
        <f>IFERROR(INDEX('[1]TrialBalance (YTD)'!$G:$S,MATCH([1]TBMapping!$C762,'[1]TrialBalance (YTD)'!G:G,0),MATCH([1]TBMapping!J$3,'[1]TrialBalance (YTD)'!$G$7:$Z$7,0)),0)</f>
        <v>0</v>
      </c>
      <c r="K760" s="5" t="e">
        <f>SUMIF('[1]TrialBalance (Quarter)'!$A:$A,B760,'[1]TrialBalance (Quarter)'!$B:$B)</f>
        <v>#VALUE!</v>
      </c>
      <c r="L760" s="5">
        <f>IFERROR(INDEX('[1]TrialBalance (Quarter)'!$A:$L,MATCH([1]TBMapping!$C762,'[1]TrialBalance (Quarter)'!A:A,0),MATCH([1]TBMapping!M$3,'[1]TrialBalance (Quarter)'!$7:$7,0)),0)</f>
        <v>0</v>
      </c>
      <c r="M760" s="5">
        <f>IFERROR(INDEX('[1]TrialBalance (Quarter)'!$A:$L,MATCH([1]TBMapping!$C762,'[1]TrialBalance (Quarter)'!A:A,0),MATCH([1]TBMapping!N$3,'[1]TrialBalance (Quarter)'!$7:$7,0)),0)</f>
        <v>0</v>
      </c>
      <c r="N760" s="5">
        <f>IFERROR(INDEX('[1]TrialBalance (Quarter)'!$A:$L,MATCH([1]TBMapping!$C762,'[1]TrialBalance (Quarter)'!A:A,0),MATCH([1]TBMapping!O$3,'[1]TrialBalance (Quarter)'!$7:$7,0)),0)</f>
        <v>0</v>
      </c>
    </row>
    <row r="761" spans="1:14">
      <c r="A761" s="2">
        <v>5</v>
      </c>
      <c r="B761" s="3">
        <v>232270</v>
      </c>
      <c r="C761" s="10" t="s">
        <v>510</v>
      </c>
      <c r="D761" s="10" t="s">
        <v>11</v>
      </c>
      <c r="E761" s="10"/>
      <c r="F761" s="5" t="e">
        <f>IF(DataExtraction="Manual",SUMIF('[1]TrialBalance (YTD)'!$C:$C,B761,'[1]TrialBalance (YTD)'!$E:$E),SUMIF('[1]TrialBalance (YTD)'!$G:$G,B761,'[1]TrialBalance (YTD)'!$I:$I))</f>
        <v>#VALUE!</v>
      </c>
      <c r="G761" s="5">
        <f>IFERROR(INDEX('[1]TrialBalance (YTD)'!$G:$S,MATCH([1]TBMapping!$C763,'[1]TrialBalance (YTD)'!G:G,0),MATCH([1]TBMapping!H$3,'[1]TrialBalance (YTD)'!$G$7:$Z$7,0)),0)</f>
        <v>0</v>
      </c>
      <c r="H761" s="5" t="e">
        <f>SUMIF('[1]TrialBalance (YTD)'!G:G,B761,'[1]TrialBalance (YTD)'!H:H)</f>
        <v>#VALUE!</v>
      </c>
      <c r="I761" s="5">
        <f>IFERROR(INDEX('[1]TrialBalance (YTD)'!$G:$S,MATCH([1]TBMapping!$C763,'[1]TrialBalance (YTD)'!G:G,0),MATCH([1]TBMapping!J$3,'[1]TrialBalance (YTD)'!$G$7:$Z$7,0)),0)</f>
        <v>0</v>
      </c>
      <c r="K761" s="5" t="e">
        <f>SUMIF('[1]TrialBalance (Quarter)'!$A:$A,B761,'[1]TrialBalance (Quarter)'!$B:$B)</f>
        <v>#VALUE!</v>
      </c>
      <c r="L761" s="5">
        <f>IFERROR(INDEX('[1]TrialBalance (Quarter)'!$A:$L,MATCH([1]TBMapping!$C763,'[1]TrialBalance (Quarter)'!A:A,0),MATCH([1]TBMapping!M$3,'[1]TrialBalance (Quarter)'!$7:$7,0)),0)</f>
        <v>0</v>
      </c>
      <c r="M761" s="5">
        <f>IFERROR(INDEX('[1]TrialBalance (Quarter)'!$A:$L,MATCH([1]TBMapping!$C763,'[1]TrialBalance (Quarter)'!A:A,0),MATCH([1]TBMapping!N$3,'[1]TrialBalance (Quarter)'!$7:$7,0)),0)</f>
        <v>0</v>
      </c>
      <c r="N761" s="5">
        <f>IFERROR(INDEX('[1]TrialBalance (Quarter)'!$A:$L,MATCH([1]TBMapping!$C763,'[1]TrialBalance (Quarter)'!A:A,0),MATCH([1]TBMapping!O$3,'[1]TrialBalance (Quarter)'!$7:$7,0)),0)</f>
        <v>0</v>
      </c>
    </row>
    <row r="762" spans="1:14">
      <c r="B762" s="3">
        <v>232999</v>
      </c>
      <c r="C762" s="11" t="s">
        <v>600</v>
      </c>
      <c r="D762" s="11" t="s">
        <v>16</v>
      </c>
      <c r="E762" s="11"/>
      <c r="F762" s="5" t="e">
        <f>IF(DataExtraction="Manual",SUMIF('[1]TrialBalance (YTD)'!$C:$C,B762,'[1]TrialBalance (YTD)'!$E:$E),SUMIF('[1]TrialBalance (YTD)'!$G:$G,B762,'[1]TrialBalance (YTD)'!$I:$I))</f>
        <v>#VALUE!</v>
      </c>
      <c r="G762" s="5">
        <f>IFERROR(INDEX('[1]TrialBalance (YTD)'!$G:$S,MATCH([1]TBMapping!$C764,'[1]TrialBalance (YTD)'!G:G,0),MATCH([1]TBMapping!H$3,'[1]TrialBalance (YTD)'!$G$7:$Z$7,0)),0)</f>
        <v>0</v>
      </c>
      <c r="H762" s="5" t="e">
        <f>SUMIF('[1]TrialBalance (YTD)'!G:G,B762,'[1]TrialBalance (YTD)'!H:H)</f>
        <v>#VALUE!</v>
      </c>
      <c r="I762" s="5">
        <f>IFERROR(INDEX('[1]TrialBalance (YTD)'!$G:$S,MATCH([1]TBMapping!$C764,'[1]TrialBalance (YTD)'!G:G,0),MATCH([1]TBMapping!J$3,'[1]TrialBalance (YTD)'!$G$7:$Z$7,0)),0)</f>
        <v>0</v>
      </c>
      <c r="K762" s="5" t="e">
        <f>SUMIF('[1]TrialBalance (Quarter)'!$A:$A,B762,'[1]TrialBalance (Quarter)'!$B:$B)</f>
        <v>#VALUE!</v>
      </c>
      <c r="L762" s="5">
        <f>IFERROR(INDEX('[1]TrialBalance (Quarter)'!$A:$L,MATCH([1]TBMapping!$C764,'[1]TrialBalance (Quarter)'!A:A,0),MATCH([1]TBMapping!M$3,'[1]TrialBalance (Quarter)'!$7:$7,0)),0)</f>
        <v>0</v>
      </c>
      <c r="M762" s="5">
        <f>IFERROR(INDEX('[1]TrialBalance (Quarter)'!$A:$L,MATCH([1]TBMapping!$C764,'[1]TrialBalance (Quarter)'!A:A,0),MATCH([1]TBMapping!N$3,'[1]TrialBalance (Quarter)'!$7:$7,0)),0)</f>
        <v>0</v>
      </c>
      <c r="N762" s="5">
        <f>IFERROR(INDEX('[1]TrialBalance (Quarter)'!$A:$L,MATCH([1]TBMapping!$C764,'[1]TrialBalance (Quarter)'!A:A,0),MATCH([1]TBMapping!O$3,'[1]TrialBalance (Quarter)'!$7:$7,0)),0)</f>
        <v>0</v>
      </c>
    </row>
    <row r="763" spans="1:14">
      <c r="B763" s="3">
        <v>233000</v>
      </c>
      <c r="C763" s="10" t="s">
        <v>601</v>
      </c>
      <c r="D763" s="10" t="s">
        <v>5</v>
      </c>
      <c r="E763" s="10"/>
      <c r="F763" s="5" t="e">
        <f>IF(DataExtraction="Manual",SUMIF('[1]TrialBalance (YTD)'!$C:$C,B763,'[1]TrialBalance (YTD)'!$E:$E),SUMIF('[1]TrialBalance (YTD)'!$G:$G,B763,'[1]TrialBalance (YTD)'!$I:$I))</f>
        <v>#VALUE!</v>
      </c>
      <c r="G763" s="5">
        <f>IFERROR(INDEX('[1]TrialBalance (YTD)'!$G:$S,MATCH([1]TBMapping!$C765,'[1]TrialBalance (YTD)'!G:G,0),MATCH([1]TBMapping!H$3,'[1]TrialBalance (YTD)'!$G$7:$Z$7,0)),0)</f>
        <v>0</v>
      </c>
      <c r="H763" s="5" t="e">
        <f>SUMIF('[1]TrialBalance (YTD)'!G:G,B763,'[1]TrialBalance (YTD)'!H:H)</f>
        <v>#VALUE!</v>
      </c>
      <c r="I763" s="5">
        <f>IFERROR(INDEX('[1]TrialBalance (YTD)'!$G:$S,MATCH([1]TBMapping!$C765,'[1]TrialBalance (YTD)'!G:G,0),MATCH([1]TBMapping!J$3,'[1]TrialBalance (YTD)'!$G$7:$Z$7,0)),0)</f>
        <v>0</v>
      </c>
      <c r="K763" s="5" t="e">
        <f>SUMIF('[1]TrialBalance (Quarter)'!$A:$A,B763,'[1]TrialBalance (Quarter)'!$B:$B)</f>
        <v>#VALUE!</v>
      </c>
      <c r="L763" s="5">
        <f>IFERROR(INDEX('[1]TrialBalance (Quarter)'!$A:$L,MATCH([1]TBMapping!$C765,'[1]TrialBalance (Quarter)'!A:A,0),MATCH([1]TBMapping!M$3,'[1]TrialBalance (Quarter)'!$7:$7,0)),0)</f>
        <v>0</v>
      </c>
      <c r="M763" s="5">
        <f>IFERROR(INDEX('[1]TrialBalance (Quarter)'!$A:$L,MATCH([1]TBMapping!$C765,'[1]TrialBalance (Quarter)'!A:A,0),MATCH([1]TBMapping!N$3,'[1]TrialBalance (Quarter)'!$7:$7,0)),0)</f>
        <v>0</v>
      </c>
      <c r="N763" s="5">
        <f>IFERROR(INDEX('[1]TrialBalance (Quarter)'!$A:$L,MATCH([1]TBMapping!$C765,'[1]TrialBalance (Quarter)'!A:A,0),MATCH([1]TBMapping!O$3,'[1]TrialBalance (Quarter)'!$7:$7,0)),0)</f>
        <v>0</v>
      </c>
    </row>
    <row r="764" spans="1:14">
      <c r="A764" s="2">
        <v>6</v>
      </c>
      <c r="B764" s="3">
        <v>233110</v>
      </c>
      <c r="C764" s="11" t="s">
        <v>507</v>
      </c>
      <c r="D764" s="11" t="s">
        <v>11</v>
      </c>
      <c r="E764" s="11"/>
      <c r="F764" s="5" t="e">
        <f>IF(DataExtraction="Manual",SUMIF('[1]TrialBalance (YTD)'!$C:$C,B764,'[1]TrialBalance (YTD)'!$E:$E),SUMIF('[1]TrialBalance (YTD)'!$G:$G,B764,'[1]TrialBalance (YTD)'!$I:$I))</f>
        <v>#VALUE!</v>
      </c>
      <c r="G764" s="5">
        <f>IFERROR(INDEX('[1]TrialBalance (YTD)'!$G:$S,MATCH([1]TBMapping!$C766,'[1]TrialBalance (YTD)'!G:G,0),MATCH([1]TBMapping!H$3,'[1]TrialBalance (YTD)'!$G$7:$Z$7,0)),0)</f>
        <v>0</v>
      </c>
      <c r="H764" s="5" t="e">
        <f>SUMIF('[1]TrialBalance (YTD)'!G:G,B764,'[1]TrialBalance (YTD)'!H:H)</f>
        <v>#VALUE!</v>
      </c>
      <c r="I764" s="5">
        <f>IFERROR(INDEX('[1]TrialBalance (YTD)'!$G:$S,MATCH([1]TBMapping!$C766,'[1]TrialBalance (YTD)'!G:G,0),MATCH([1]TBMapping!J$3,'[1]TrialBalance (YTD)'!$G$7:$Z$7,0)),0)</f>
        <v>0</v>
      </c>
      <c r="K764" s="5" t="e">
        <f>SUMIF('[1]TrialBalance (Quarter)'!$A:$A,B764,'[1]TrialBalance (Quarter)'!$B:$B)</f>
        <v>#VALUE!</v>
      </c>
      <c r="L764" s="5">
        <f>IFERROR(INDEX('[1]TrialBalance (Quarter)'!$A:$L,MATCH([1]TBMapping!$C766,'[1]TrialBalance (Quarter)'!A:A,0),MATCH([1]TBMapping!M$3,'[1]TrialBalance (Quarter)'!$7:$7,0)),0)</f>
        <v>0</v>
      </c>
      <c r="M764" s="5">
        <f>IFERROR(INDEX('[1]TrialBalance (Quarter)'!$A:$L,MATCH([1]TBMapping!$C766,'[1]TrialBalance (Quarter)'!A:A,0),MATCH([1]TBMapping!N$3,'[1]TrialBalance (Quarter)'!$7:$7,0)),0)</f>
        <v>0</v>
      </c>
      <c r="N764" s="5">
        <f>IFERROR(INDEX('[1]TrialBalance (Quarter)'!$A:$L,MATCH([1]TBMapping!$C766,'[1]TrialBalance (Quarter)'!A:A,0),MATCH([1]TBMapping!O$3,'[1]TrialBalance (Quarter)'!$7:$7,0)),0)</f>
        <v>0</v>
      </c>
    </row>
    <row r="765" spans="1:14">
      <c r="A765" s="2">
        <v>6</v>
      </c>
      <c r="B765" s="3">
        <v>233115</v>
      </c>
      <c r="C765" s="10" t="s">
        <v>560</v>
      </c>
      <c r="D765" s="10" t="s">
        <v>11</v>
      </c>
      <c r="E765" s="10"/>
      <c r="F765" s="5" t="e">
        <f>IF(DataExtraction="Manual",SUMIF('[1]TrialBalance (YTD)'!$C:$C,B765,'[1]TrialBalance (YTD)'!$E:$E),SUMIF('[1]TrialBalance (YTD)'!$G:$G,B765,'[1]TrialBalance (YTD)'!$I:$I))</f>
        <v>#VALUE!</v>
      </c>
      <c r="G765" s="5">
        <f>IFERROR(INDEX('[1]TrialBalance (YTD)'!$G:$S,MATCH([1]TBMapping!$C767,'[1]TrialBalance (YTD)'!G:G,0),MATCH([1]TBMapping!H$3,'[1]TrialBalance (YTD)'!$G$7:$Z$7,0)),0)</f>
        <v>0</v>
      </c>
      <c r="H765" s="5" t="e">
        <f>SUMIF('[1]TrialBalance (YTD)'!G:G,B765,'[1]TrialBalance (YTD)'!H:H)</f>
        <v>#VALUE!</v>
      </c>
      <c r="I765" s="5">
        <f>IFERROR(INDEX('[1]TrialBalance (YTD)'!$G:$S,MATCH([1]TBMapping!$C767,'[1]TrialBalance (YTD)'!G:G,0),MATCH([1]TBMapping!J$3,'[1]TrialBalance (YTD)'!$G$7:$Z$7,0)),0)</f>
        <v>0</v>
      </c>
      <c r="K765" s="5" t="e">
        <f>SUMIF('[1]TrialBalance (Quarter)'!$A:$A,B765,'[1]TrialBalance (Quarter)'!$B:$B)</f>
        <v>#VALUE!</v>
      </c>
      <c r="L765" s="5">
        <f>IFERROR(INDEX('[1]TrialBalance (Quarter)'!$A:$L,MATCH([1]TBMapping!$C767,'[1]TrialBalance (Quarter)'!A:A,0),MATCH([1]TBMapping!M$3,'[1]TrialBalance (Quarter)'!$7:$7,0)),0)</f>
        <v>0</v>
      </c>
      <c r="M765" s="5">
        <f>IFERROR(INDEX('[1]TrialBalance (Quarter)'!$A:$L,MATCH([1]TBMapping!$C767,'[1]TrialBalance (Quarter)'!A:A,0),MATCH([1]TBMapping!N$3,'[1]TrialBalance (Quarter)'!$7:$7,0)),0)</f>
        <v>0</v>
      </c>
      <c r="N765" s="5">
        <f>IFERROR(INDEX('[1]TrialBalance (Quarter)'!$A:$L,MATCH([1]TBMapping!$C767,'[1]TrialBalance (Quarter)'!A:A,0),MATCH([1]TBMapping!O$3,'[1]TrialBalance (Quarter)'!$7:$7,0)),0)</f>
        <v>0</v>
      </c>
    </row>
    <row r="766" spans="1:14">
      <c r="A766" s="2">
        <v>6</v>
      </c>
      <c r="B766" s="3">
        <v>233120</v>
      </c>
      <c r="C766" s="11" t="s">
        <v>509</v>
      </c>
      <c r="D766" s="11" t="s">
        <v>11</v>
      </c>
      <c r="E766" s="11"/>
      <c r="F766" s="5" t="e">
        <f>IF(DataExtraction="Manual",SUMIF('[1]TrialBalance (YTD)'!$C:$C,B766,'[1]TrialBalance (YTD)'!$E:$E),SUMIF('[1]TrialBalance (YTD)'!$G:$G,B766,'[1]TrialBalance (YTD)'!$I:$I))</f>
        <v>#VALUE!</v>
      </c>
      <c r="G766" s="5">
        <f>IFERROR(INDEX('[1]TrialBalance (YTD)'!$G:$S,MATCH([1]TBMapping!$C768,'[1]TrialBalance (YTD)'!G:G,0),MATCH([1]TBMapping!H$3,'[1]TrialBalance (YTD)'!$G$7:$Z$7,0)),0)</f>
        <v>0</v>
      </c>
      <c r="H766" s="5" t="e">
        <f>SUMIF('[1]TrialBalance (YTD)'!G:G,B766,'[1]TrialBalance (YTD)'!H:H)</f>
        <v>#VALUE!</v>
      </c>
      <c r="I766" s="5">
        <f>IFERROR(INDEX('[1]TrialBalance (YTD)'!$G:$S,MATCH([1]TBMapping!$C768,'[1]TrialBalance (YTD)'!G:G,0),MATCH([1]TBMapping!J$3,'[1]TrialBalance (YTD)'!$G$7:$Z$7,0)),0)</f>
        <v>0</v>
      </c>
      <c r="K766" s="5" t="e">
        <f>SUMIF('[1]TrialBalance (Quarter)'!$A:$A,B766,'[1]TrialBalance (Quarter)'!$B:$B)</f>
        <v>#VALUE!</v>
      </c>
      <c r="L766" s="5">
        <f>IFERROR(INDEX('[1]TrialBalance (Quarter)'!$A:$L,MATCH([1]TBMapping!$C768,'[1]TrialBalance (Quarter)'!A:A,0),MATCH([1]TBMapping!M$3,'[1]TrialBalance (Quarter)'!$7:$7,0)),0)</f>
        <v>0</v>
      </c>
      <c r="M766" s="5">
        <f>IFERROR(INDEX('[1]TrialBalance (Quarter)'!$A:$L,MATCH([1]TBMapping!$C768,'[1]TrialBalance (Quarter)'!A:A,0),MATCH([1]TBMapping!N$3,'[1]TrialBalance (Quarter)'!$7:$7,0)),0)</f>
        <v>0</v>
      </c>
      <c r="N766" s="5">
        <f>IFERROR(INDEX('[1]TrialBalance (Quarter)'!$A:$L,MATCH([1]TBMapping!$C768,'[1]TrialBalance (Quarter)'!A:A,0),MATCH([1]TBMapping!O$3,'[1]TrialBalance (Quarter)'!$7:$7,0)),0)</f>
        <v>0</v>
      </c>
    </row>
    <row r="767" spans="1:14">
      <c r="A767" s="2">
        <v>6</v>
      </c>
      <c r="B767" s="3">
        <v>233130</v>
      </c>
      <c r="C767" s="10" t="s">
        <v>510</v>
      </c>
      <c r="D767" s="10" t="s">
        <v>11</v>
      </c>
      <c r="E767" s="10"/>
      <c r="F767" s="5" t="e">
        <f>IF(DataExtraction="Manual",SUMIF('[1]TrialBalance (YTD)'!$C:$C,B767,'[1]TrialBalance (YTD)'!$E:$E),SUMIF('[1]TrialBalance (YTD)'!$G:$G,B767,'[1]TrialBalance (YTD)'!$I:$I))</f>
        <v>#VALUE!</v>
      </c>
      <c r="G767" s="5">
        <f>IFERROR(INDEX('[1]TrialBalance (YTD)'!$G:$S,MATCH([1]TBMapping!$C769,'[1]TrialBalance (YTD)'!G:G,0),MATCH([1]TBMapping!H$3,'[1]TrialBalance (YTD)'!$G$7:$Z$7,0)),0)</f>
        <v>0</v>
      </c>
      <c r="H767" s="5" t="e">
        <f>SUMIF('[1]TrialBalance (YTD)'!G:G,B767,'[1]TrialBalance (YTD)'!H:H)</f>
        <v>#VALUE!</v>
      </c>
      <c r="I767" s="5">
        <f>IFERROR(INDEX('[1]TrialBalance (YTD)'!$G:$S,MATCH([1]TBMapping!$C769,'[1]TrialBalance (YTD)'!G:G,0),MATCH([1]TBMapping!J$3,'[1]TrialBalance (YTD)'!$G$7:$Z$7,0)),0)</f>
        <v>0</v>
      </c>
      <c r="K767" s="5" t="e">
        <f>SUMIF('[1]TrialBalance (Quarter)'!$A:$A,B767,'[1]TrialBalance (Quarter)'!$B:$B)</f>
        <v>#VALUE!</v>
      </c>
      <c r="L767" s="5">
        <f>IFERROR(INDEX('[1]TrialBalance (Quarter)'!$A:$L,MATCH([1]TBMapping!$C769,'[1]TrialBalance (Quarter)'!A:A,0),MATCH([1]TBMapping!M$3,'[1]TrialBalance (Quarter)'!$7:$7,0)),0)</f>
        <v>0</v>
      </c>
      <c r="M767" s="5">
        <f>IFERROR(INDEX('[1]TrialBalance (Quarter)'!$A:$L,MATCH([1]TBMapping!$C769,'[1]TrialBalance (Quarter)'!A:A,0),MATCH([1]TBMapping!N$3,'[1]TrialBalance (Quarter)'!$7:$7,0)),0)</f>
        <v>0</v>
      </c>
      <c r="N767" s="5">
        <f>IFERROR(INDEX('[1]TrialBalance (Quarter)'!$A:$L,MATCH([1]TBMapping!$C769,'[1]TrialBalance (Quarter)'!A:A,0),MATCH([1]TBMapping!O$3,'[1]TrialBalance (Quarter)'!$7:$7,0)),0)</f>
        <v>0</v>
      </c>
    </row>
    <row r="768" spans="1:14">
      <c r="A768" s="2">
        <v>6</v>
      </c>
      <c r="B768" s="3">
        <v>233210</v>
      </c>
      <c r="C768" s="11" t="s">
        <v>561</v>
      </c>
      <c r="D768" s="11" t="s">
        <v>11</v>
      </c>
      <c r="E768" s="11"/>
      <c r="F768" s="5" t="e">
        <f>IF(DataExtraction="Manual",SUMIF('[1]TrialBalance (YTD)'!$C:$C,B768,'[1]TrialBalance (YTD)'!$E:$E),SUMIF('[1]TrialBalance (YTD)'!$G:$G,B768,'[1]TrialBalance (YTD)'!$I:$I))</f>
        <v>#VALUE!</v>
      </c>
      <c r="G768" s="5">
        <f>IFERROR(INDEX('[1]TrialBalance (YTD)'!$G:$S,MATCH([1]TBMapping!$C770,'[1]TrialBalance (YTD)'!G:G,0),MATCH([1]TBMapping!H$3,'[1]TrialBalance (YTD)'!$G$7:$Z$7,0)),0)</f>
        <v>0</v>
      </c>
      <c r="H768" s="5" t="e">
        <f>SUMIF('[1]TrialBalance (YTD)'!G:G,B768,'[1]TrialBalance (YTD)'!H:H)</f>
        <v>#VALUE!</v>
      </c>
      <c r="I768" s="5">
        <f>IFERROR(INDEX('[1]TrialBalance (YTD)'!$G:$S,MATCH([1]TBMapping!$C770,'[1]TrialBalance (YTD)'!G:G,0),MATCH([1]TBMapping!J$3,'[1]TrialBalance (YTD)'!$G$7:$Z$7,0)),0)</f>
        <v>0</v>
      </c>
      <c r="K768" s="5" t="e">
        <f>SUMIF('[1]TrialBalance (Quarter)'!$A:$A,B768,'[1]TrialBalance (Quarter)'!$B:$B)</f>
        <v>#VALUE!</v>
      </c>
      <c r="L768" s="5">
        <f>IFERROR(INDEX('[1]TrialBalance (Quarter)'!$A:$L,MATCH([1]TBMapping!$C770,'[1]TrialBalance (Quarter)'!A:A,0),MATCH([1]TBMapping!M$3,'[1]TrialBalance (Quarter)'!$7:$7,0)),0)</f>
        <v>0</v>
      </c>
      <c r="M768" s="5">
        <f>IFERROR(INDEX('[1]TrialBalance (Quarter)'!$A:$L,MATCH([1]TBMapping!$C770,'[1]TrialBalance (Quarter)'!A:A,0),MATCH([1]TBMapping!N$3,'[1]TrialBalance (Quarter)'!$7:$7,0)),0)</f>
        <v>0</v>
      </c>
      <c r="N768" s="5">
        <f>IFERROR(INDEX('[1]TrialBalance (Quarter)'!$A:$L,MATCH([1]TBMapping!$C770,'[1]TrialBalance (Quarter)'!A:A,0),MATCH([1]TBMapping!O$3,'[1]TrialBalance (Quarter)'!$7:$7,0)),0)</f>
        <v>0</v>
      </c>
    </row>
    <row r="769" spans="1:14">
      <c r="A769" s="2">
        <v>6</v>
      </c>
      <c r="B769" s="3">
        <v>233220</v>
      </c>
      <c r="C769" s="10" t="s">
        <v>602</v>
      </c>
      <c r="D769" s="10" t="s">
        <v>11</v>
      </c>
      <c r="E769" s="10"/>
      <c r="F769" s="5" t="e">
        <f>IF(DataExtraction="Manual",SUMIF('[1]TrialBalance (YTD)'!$C:$C,B769,'[1]TrialBalance (YTD)'!$E:$E),SUMIF('[1]TrialBalance (YTD)'!$G:$G,B769,'[1]TrialBalance (YTD)'!$I:$I))</f>
        <v>#VALUE!</v>
      </c>
      <c r="G769" s="5">
        <f>IFERROR(INDEX('[1]TrialBalance (YTD)'!$G:$S,MATCH([1]TBMapping!$C771,'[1]TrialBalance (YTD)'!G:G,0),MATCH([1]TBMapping!H$3,'[1]TrialBalance (YTD)'!$G$7:$Z$7,0)),0)</f>
        <v>0</v>
      </c>
      <c r="H769" s="5" t="e">
        <f>SUMIF('[1]TrialBalance (YTD)'!G:G,B769,'[1]TrialBalance (YTD)'!H:H)</f>
        <v>#VALUE!</v>
      </c>
      <c r="I769" s="5">
        <f>IFERROR(INDEX('[1]TrialBalance (YTD)'!$G:$S,MATCH([1]TBMapping!$C771,'[1]TrialBalance (YTD)'!G:G,0),MATCH([1]TBMapping!J$3,'[1]TrialBalance (YTD)'!$G$7:$Z$7,0)),0)</f>
        <v>0</v>
      </c>
      <c r="K769" s="5" t="e">
        <f>SUMIF('[1]TrialBalance (Quarter)'!$A:$A,B769,'[1]TrialBalance (Quarter)'!$B:$B)</f>
        <v>#VALUE!</v>
      </c>
      <c r="L769" s="5">
        <f>IFERROR(INDEX('[1]TrialBalance (Quarter)'!$A:$L,MATCH([1]TBMapping!$C771,'[1]TrialBalance (Quarter)'!A:A,0),MATCH([1]TBMapping!M$3,'[1]TrialBalance (Quarter)'!$7:$7,0)),0)</f>
        <v>0</v>
      </c>
      <c r="M769" s="5">
        <f>IFERROR(INDEX('[1]TrialBalance (Quarter)'!$A:$L,MATCH([1]TBMapping!$C771,'[1]TrialBalance (Quarter)'!A:A,0),MATCH([1]TBMapping!N$3,'[1]TrialBalance (Quarter)'!$7:$7,0)),0)</f>
        <v>0</v>
      </c>
      <c r="N769" s="5">
        <f>IFERROR(INDEX('[1]TrialBalance (Quarter)'!$A:$L,MATCH([1]TBMapping!$C771,'[1]TrialBalance (Quarter)'!A:A,0),MATCH([1]TBMapping!O$3,'[1]TrialBalance (Quarter)'!$7:$7,0)),0)</f>
        <v>0</v>
      </c>
    </row>
    <row r="770" spans="1:14">
      <c r="A770" s="2">
        <v>6</v>
      </c>
      <c r="B770" s="3">
        <v>233230</v>
      </c>
      <c r="C770" s="11" t="s">
        <v>510</v>
      </c>
      <c r="D770" s="11" t="s">
        <v>11</v>
      </c>
      <c r="E770" s="11"/>
      <c r="F770" s="5" t="e">
        <f>IF(DataExtraction="Manual",SUMIF('[1]TrialBalance (YTD)'!$C:$C,B770,'[1]TrialBalance (YTD)'!$E:$E),SUMIF('[1]TrialBalance (YTD)'!$G:$G,B770,'[1]TrialBalance (YTD)'!$I:$I))</f>
        <v>#VALUE!</v>
      </c>
      <c r="G770" s="5">
        <f>IFERROR(INDEX('[1]TrialBalance (YTD)'!$G:$S,MATCH([1]TBMapping!$C772,'[1]TrialBalance (YTD)'!G:G,0),MATCH([1]TBMapping!H$3,'[1]TrialBalance (YTD)'!$G$7:$Z$7,0)),0)</f>
        <v>0</v>
      </c>
      <c r="H770" s="5" t="e">
        <f>SUMIF('[1]TrialBalance (YTD)'!G:G,B770,'[1]TrialBalance (YTD)'!H:H)</f>
        <v>#VALUE!</v>
      </c>
      <c r="I770" s="5">
        <f>IFERROR(INDEX('[1]TrialBalance (YTD)'!$G:$S,MATCH([1]TBMapping!$C772,'[1]TrialBalance (YTD)'!G:G,0),MATCH([1]TBMapping!J$3,'[1]TrialBalance (YTD)'!$G$7:$Z$7,0)),0)</f>
        <v>0</v>
      </c>
      <c r="K770" s="5" t="e">
        <f>SUMIF('[1]TrialBalance (Quarter)'!$A:$A,B770,'[1]TrialBalance (Quarter)'!$B:$B)</f>
        <v>#VALUE!</v>
      </c>
      <c r="L770" s="5">
        <f>IFERROR(INDEX('[1]TrialBalance (Quarter)'!$A:$L,MATCH([1]TBMapping!$C772,'[1]TrialBalance (Quarter)'!A:A,0),MATCH([1]TBMapping!M$3,'[1]TrialBalance (Quarter)'!$7:$7,0)),0)</f>
        <v>0</v>
      </c>
      <c r="M770" s="5">
        <f>IFERROR(INDEX('[1]TrialBalance (Quarter)'!$A:$L,MATCH([1]TBMapping!$C772,'[1]TrialBalance (Quarter)'!A:A,0),MATCH([1]TBMapping!N$3,'[1]TrialBalance (Quarter)'!$7:$7,0)),0)</f>
        <v>0</v>
      </c>
      <c r="N770" s="5">
        <f>IFERROR(INDEX('[1]TrialBalance (Quarter)'!$A:$L,MATCH([1]TBMapping!$C772,'[1]TrialBalance (Quarter)'!A:A,0),MATCH([1]TBMapping!O$3,'[1]TrialBalance (Quarter)'!$7:$7,0)),0)</f>
        <v>0</v>
      </c>
    </row>
    <row r="771" spans="1:14">
      <c r="A771" s="2">
        <v>6</v>
      </c>
      <c r="B771" s="3">
        <v>233250</v>
      </c>
      <c r="C771" s="10" t="s">
        <v>597</v>
      </c>
      <c r="D771" s="10" t="s">
        <v>11</v>
      </c>
      <c r="E771" s="10"/>
      <c r="F771" s="5" t="e">
        <f>IF(DataExtraction="Manual",SUMIF('[1]TrialBalance (YTD)'!$C:$C,B771,'[1]TrialBalance (YTD)'!$E:$E),SUMIF('[1]TrialBalance (YTD)'!$G:$G,B771,'[1]TrialBalance (YTD)'!$I:$I))</f>
        <v>#VALUE!</v>
      </c>
      <c r="G771" s="5">
        <f>IFERROR(INDEX('[1]TrialBalance (YTD)'!$G:$S,MATCH([1]TBMapping!$C773,'[1]TrialBalance (YTD)'!G:G,0),MATCH([1]TBMapping!H$3,'[1]TrialBalance (YTD)'!$G$7:$Z$7,0)),0)</f>
        <v>0</v>
      </c>
      <c r="H771" s="5" t="e">
        <f>SUMIF('[1]TrialBalance (YTD)'!G:G,B771,'[1]TrialBalance (YTD)'!H:H)</f>
        <v>#VALUE!</v>
      </c>
      <c r="I771" s="5">
        <f>IFERROR(INDEX('[1]TrialBalance (YTD)'!$G:$S,MATCH([1]TBMapping!$C773,'[1]TrialBalance (YTD)'!G:G,0),MATCH([1]TBMapping!J$3,'[1]TrialBalance (YTD)'!$G$7:$Z$7,0)),0)</f>
        <v>0</v>
      </c>
      <c r="K771" s="5" t="e">
        <f>SUMIF('[1]TrialBalance (Quarter)'!$A:$A,B771,'[1]TrialBalance (Quarter)'!$B:$B)</f>
        <v>#VALUE!</v>
      </c>
      <c r="L771" s="5">
        <f>IFERROR(INDEX('[1]TrialBalance (Quarter)'!$A:$L,MATCH([1]TBMapping!$C773,'[1]TrialBalance (Quarter)'!A:A,0),MATCH([1]TBMapping!M$3,'[1]TrialBalance (Quarter)'!$7:$7,0)),0)</f>
        <v>0</v>
      </c>
      <c r="M771" s="5">
        <f>IFERROR(INDEX('[1]TrialBalance (Quarter)'!$A:$L,MATCH([1]TBMapping!$C773,'[1]TrialBalance (Quarter)'!A:A,0),MATCH([1]TBMapping!N$3,'[1]TrialBalance (Quarter)'!$7:$7,0)),0)</f>
        <v>0</v>
      </c>
      <c r="N771" s="5">
        <f>IFERROR(INDEX('[1]TrialBalance (Quarter)'!$A:$L,MATCH([1]TBMapping!$C773,'[1]TrialBalance (Quarter)'!A:A,0),MATCH([1]TBMapping!O$3,'[1]TrialBalance (Quarter)'!$7:$7,0)),0)</f>
        <v>0</v>
      </c>
    </row>
    <row r="772" spans="1:14">
      <c r="B772" s="3">
        <v>233999</v>
      </c>
      <c r="C772" s="11" t="s">
        <v>603</v>
      </c>
      <c r="D772" s="11" t="s">
        <v>16</v>
      </c>
      <c r="E772" s="11"/>
      <c r="F772" s="5" t="e">
        <f>IF(DataExtraction="Manual",SUMIF('[1]TrialBalance (YTD)'!$C:$C,B772,'[1]TrialBalance (YTD)'!$E:$E),SUMIF('[1]TrialBalance (YTD)'!$G:$G,B772,'[1]TrialBalance (YTD)'!$I:$I))</f>
        <v>#VALUE!</v>
      </c>
      <c r="G772" s="5">
        <f>IFERROR(INDEX('[1]TrialBalance (YTD)'!$G:$S,MATCH([1]TBMapping!$C774,'[1]TrialBalance (YTD)'!G:G,0),MATCH([1]TBMapping!H$3,'[1]TrialBalance (YTD)'!$G$7:$Z$7,0)),0)</f>
        <v>0</v>
      </c>
      <c r="H772" s="5" t="e">
        <f>SUMIF('[1]TrialBalance (YTD)'!G:G,B772,'[1]TrialBalance (YTD)'!H:H)</f>
        <v>#VALUE!</v>
      </c>
      <c r="I772" s="5">
        <f>IFERROR(INDEX('[1]TrialBalance (YTD)'!$G:$S,MATCH([1]TBMapping!$C774,'[1]TrialBalance (YTD)'!G:G,0),MATCH([1]TBMapping!J$3,'[1]TrialBalance (YTD)'!$G$7:$Z$7,0)),0)</f>
        <v>0</v>
      </c>
      <c r="K772" s="5" t="e">
        <f>SUMIF('[1]TrialBalance (Quarter)'!$A:$A,B772,'[1]TrialBalance (Quarter)'!$B:$B)</f>
        <v>#VALUE!</v>
      </c>
      <c r="L772" s="5">
        <f>IFERROR(INDEX('[1]TrialBalance (Quarter)'!$A:$L,MATCH([1]TBMapping!$C774,'[1]TrialBalance (Quarter)'!A:A,0),MATCH([1]TBMapping!M$3,'[1]TrialBalance (Quarter)'!$7:$7,0)),0)</f>
        <v>0</v>
      </c>
      <c r="M772" s="5">
        <f>IFERROR(INDEX('[1]TrialBalance (Quarter)'!$A:$L,MATCH([1]TBMapping!$C774,'[1]TrialBalance (Quarter)'!A:A,0),MATCH([1]TBMapping!N$3,'[1]TrialBalance (Quarter)'!$7:$7,0)),0)</f>
        <v>0</v>
      </c>
      <c r="N772" s="5">
        <f>IFERROR(INDEX('[1]TrialBalance (Quarter)'!$A:$L,MATCH([1]TBMapping!$C774,'[1]TrialBalance (Quarter)'!A:A,0),MATCH([1]TBMapping!O$3,'[1]TrialBalance (Quarter)'!$7:$7,0)),0)</f>
        <v>0</v>
      </c>
    </row>
    <row r="773" spans="1:14">
      <c r="B773" s="3">
        <v>234000</v>
      </c>
      <c r="C773" s="10" t="s">
        <v>604</v>
      </c>
      <c r="D773" s="10" t="s">
        <v>5</v>
      </c>
      <c r="E773" s="10"/>
      <c r="F773" s="5" t="e">
        <f>IF(DataExtraction="Manual",SUMIF('[1]TrialBalance (YTD)'!$C:$C,B773,'[1]TrialBalance (YTD)'!$E:$E),SUMIF('[1]TrialBalance (YTD)'!$G:$G,B773,'[1]TrialBalance (YTD)'!$I:$I))</f>
        <v>#VALUE!</v>
      </c>
      <c r="G773" s="5">
        <f>IFERROR(INDEX('[1]TrialBalance (YTD)'!$G:$S,MATCH([1]TBMapping!$C775,'[1]TrialBalance (YTD)'!G:G,0),MATCH([1]TBMapping!H$3,'[1]TrialBalance (YTD)'!$G$7:$Z$7,0)),0)</f>
        <v>0</v>
      </c>
      <c r="H773" s="5" t="e">
        <f>SUMIF('[1]TrialBalance (YTD)'!G:G,B773,'[1]TrialBalance (YTD)'!H:H)</f>
        <v>#VALUE!</v>
      </c>
      <c r="I773" s="5">
        <f>IFERROR(INDEX('[1]TrialBalance (YTD)'!$G:$S,MATCH([1]TBMapping!$C775,'[1]TrialBalance (YTD)'!G:G,0),MATCH([1]TBMapping!J$3,'[1]TrialBalance (YTD)'!$G$7:$Z$7,0)),0)</f>
        <v>0</v>
      </c>
      <c r="K773" s="5" t="e">
        <f>SUMIF('[1]TrialBalance (Quarter)'!$A:$A,B773,'[1]TrialBalance (Quarter)'!$B:$B)</f>
        <v>#VALUE!</v>
      </c>
      <c r="L773" s="5">
        <f>IFERROR(INDEX('[1]TrialBalance (Quarter)'!$A:$L,MATCH([1]TBMapping!$C775,'[1]TrialBalance (Quarter)'!A:A,0),MATCH([1]TBMapping!M$3,'[1]TrialBalance (Quarter)'!$7:$7,0)),0)</f>
        <v>0</v>
      </c>
      <c r="M773" s="5">
        <f>IFERROR(INDEX('[1]TrialBalance (Quarter)'!$A:$L,MATCH([1]TBMapping!$C775,'[1]TrialBalance (Quarter)'!A:A,0),MATCH([1]TBMapping!N$3,'[1]TrialBalance (Quarter)'!$7:$7,0)),0)</f>
        <v>0</v>
      </c>
      <c r="N773" s="5">
        <f>IFERROR(INDEX('[1]TrialBalance (Quarter)'!$A:$L,MATCH([1]TBMapping!$C775,'[1]TrialBalance (Quarter)'!A:A,0),MATCH([1]TBMapping!O$3,'[1]TrialBalance (Quarter)'!$7:$7,0)),0)</f>
        <v>0</v>
      </c>
    </row>
    <row r="774" spans="1:14">
      <c r="A774" s="2">
        <v>8</v>
      </c>
      <c r="B774" s="3">
        <v>234110</v>
      </c>
      <c r="C774" s="11" t="s">
        <v>605</v>
      </c>
      <c r="D774" s="11" t="s">
        <v>11</v>
      </c>
      <c r="E774" s="11"/>
      <c r="F774" s="5" t="e">
        <f>IF(DataExtraction="Manual",SUMIF('[1]TrialBalance (YTD)'!$C:$C,B774,'[1]TrialBalance (YTD)'!$E:$E),SUMIF('[1]TrialBalance (YTD)'!$G:$G,B774,'[1]TrialBalance (YTD)'!$I:$I))</f>
        <v>#VALUE!</v>
      </c>
      <c r="G774" s="5">
        <f>IFERROR(INDEX('[1]TrialBalance (YTD)'!$G:$S,MATCH([1]TBMapping!$C776,'[1]TrialBalance (YTD)'!G:G,0),MATCH([1]TBMapping!H$3,'[1]TrialBalance (YTD)'!$G$7:$Z$7,0)),0)</f>
        <v>0</v>
      </c>
      <c r="H774" s="5" t="e">
        <f>SUMIF('[1]TrialBalance (YTD)'!G:G,B774,'[1]TrialBalance (YTD)'!H:H)</f>
        <v>#VALUE!</v>
      </c>
      <c r="I774" s="5">
        <f>IFERROR(INDEX('[1]TrialBalance (YTD)'!$G:$S,MATCH([1]TBMapping!$C776,'[1]TrialBalance (YTD)'!G:G,0),MATCH([1]TBMapping!J$3,'[1]TrialBalance (YTD)'!$G$7:$Z$7,0)),0)</f>
        <v>0</v>
      </c>
      <c r="K774" s="5" t="e">
        <f>SUMIF('[1]TrialBalance (Quarter)'!$A:$A,B774,'[1]TrialBalance (Quarter)'!$B:$B)</f>
        <v>#VALUE!</v>
      </c>
      <c r="L774" s="5">
        <f>IFERROR(INDEX('[1]TrialBalance (Quarter)'!$A:$L,MATCH([1]TBMapping!$C776,'[1]TrialBalance (Quarter)'!A:A,0),MATCH([1]TBMapping!M$3,'[1]TrialBalance (Quarter)'!$7:$7,0)),0)</f>
        <v>0</v>
      </c>
      <c r="M774" s="5">
        <f>IFERROR(INDEX('[1]TrialBalance (Quarter)'!$A:$L,MATCH([1]TBMapping!$C776,'[1]TrialBalance (Quarter)'!A:A,0),MATCH([1]TBMapping!N$3,'[1]TrialBalance (Quarter)'!$7:$7,0)),0)</f>
        <v>0</v>
      </c>
      <c r="N774" s="5">
        <f>IFERROR(INDEX('[1]TrialBalance (Quarter)'!$A:$L,MATCH([1]TBMapping!$C776,'[1]TrialBalance (Quarter)'!A:A,0),MATCH([1]TBMapping!O$3,'[1]TrialBalance (Quarter)'!$7:$7,0)),0)</f>
        <v>0</v>
      </c>
    </row>
    <row r="775" spans="1:14">
      <c r="A775" s="2">
        <v>8</v>
      </c>
      <c r="B775" s="3">
        <v>234120</v>
      </c>
      <c r="C775" s="10" t="s">
        <v>606</v>
      </c>
      <c r="D775" s="10" t="s">
        <v>11</v>
      </c>
      <c r="E775" s="10"/>
      <c r="F775" s="5" t="e">
        <f>IF(DataExtraction="Manual",SUMIF('[1]TrialBalance (YTD)'!$C:$C,B775,'[1]TrialBalance (YTD)'!$E:$E),SUMIF('[1]TrialBalance (YTD)'!$G:$G,B775,'[1]TrialBalance (YTD)'!$I:$I))</f>
        <v>#VALUE!</v>
      </c>
      <c r="G775" s="5">
        <f>IFERROR(INDEX('[1]TrialBalance (YTD)'!$G:$S,MATCH([1]TBMapping!$C777,'[1]TrialBalance (YTD)'!G:G,0),MATCH([1]TBMapping!H$3,'[1]TrialBalance (YTD)'!$G$7:$Z$7,0)),0)</f>
        <v>0</v>
      </c>
      <c r="H775" s="5" t="e">
        <f>SUMIF('[1]TrialBalance (YTD)'!G:G,B775,'[1]TrialBalance (YTD)'!H:H)</f>
        <v>#VALUE!</v>
      </c>
      <c r="I775" s="5">
        <f>IFERROR(INDEX('[1]TrialBalance (YTD)'!$G:$S,MATCH([1]TBMapping!$C777,'[1]TrialBalance (YTD)'!G:G,0),MATCH([1]TBMapping!J$3,'[1]TrialBalance (YTD)'!$G$7:$Z$7,0)),0)</f>
        <v>0</v>
      </c>
      <c r="K775" s="5" t="e">
        <f>SUMIF('[1]TrialBalance (Quarter)'!$A:$A,B775,'[1]TrialBalance (Quarter)'!$B:$B)</f>
        <v>#VALUE!</v>
      </c>
      <c r="L775" s="5">
        <f>IFERROR(INDEX('[1]TrialBalance (Quarter)'!$A:$L,MATCH([1]TBMapping!$C777,'[1]TrialBalance (Quarter)'!A:A,0),MATCH([1]TBMapping!M$3,'[1]TrialBalance (Quarter)'!$7:$7,0)),0)</f>
        <v>0</v>
      </c>
      <c r="M775" s="5">
        <f>IFERROR(INDEX('[1]TrialBalance (Quarter)'!$A:$L,MATCH([1]TBMapping!$C777,'[1]TrialBalance (Quarter)'!A:A,0),MATCH([1]TBMapping!N$3,'[1]TrialBalance (Quarter)'!$7:$7,0)),0)</f>
        <v>0</v>
      </c>
      <c r="N775" s="5">
        <f>IFERROR(INDEX('[1]TrialBalance (Quarter)'!$A:$L,MATCH([1]TBMapping!$C777,'[1]TrialBalance (Quarter)'!A:A,0),MATCH([1]TBMapping!O$3,'[1]TrialBalance (Quarter)'!$7:$7,0)),0)</f>
        <v>0</v>
      </c>
    </row>
    <row r="776" spans="1:14">
      <c r="A776" s="2">
        <v>11</v>
      </c>
      <c r="B776" s="3">
        <v>234210</v>
      </c>
      <c r="C776" s="11" t="s">
        <v>607</v>
      </c>
      <c r="D776" s="11" t="s">
        <v>11</v>
      </c>
      <c r="E776" s="11"/>
      <c r="F776" s="5" t="e">
        <f>IF(DataExtraction="Manual",SUMIF('[1]TrialBalance (YTD)'!$C:$C,B776,'[1]TrialBalance (YTD)'!$E:$E),SUMIF('[1]TrialBalance (YTD)'!$G:$G,B776,'[1]TrialBalance (YTD)'!$I:$I))</f>
        <v>#VALUE!</v>
      </c>
      <c r="G776" s="5">
        <f>IFERROR(INDEX('[1]TrialBalance (YTD)'!$G:$S,MATCH([1]TBMapping!$C778,'[1]TrialBalance (YTD)'!G:G,0),MATCH([1]TBMapping!H$3,'[1]TrialBalance (YTD)'!$G$7:$Z$7,0)),0)</f>
        <v>0</v>
      </c>
      <c r="H776" s="5" t="e">
        <f>SUMIF('[1]TrialBalance (YTD)'!G:G,B776,'[1]TrialBalance (YTD)'!H:H)</f>
        <v>#VALUE!</v>
      </c>
      <c r="I776" s="5">
        <f>IFERROR(INDEX('[1]TrialBalance (YTD)'!$G:$S,MATCH([1]TBMapping!$C778,'[1]TrialBalance (YTD)'!G:G,0),MATCH([1]TBMapping!J$3,'[1]TrialBalance (YTD)'!$G$7:$Z$7,0)),0)</f>
        <v>0</v>
      </c>
      <c r="K776" s="5" t="e">
        <f>SUMIF('[1]TrialBalance (Quarter)'!$A:$A,B776,'[1]TrialBalance (Quarter)'!$B:$B)</f>
        <v>#VALUE!</v>
      </c>
      <c r="L776" s="5">
        <f>IFERROR(INDEX('[1]TrialBalance (Quarter)'!$A:$L,MATCH([1]TBMapping!$C778,'[1]TrialBalance (Quarter)'!A:A,0),MATCH([1]TBMapping!M$3,'[1]TrialBalance (Quarter)'!$7:$7,0)),0)</f>
        <v>0</v>
      </c>
      <c r="M776" s="5">
        <f>IFERROR(INDEX('[1]TrialBalance (Quarter)'!$A:$L,MATCH([1]TBMapping!$C778,'[1]TrialBalance (Quarter)'!A:A,0),MATCH([1]TBMapping!N$3,'[1]TrialBalance (Quarter)'!$7:$7,0)),0)</f>
        <v>0</v>
      </c>
      <c r="N776" s="5">
        <f>IFERROR(INDEX('[1]TrialBalance (Quarter)'!$A:$L,MATCH([1]TBMapping!$C778,'[1]TrialBalance (Quarter)'!A:A,0),MATCH([1]TBMapping!O$3,'[1]TrialBalance (Quarter)'!$7:$7,0)),0)</f>
        <v>0</v>
      </c>
    </row>
    <row r="777" spans="1:14">
      <c r="A777" s="2">
        <v>11</v>
      </c>
      <c r="B777" s="3">
        <v>234310</v>
      </c>
      <c r="C777" s="10" t="s">
        <v>608</v>
      </c>
      <c r="D777" s="10" t="s">
        <v>11</v>
      </c>
      <c r="E777" s="10"/>
      <c r="F777" s="5" t="e">
        <f>IF(DataExtraction="Manual",SUMIF('[1]TrialBalance (YTD)'!$C:$C,B777,'[1]TrialBalance (YTD)'!$E:$E),SUMIF('[1]TrialBalance (YTD)'!$G:$G,B777,'[1]TrialBalance (YTD)'!$I:$I))</f>
        <v>#VALUE!</v>
      </c>
      <c r="G777" s="5">
        <f>IFERROR(INDEX('[1]TrialBalance (YTD)'!$G:$S,MATCH([1]TBMapping!$C779,'[1]TrialBalance (YTD)'!G:G,0),MATCH([1]TBMapping!H$3,'[1]TrialBalance (YTD)'!$G$7:$Z$7,0)),0)</f>
        <v>0</v>
      </c>
      <c r="H777" s="5" t="e">
        <f>SUMIF('[1]TrialBalance (YTD)'!G:G,B777,'[1]TrialBalance (YTD)'!H:H)</f>
        <v>#VALUE!</v>
      </c>
      <c r="I777" s="5">
        <f>IFERROR(INDEX('[1]TrialBalance (YTD)'!$G:$S,MATCH([1]TBMapping!$C779,'[1]TrialBalance (YTD)'!G:G,0),MATCH([1]TBMapping!J$3,'[1]TrialBalance (YTD)'!$G$7:$Z$7,0)),0)</f>
        <v>0</v>
      </c>
      <c r="K777" s="5" t="e">
        <f>SUMIF('[1]TrialBalance (Quarter)'!$A:$A,B777,'[1]TrialBalance (Quarter)'!$B:$B)</f>
        <v>#VALUE!</v>
      </c>
      <c r="L777" s="5">
        <f>IFERROR(INDEX('[1]TrialBalance (Quarter)'!$A:$L,MATCH([1]TBMapping!$C779,'[1]TrialBalance (Quarter)'!A:A,0),MATCH([1]TBMapping!M$3,'[1]TrialBalance (Quarter)'!$7:$7,0)),0)</f>
        <v>0</v>
      </c>
      <c r="M777" s="5">
        <f>IFERROR(INDEX('[1]TrialBalance (Quarter)'!$A:$L,MATCH([1]TBMapping!$C779,'[1]TrialBalance (Quarter)'!A:A,0),MATCH([1]TBMapping!N$3,'[1]TrialBalance (Quarter)'!$7:$7,0)),0)</f>
        <v>0</v>
      </c>
      <c r="N777" s="5">
        <f>IFERROR(INDEX('[1]TrialBalance (Quarter)'!$A:$L,MATCH([1]TBMapping!$C779,'[1]TrialBalance (Quarter)'!A:A,0),MATCH([1]TBMapping!O$3,'[1]TrialBalance (Quarter)'!$7:$7,0)),0)</f>
        <v>0</v>
      </c>
    </row>
    <row r="778" spans="1:14">
      <c r="A778" s="2">
        <v>11</v>
      </c>
      <c r="B778" s="3">
        <v>234311</v>
      </c>
      <c r="C778" s="11" t="s">
        <v>609</v>
      </c>
      <c r="D778" s="11" t="s">
        <v>11</v>
      </c>
      <c r="E778" s="11"/>
      <c r="F778" s="5" t="e">
        <f>IF(DataExtraction="Manual",SUMIF('[1]TrialBalance (YTD)'!$C:$C,B778,'[1]TrialBalance (YTD)'!$E:$E),SUMIF('[1]TrialBalance (YTD)'!$G:$G,B778,'[1]TrialBalance (YTD)'!$I:$I))</f>
        <v>#VALUE!</v>
      </c>
      <c r="G778" s="5">
        <f>IFERROR(INDEX('[1]TrialBalance (YTD)'!$G:$S,MATCH([1]TBMapping!$C780,'[1]TrialBalance (YTD)'!G:G,0),MATCH([1]TBMapping!H$3,'[1]TrialBalance (YTD)'!$G$7:$Z$7,0)),0)</f>
        <v>0</v>
      </c>
      <c r="H778" s="5" t="e">
        <f>SUMIF('[1]TrialBalance (YTD)'!G:G,B778,'[1]TrialBalance (YTD)'!H:H)</f>
        <v>#VALUE!</v>
      </c>
      <c r="I778" s="5">
        <f>IFERROR(INDEX('[1]TrialBalance (YTD)'!$G:$S,MATCH([1]TBMapping!$C780,'[1]TrialBalance (YTD)'!G:G,0),MATCH([1]TBMapping!J$3,'[1]TrialBalance (YTD)'!$G$7:$Z$7,0)),0)</f>
        <v>0</v>
      </c>
      <c r="K778" s="5" t="e">
        <f>SUMIF('[1]TrialBalance (Quarter)'!$A:$A,B778,'[1]TrialBalance (Quarter)'!$B:$B)</f>
        <v>#VALUE!</v>
      </c>
      <c r="L778" s="5">
        <f>IFERROR(INDEX('[1]TrialBalance (Quarter)'!$A:$L,MATCH([1]TBMapping!$C780,'[1]TrialBalance (Quarter)'!A:A,0),MATCH([1]TBMapping!M$3,'[1]TrialBalance (Quarter)'!$7:$7,0)),0)</f>
        <v>0</v>
      </c>
      <c r="M778" s="5">
        <f>IFERROR(INDEX('[1]TrialBalance (Quarter)'!$A:$L,MATCH([1]TBMapping!$C780,'[1]TrialBalance (Quarter)'!A:A,0),MATCH([1]TBMapping!N$3,'[1]TrialBalance (Quarter)'!$7:$7,0)),0)</f>
        <v>0</v>
      </c>
      <c r="N778" s="5">
        <f>IFERROR(INDEX('[1]TrialBalance (Quarter)'!$A:$L,MATCH([1]TBMapping!$C780,'[1]TrialBalance (Quarter)'!A:A,0),MATCH([1]TBMapping!O$3,'[1]TrialBalance (Quarter)'!$7:$7,0)),0)</f>
        <v>0</v>
      </c>
    </row>
    <row r="779" spans="1:14">
      <c r="A779" s="2">
        <v>9</v>
      </c>
      <c r="B779" s="3">
        <v>234410</v>
      </c>
      <c r="C779" s="10" t="s">
        <v>610</v>
      </c>
      <c r="D779" s="10" t="s">
        <v>11</v>
      </c>
      <c r="E779" s="10"/>
      <c r="F779" s="5" t="e">
        <f>IF(DataExtraction="Manual",SUMIF('[1]TrialBalance (YTD)'!$C:$C,B779,'[1]TrialBalance (YTD)'!$E:$E),SUMIF('[1]TrialBalance (YTD)'!$G:$G,B779,'[1]TrialBalance (YTD)'!$I:$I))</f>
        <v>#VALUE!</v>
      </c>
      <c r="G779" s="5">
        <f>IFERROR(INDEX('[1]TrialBalance (YTD)'!$G:$S,MATCH([1]TBMapping!$C781,'[1]TrialBalance (YTD)'!G:G,0),MATCH([1]TBMapping!H$3,'[1]TrialBalance (YTD)'!$G$7:$Z$7,0)),0)</f>
        <v>0</v>
      </c>
      <c r="H779" s="5" t="e">
        <f>SUMIF('[1]TrialBalance (YTD)'!G:G,B779,'[1]TrialBalance (YTD)'!H:H)</f>
        <v>#VALUE!</v>
      </c>
      <c r="I779" s="5">
        <f>IFERROR(INDEX('[1]TrialBalance (YTD)'!$G:$S,MATCH([1]TBMapping!$C781,'[1]TrialBalance (YTD)'!G:G,0),MATCH([1]TBMapping!J$3,'[1]TrialBalance (YTD)'!$G$7:$Z$7,0)),0)</f>
        <v>0</v>
      </c>
      <c r="K779" s="5" t="e">
        <f>SUMIF('[1]TrialBalance (Quarter)'!$A:$A,B779,'[1]TrialBalance (Quarter)'!$B:$B)</f>
        <v>#VALUE!</v>
      </c>
      <c r="L779" s="5">
        <f>IFERROR(INDEX('[1]TrialBalance (Quarter)'!$A:$L,MATCH([1]TBMapping!$C781,'[1]TrialBalance (Quarter)'!A:A,0),MATCH([1]TBMapping!M$3,'[1]TrialBalance (Quarter)'!$7:$7,0)),0)</f>
        <v>0</v>
      </c>
      <c r="M779" s="5">
        <f>IFERROR(INDEX('[1]TrialBalance (Quarter)'!$A:$L,MATCH([1]TBMapping!$C781,'[1]TrialBalance (Quarter)'!A:A,0),MATCH([1]TBMapping!N$3,'[1]TrialBalance (Quarter)'!$7:$7,0)),0)</f>
        <v>0</v>
      </c>
      <c r="N779" s="5">
        <f>IFERROR(INDEX('[1]TrialBalance (Quarter)'!$A:$L,MATCH([1]TBMapping!$C781,'[1]TrialBalance (Quarter)'!A:A,0),MATCH([1]TBMapping!O$3,'[1]TrialBalance (Quarter)'!$7:$7,0)),0)</f>
        <v>0</v>
      </c>
    </row>
    <row r="780" spans="1:14">
      <c r="A780" s="2">
        <v>10</v>
      </c>
      <c r="B780" s="3">
        <v>234510</v>
      </c>
      <c r="C780" s="11" t="s">
        <v>611</v>
      </c>
      <c r="D780" s="11" t="s">
        <v>11</v>
      </c>
      <c r="E780" s="11"/>
      <c r="F780" s="5" t="e">
        <f>IF(DataExtraction="Manual",SUMIF('[1]TrialBalance (YTD)'!$C:$C,B780,'[1]TrialBalance (YTD)'!$E:$E),SUMIF('[1]TrialBalance (YTD)'!$G:$G,B780,'[1]TrialBalance (YTD)'!$I:$I))</f>
        <v>#VALUE!</v>
      </c>
      <c r="G780" s="5">
        <f>IFERROR(INDEX('[1]TrialBalance (YTD)'!$G:$S,MATCH([1]TBMapping!$C782,'[1]TrialBalance (YTD)'!G:G,0),MATCH([1]TBMapping!H$3,'[1]TrialBalance (YTD)'!$G$7:$Z$7,0)),0)</f>
        <v>0</v>
      </c>
      <c r="H780" s="5" t="e">
        <f>SUMIF('[1]TrialBalance (YTD)'!G:G,B780,'[1]TrialBalance (YTD)'!H:H)</f>
        <v>#VALUE!</v>
      </c>
      <c r="I780" s="5">
        <f>IFERROR(INDEX('[1]TrialBalance (YTD)'!$G:$S,MATCH([1]TBMapping!$C782,'[1]TrialBalance (YTD)'!G:G,0),MATCH([1]TBMapping!J$3,'[1]TrialBalance (YTD)'!$G$7:$Z$7,0)),0)</f>
        <v>0</v>
      </c>
      <c r="K780" s="5" t="e">
        <f>SUMIF('[1]TrialBalance (Quarter)'!$A:$A,B780,'[1]TrialBalance (Quarter)'!$B:$B)</f>
        <v>#VALUE!</v>
      </c>
      <c r="L780" s="5">
        <f>IFERROR(INDEX('[1]TrialBalance (Quarter)'!$A:$L,MATCH([1]TBMapping!$C782,'[1]TrialBalance (Quarter)'!A:A,0),MATCH([1]TBMapping!M$3,'[1]TrialBalance (Quarter)'!$7:$7,0)),0)</f>
        <v>0</v>
      </c>
      <c r="M780" s="5">
        <f>IFERROR(INDEX('[1]TrialBalance (Quarter)'!$A:$L,MATCH([1]TBMapping!$C782,'[1]TrialBalance (Quarter)'!A:A,0),MATCH([1]TBMapping!N$3,'[1]TrialBalance (Quarter)'!$7:$7,0)),0)</f>
        <v>0</v>
      </c>
      <c r="N780" s="5">
        <f>IFERROR(INDEX('[1]TrialBalance (Quarter)'!$A:$L,MATCH([1]TBMapping!$C782,'[1]TrialBalance (Quarter)'!A:A,0),MATCH([1]TBMapping!O$3,'[1]TrialBalance (Quarter)'!$7:$7,0)),0)</f>
        <v>0</v>
      </c>
    </row>
    <row r="781" spans="1:14">
      <c r="B781" s="3">
        <v>234999</v>
      </c>
      <c r="C781" s="10" t="s">
        <v>612</v>
      </c>
      <c r="D781" s="10" t="s">
        <v>16</v>
      </c>
      <c r="E781" s="10"/>
      <c r="F781" s="5" t="e">
        <f>IF(DataExtraction="Manual",SUMIF('[1]TrialBalance (YTD)'!$C:$C,B781,'[1]TrialBalance (YTD)'!$E:$E),SUMIF('[1]TrialBalance (YTD)'!$G:$G,B781,'[1]TrialBalance (YTD)'!$I:$I))</f>
        <v>#VALUE!</v>
      </c>
      <c r="G781" s="5">
        <f>IFERROR(INDEX('[1]TrialBalance (YTD)'!$G:$S,MATCH([1]TBMapping!$C783,'[1]TrialBalance (YTD)'!G:G,0),MATCH([1]TBMapping!H$3,'[1]TrialBalance (YTD)'!$G$7:$Z$7,0)),0)</f>
        <v>0</v>
      </c>
      <c r="H781" s="5" t="e">
        <f>SUMIF('[1]TrialBalance (YTD)'!G:G,B781,'[1]TrialBalance (YTD)'!H:H)</f>
        <v>#VALUE!</v>
      </c>
      <c r="I781" s="5">
        <f>IFERROR(INDEX('[1]TrialBalance (YTD)'!$G:$S,MATCH([1]TBMapping!$C783,'[1]TrialBalance (YTD)'!G:G,0),MATCH([1]TBMapping!J$3,'[1]TrialBalance (YTD)'!$G$7:$Z$7,0)),0)</f>
        <v>0</v>
      </c>
      <c r="K781" s="5" t="e">
        <f>SUMIF('[1]TrialBalance (Quarter)'!$A:$A,B781,'[1]TrialBalance (Quarter)'!$B:$B)</f>
        <v>#VALUE!</v>
      </c>
      <c r="L781" s="5">
        <f>IFERROR(INDEX('[1]TrialBalance (Quarter)'!$A:$L,MATCH([1]TBMapping!$C783,'[1]TrialBalance (Quarter)'!A:A,0),MATCH([1]TBMapping!M$3,'[1]TrialBalance (Quarter)'!$7:$7,0)),0)</f>
        <v>0</v>
      </c>
      <c r="M781" s="5">
        <f>IFERROR(INDEX('[1]TrialBalance (Quarter)'!$A:$L,MATCH([1]TBMapping!$C783,'[1]TrialBalance (Quarter)'!A:A,0),MATCH([1]TBMapping!N$3,'[1]TrialBalance (Quarter)'!$7:$7,0)),0)</f>
        <v>0</v>
      </c>
      <c r="N781" s="5">
        <f>IFERROR(INDEX('[1]TrialBalance (Quarter)'!$A:$L,MATCH([1]TBMapping!$C783,'[1]TrialBalance (Quarter)'!A:A,0),MATCH([1]TBMapping!O$3,'[1]TrialBalance (Quarter)'!$7:$7,0)),0)</f>
        <v>0</v>
      </c>
    </row>
    <row r="782" spans="1:14">
      <c r="B782" s="3">
        <v>239999</v>
      </c>
      <c r="C782" s="11" t="s">
        <v>613</v>
      </c>
      <c r="D782" s="11" t="s">
        <v>16</v>
      </c>
      <c r="E782" s="11"/>
      <c r="F782" s="5" t="e">
        <f>IF(DataExtraction="Manual",SUMIF('[1]TrialBalance (YTD)'!$C:$C,B782,'[1]TrialBalance (YTD)'!$E:$E),SUMIF('[1]TrialBalance (YTD)'!$G:$G,B782,'[1]TrialBalance (YTD)'!$I:$I))</f>
        <v>#VALUE!</v>
      </c>
      <c r="G782" s="5">
        <f>IFERROR(INDEX('[1]TrialBalance (YTD)'!$G:$S,MATCH([1]TBMapping!$C784,'[1]TrialBalance (YTD)'!G:G,0),MATCH([1]TBMapping!H$3,'[1]TrialBalance (YTD)'!$G$7:$Z$7,0)),0)</f>
        <v>0</v>
      </c>
      <c r="H782" s="5" t="e">
        <f>SUMIF('[1]TrialBalance (YTD)'!G:G,B782,'[1]TrialBalance (YTD)'!H:H)</f>
        <v>#VALUE!</v>
      </c>
      <c r="I782" s="5">
        <f>IFERROR(INDEX('[1]TrialBalance (YTD)'!$G:$S,MATCH([1]TBMapping!$C784,'[1]TrialBalance (YTD)'!G:G,0),MATCH([1]TBMapping!J$3,'[1]TrialBalance (YTD)'!$G$7:$Z$7,0)),0)</f>
        <v>0</v>
      </c>
      <c r="K782" s="5" t="e">
        <f>SUMIF('[1]TrialBalance (Quarter)'!$A:$A,B782,'[1]TrialBalance (Quarter)'!$B:$B)</f>
        <v>#VALUE!</v>
      </c>
      <c r="L782" s="5">
        <f>IFERROR(INDEX('[1]TrialBalance (Quarter)'!$A:$L,MATCH([1]TBMapping!$C784,'[1]TrialBalance (Quarter)'!A:A,0),MATCH([1]TBMapping!M$3,'[1]TrialBalance (Quarter)'!$7:$7,0)),0)</f>
        <v>0</v>
      </c>
      <c r="M782" s="5">
        <f>IFERROR(INDEX('[1]TrialBalance (Quarter)'!$A:$L,MATCH([1]TBMapping!$C784,'[1]TrialBalance (Quarter)'!A:A,0),MATCH([1]TBMapping!N$3,'[1]TrialBalance (Quarter)'!$7:$7,0)),0)</f>
        <v>0</v>
      </c>
      <c r="N782" s="5">
        <f>IFERROR(INDEX('[1]TrialBalance (Quarter)'!$A:$L,MATCH([1]TBMapping!$C784,'[1]TrialBalance (Quarter)'!A:A,0),MATCH([1]TBMapping!O$3,'[1]TrialBalance (Quarter)'!$7:$7,0)),0)</f>
        <v>0</v>
      </c>
    </row>
    <row r="783" spans="1:14">
      <c r="B783" s="3">
        <v>249999</v>
      </c>
      <c r="C783" s="10" t="s">
        <v>614</v>
      </c>
      <c r="D783" s="10" t="s">
        <v>16</v>
      </c>
      <c r="E783" s="10"/>
      <c r="F783" s="5" t="e">
        <f>IF(DataExtraction="Manual",SUMIF('[1]TrialBalance (YTD)'!$C:$C,B783,'[1]TrialBalance (YTD)'!$E:$E),SUMIF('[1]TrialBalance (YTD)'!$G:$G,B783,'[1]TrialBalance (YTD)'!$I:$I))</f>
        <v>#VALUE!</v>
      </c>
      <c r="G783" s="5">
        <f>IFERROR(INDEX('[1]TrialBalance (YTD)'!$G:$S,MATCH([1]TBMapping!$C785,'[1]TrialBalance (YTD)'!G:G,0),MATCH([1]TBMapping!H$3,'[1]TrialBalance (YTD)'!$G$7:$Z$7,0)),0)</f>
        <v>0</v>
      </c>
      <c r="H783" s="5" t="e">
        <f>SUMIF('[1]TrialBalance (YTD)'!G:G,B783,'[1]TrialBalance (YTD)'!H:H)</f>
        <v>#VALUE!</v>
      </c>
      <c r="I783" s="5">
        <f>IFERROR(INDEX('[1]TrialBalance (YTD)'!$G:$S,MATCH([1]TBMapping!$C785,'[1]TrialBalance (YTD)'!G:G,0),MATCH([1]TBMapping!J$3,'[1]TrialBalance (YTD)'!$G$7:$Z$7,0)),0)</f>
        <v>0</v>
      </c>
      <c r="K783" s="5" t="e">
        <f>SUMIF('[1]TrialBalance (Quarter)'!$A:$A,B783,'[1]TrialBalance (Quarter)'!$B:$B)</f>
        <v>#VALUE!</v>
      </c>
      <c r="L783" s="5">
        <f>IFERROR(INDEX('[1]TrialBalance (Quarter)'!$A:$L,MATCH([1]TBMapping!$C785,'[1]TrialBalance (Quarter)'!A:A,0),MATCH([1]TBMapping!M$3,'[1]TrialBalance (Quarter)'!$7:$7,0)),0)</f>
        <v>0</v>
      </c>
      <c r="M783" s="5">
        <f>IFERROR(INDEX('[1]TrialBalance (Quarter)'!$A:$L,MATCH([1]TBMapping!$C785,'[1]TrialBalance (Quarter)'!A:A,0),MATCH([1]TBMapping!N$3,'[1]TrialBalance (Quarter)'!$7:$7,0)),0)</f>
        <v>0</v>
      </c>
      <c r="N783" s="5">
        <f>IFERROR(INDEX('[1]TrialBalance (Quarter)'!$A:$L,MATCH([1]TBMapping!$C785,'[1]TrialBalance (Quarter)'!A:A,0),MATCH([1]TBMapping!O$3,'[1]TrialBalance (Quarter)'!$7:$7,0)),0)</f>
        <v>0</v>
      </c>
    </row>
    <row r="784" spans="1:14">
      <c r="B784" s="3">
        <v>300000</v>
      </c>
      <c r="C784" s="11" t="s">
        <v>615</v>
      </c>
      <c r="D784" s="11" t="s">
        <v>5</v>
      </c>
      <c r="E784" s="11"/>
      <c r="F784" s="5" t="e">
        <f>IF(DataExtraction="Manual",SUMIF('[1]TrialBalance (YTD)'!$C:$C,B784,'[1]TrialBalance (YTD)'!$E:$E),SUMIF('[1]TrialBalance (YTD)'!$G:$G,B784,'[1]TrialBalance (YTD)'!$I:$I))</f>
        <v>#VALUE!</v>
      </c>
      <c r="G784" s="5">
        <f>IFERROR(INDEX('[1]TrialBalance (YTD)'!$G:$S,MATCH([1]TBMapping!$C786,'[1]TrialBalance (YTD)'!G:G,0),MATCH([1]TBMapping!H$3,'[1]TrialBalance (YTD)'!$G$7:$Z$7,0)),0)</f>
        <v>0</v>
      </c>
      <c r="H784" s="5" t="e">
        <f>SUMIF('[1]TrialBalance (YTD)'!G:G,B784,'[1]TrialBalance (YTD)'!H:H)</f>
        <v>#VALUE!</v>
      </c>
      <c r="I784" s="5">
        <f>IFERROR(INDEX('[1]TrialBalance (YTD)'!$G:$S,MATCH([1]TBMapping!$C786,'[1]TrialBalance (YTD)'!G:G,0),MATCH([1]TBMapping!J$3,'[1]TrialBalance (YTD)'!$G$7:$Z$7,0)),0)</f>
        <v>0</v>
      </c>
      <c r="K784" s="5" t="e">
        <f>SUMIF('[1]TrialBalance (Quarter)'!$A:$A,B784,'[1]TrialBalance (Quarter)'!$B:$B)</f>
        <v>#VALUE!</v>
      </c>
      <c r="L784" s="5">
        <f>IFERROR(INDEX('[1]TrialBalance (Quarter)'!$A:$L,MATCH([1]TBMapping!$C786,'[1]TrialBalance (Quarter)'!A:A,0),MATCH([1]TBMapping!M$3,'[1]TrialBalance (Quarter)'!$7:$7,0)),0)</f>
        <v>0</v>
      </c>
      <c r="M784" s="5">
        <f>IFERROR(INDEX('[1]TrialBalance (Quarter)'!$A:$L,MATCH([1]TBMapping!$C786,'[1]TrialBalance (Quarter)'!A:A,0),MATCH([1]TBMapping!N$3,'[1]TrialBalance (Quarter)'!$7:$7,0)),0)</f>
        <v>0</v>
      </c>
      <c r="N784" s="5">
        <f>IFERROR(INDEX('[1]TrialBalance (Quarter)'!$A:$L,MATCH([1]TBMapping!$C786,'[1]TrialBalance (Quarter)'!A:A,0),MATCH([1]TBMapping!O$3,'[1]TrialBalance (Quarter)'!$7:$7,0)),0)</f>
        <v>0</v>
      </c>
    </row>
    <row r="785" spans="1:14">
      <c r="B785" s="3">
        <v>301000</v>
      </c>
      <c r="C785" s="10" t="s">
        <v>616</v>
      </c>
      <c r="D785" s="10" t="s">
        <v>5</v>
      </c>
      <c r="E785" s="10"/>
      <c r="F785" s="5" t="e">
        <f>IF(DataExtraction="Manual",SUMIF('[1]TrialBalance (YTD)'!$C:$C,B785,'[1]TrialBalance (YTD)'!$E:$E),SUMIF('[1]TrialBalance (YTD)'!$G:$G,B785,'[1]TrialBalance (YTD)'!$I:$I))</f>
        <v>#VALUE!</v>
      </c>
      <c r="G785" s="5">
        <f>IFERROR(INDEX('[1]TrialBalance (YTD)'!$G:$S,MATCH([1]TBMapping!$C787,'[1]TrialBalance (YTD)'!G:G,0),MATCH([1]TBMapping!H$3,'[1]TrialBalance (YTD)'!$G$7:$Z$7,0)),0)</f>
        <v>0</v>
      </c>
      <c r="H785" s="5" t="e">
        <f>SUMIF('[1]TrialBalance (YTD)'!G:G,B785,'[1]TrialBalance (YTD)'!H:H)</f>
        <v>#VALUE!</v>
      </c>
      <c r="I785" s="5">
        <f>IFERROR(INDEX('[1]TrialBalance (YTD)'!$G:$S,MATCH([1]TBMapping!$C787,'[1]TrialBalance (YTD)'!G:G,0),MATCH([1]TBMapping!J$3,'[1]TrialBalance (YTD)'!$G$7:$Z$7,0)),0)</f>
        <v>0</v>
      </c>
      <c r="K785" s="5" t="e">
        <f>SUMIF('[1]TrialBalance (Quarter)'!$A:$A,B785,'[1]TrialBalance (Quarter)'!$B:$B)</f>
        <v>#VALUE!</v>
      </c>
      <c r="L785" s="5">
        <f>IFERROR(INDEX('[1]TrialBalance (Quarter)'!$A:$L,MATCH([1]TBMapping!$C787,'[1]TrialBalance (Quarter)'!A:A,0),MATCH([1]TBMapping!M$3,'[1]TrialBalance (Quarter)'!$7:$7,0)),0)</f>
        <v>0</v>
      </c>
      <c r="M785" s="5">
        <f>IFERROR(INDEX('[1]TrialBalance (Quarter)'!$A:$L,MATCH([1]TBMapping!$C787,'[1]TrialBalance (Quarter)'!A:A,0),MATCH([1]TBMapping!N$3,'[1]TrialBalance (Quarter)'!$7:$7,0)),0)</f>
        <v>0</v>
      </c>
      <c r="N785" s="5">
        <f>IFERROR(INDEX('[1]TrialBalance (Quarter)'!$A:$L,MATCH([1]TBMapping!$C787,'[1]TrialBalance (Quarter)'!A:A,0),MATCH([1]TBMapping!O$3,'[1]TrialBalance (Quarter)'!$7:$7,0)),0)</f>
        <v>0</v>
      </c>
    </row>
    <row r="786" spans="1:14">
      <c r="A786" s="2">
        <v>15</v>
      </c>
      <c r="B786" s="3">
        <v>301100</v>
      </c>
      <c r="C786" s="11" t="s">
        <v>617</v>
      </c>
      <c r="D786" s="11" t="s">
        <v>11</v>
      </c>
      <c r="E786" s="11"/>
      <c r="F786" s="5" t="e">
        <f>IF(DataExtraction="Manual",SUMIF('[1]TrialBalance (YTD)'!$C:$C,B786,'[1]TrialBalance (YTD)'!$E:$E),SUMIF('[1]TrialBalance (YTD)'!$G:$G,B786,'[1]TrialBalance (YTD)'!$I:$I))</f>
        <v>#VALUE!</v>
      </c>
      <c r="G786" s="5">
        <f>IFERROR(INDEX('[1]TrialBalance (YTD)'!$G:$S,MATCH([1]TBMapping!$C788,'[1]TrialBalance (YTD)'!G:G,0),MATCH([1]TBMapping!H$3,'[1]TrialBalance (YTD)'!$G$7:$Z$7,0)),0)</f>
        <v>0</v>
      </c>
      <c r="H786" s="5" t="e">
        <f>SUMIF('[1]TrialBalance (YTD)'!G:G,B786,'[1]TrialBalance (YTD)'!H:H)</f>
        <v>#VALUE!</v>
      </c>
      <c r="I786" s="5">
        <f>IFERROR(INDEX('[1]TrialBalance (YTD)'!$G:$S,MATCH([1]TBMapping!$C788,'[1]TrialBalance (YTD)'!G:G,0),MATCH([1]TBMapping!J$3,'[1]TrialBalance (YTD)'!$G$7:$Z$7,0)),0)</f>
        <v>0</v>
      </c>
      <c r="K786" s="5" t="e">
        <f>SUMIF('[1]TrialBalance (Quarter)'!$A:$A,B786,'[1]TrialBalance (Quarter)'!$B:$B)</f>
        <v>#VALUE!</v>
      </c>
      <c r="L786" s="5">
        <f>IFERROR(INDEX('[1]TrialBalance (Quarter)'!$A:$L,MATCH([1]TBMapping!$C788,'[1]TrialBalance (Quarter)'!A:A,0),MATCH([1]TBMapping!M$3,'[1]TrialBalance (Quarter)'!$7:$7,0)),0)</f>
        <v>0</v>
      </c>
      <c r="M786" s="5">
        <f>IFERROR(INDEX('[1]TrialBalance (Quarter)'!$A:$L,MATCH([1]TBMapping!$C788,'[1]TrialBalance (Quarter)'!A:A,0),MATCH([1]TBMapping!N$3,'[1]TrialBalance (Quarter)'!$7:$7,0)),0)</f>
        <v>0</v>
      </c>
      <c r="N786" s="5">
        <f>IFERROR(INDEX('[1]TrialBalance (Quarter)'!$A:$L,MATCH([1]TBMapping!$C788,'[1]TrialBalance (Quarter)'!A:A,0),MATCH([1]TBMapping!O$3,'[1]TrialBalance (Quarter)'!$7:$7,0)),0)</f>
        <v>0</v>
      </c>
    </row>
    <row r="787" spans="1:14">
      <c r="A787" s="2">
        <v>15</v>
      </c>
      <c r="B787" s="3">
        <v>301112</v>
      </c>
      <c r="C787" s="10" t="s">
        <v>508</v>
      </c>
      <c r="D787" s="10" t="s">
        <v>11</v>
      </c>
      <c r="E787" s="10"/>
      <c r="F787" s="5" t="e">
        <f>IF(DataExtraction="Manual",SUMIF('[1]TrialBalance (YTD)'!$C:$C,B787,'[1]TrialBalance (YTD)'!$E:$E),SUMIF('[1]TrialBalance (YTD)'!$G:$G,B787,'[1]TrialBalance (YTD)'!$I:$I))</f>
        <v>#VALUE!</v>
      </c>
      <c r="G787" s="5">
        <f>IFERROR(INDEX('[1]TrialBalance (YTD)'!$G:$S,MATCH([1]TBMapping!$C789,'[1]TrialBalance (YTD)'!G:G,0),MATCH([1]TBMapping!H$3,'[1]TrialBalance (YTD)'!$G$7:$Z$7,0)),0)</f>
        <v>0</v>
      </c>
      <c r="H787" s="5" t="e">
        <f>SUMIF('[1]TrialBalance (YTD)'!G:G,B787,'[1]TrialBalance (YTD)'!H:H)</f>
        <v>#VALUE!</v>
      </c>
      <c r="I787" s="5">
        <f>IFERROR(INDEX('[1]TrialBalance (YTD)'!$G:$S,MATCH([1]TBMapping!$C789,'[1]TrialBalance (YTD)'!G:G,0),MATCH([1]TBMapping!J$3,'[1]TrialBalance (YTD)'!$G$7:$Z$7,0)),0)</f>
        <v>0</v>
      </c>
      <c r="K787" s="5" t="e">
        <f>SUMIF('[1]TrialBalance (Quarter)'!$A:$A,B787,'[1]TrialBalance (Quarter)'!$B:$B)</f>
        <v>#VALUE!</v>
      </c>
      <c r="L787" s="5">
        <f>IFERROR(INDEX('[1]TrialBalance (Quarter)'!$A:$L,MATCH([1]TBMapping!$C789,'[1]TrialBalance (Quarter)'!A:A,0),MATCH([1]TBMapping!M$3,'[1]TrialBalance (Quarter)'!$7:$7,0)),0)</f>
        <v>0</v>
      </c>
      <c r="M787" s="5">
        <f>IFERROR(INDEX('[1]TrialBalance (Quarter)'!$A:$L,MATCH([1]TBMapping!$C789,'[1]TrialBalance (Quarter)'!A:A,0),MATCH([1]TBMapping!N$3,'[1]TrialBalance (Quarter)'!$7:$7,0)),0)</f>
        <v>0</v>
      </c>
      <c r="N787" s="5">
        <f>IFERROR(INDEX('[1]TrialBalance (Quarter)'!$A:$L,MATCH([1]TBMapping!$C789,'[1]TrialBalance (Quarter)'!A:A,0),MATCH([1]TBMapping!O$3,'[1]TrialBalance (Quarter)'!$7:$7,0)),0)</f>
        <v>0</v>
      </c>
    </row>
    <row r="788" spans="1:14">
      <c r="A788" s="2">
        <v>15</v>
      </c>
      <c r="B788" s="3">
        <v>301115</v>
      </c>
      <c r="C788" s="11" t="s">
        <v>560</v>
      </c>
      <c r="D788" s="11" t="s">
        <v>11</v>
      </c>
      <c r="E788" s="11"/>
      <c r="F788" s="5" t="e">
        <f>IF(DataExtraction="Manual",SUMIF('[1]TrialBalance (YTD)'!$C:$C,B788,'[1]TrialBalance (YTD)'!$E:$E),SUMIF('[1]TrialBalance (YTD)'!$G:$G,B788,'[1]TrialBalance (YTD)'!$I:$I))</f>
        <v>#VALUE!</v>
      </c>
      <c r="G788" s="5">
        <f>IFERROR(INDEX('[1]TrialBalance (YTD)'!$G:$S,MATCH([1]TBMapping!$C790,'[1]TrialBalance (YTD)'!G:G,0),MATCH([1]TBMapping!H$3,'[1]TrialBalance (YTD)'!$G$7:$Z$7,0)),0)</f>
        <v>0</v>
      </c>
      <c r="H788" s="5" t="e">
        <f>SUMIF('[1]TrialBalance (YTD)'!G:G,B788,'[1]TrialBalance (YTD)'!H:H)</f>
        <v>#VALUE!</v>
      </c>
      <c r="I788" s="5">
        <f>IFERROR(INDEX('[1]TrialBalance (YTD)'!$G:$S,MATCH([1]TBMapping!$C790,'[1]TrialBalance (YTD)'!G:G,0),MATCH([1]TBMapping!J$3,'[1]TrialBalance (YTD)'!$G$7:$Z$7,0)),0)</f>
        <v>0</v>
      </c>
      <c r="K788" s="5" t="e">
        <f>SUMIF('[1]TrialBalance (Quarter)'!$A:$A,B788,'[1]TrialBalance (Quarter)'!$B:$B)</f>
        <v>#VALUE!</v>
      </c>
      <c r="L788" s="5">
        <f>IFERROR(INDEX('[1]TrialBalance (Quarter)'!$A:$L,MATCH([1]TBMapping!$C790,'[1]TrialBalance (Quarter)'!A:A,0),MATCH([1]TBMapping!M$3,'[1]TrialBalance (Quarter)'!$7:$7,0)),0)</f>
        <v>0</v>
      </c>
      <c r="M788" s="5">
        <f>IFERROR(INDEX('[1]TrialBalance (Quarter)'!$A:$L,MATCH([1]TBMapping!$C790,'[1]TrialBalance (Quarter)'!A:A,0),MATCH([1]TBMapping!N$3,'[1]TrialBalance (Quarter)'!$7:$7,0)),0)</f>
        <v>0</v>
      </c>
      <c r="N788" s="5">
        <f>IFERROR(INDEX('[1]TrialBalance (Quarter)'!$A:$L,MATCH([1]TBMapping!$C790,'[1]TrialBalance (Quarter)'!A:A,0),MATCH([1]TBMapping!O$3,'[1]TrialBalance (Quarter)'!$7:$7,0)),0)</f>
        <v>0</v>
      </c>
    </row>
    <row r="789" spans="1:14">
      <c r="A789" s="2">
        <v>15</v>
      </c>
      <c r="B789" s="3">
        <v>301120</v>
      </c>
      <c r="C789" s="10" t="s">
        <v>509</v>
      </c>
      <c r="D789" s="10" t="s">
        <v>11</v>
      </c>
      <c r="E789" s="10"/>
      <c r="F789" s="5" t="e">
        <f>IF(DataExtraction="Manual",SUMIF('[1]TrialBalance (YTD)'!$C:$C,B789,'[1]TrialBalance (YTD)'!$E:$E),SUMIF('[1]TrialBalance (YTD)'!$G:$G,B789,'[1]TrialBalance (YTD)'!$I:$I))</f>
        <v>#VALUE!</v>
      </c>
      <c r="G789" s="5">
        <f>IFERROR(INDEX('[1]TrialBalance (YTD)'!$G:$S,MATCH([1]TBMapping!$C791,'[1]TrialBalance (YTD)'!G:G,0),MATCH([1]TBMapping!H$3,'[1]TrialBalance (YTD)'!$G$7:$Z$7,0)),0)</f>
        <v>0</v>
      </c>
      <c r="H789" s="5" t="e">
        <f>SUMIF('[1]TrialBalance (YTD)'!G:G,B789,'[1]TrialBalance (YTD)'!H:H)</f>
        <v>#VALUE!</v>
      </c>
      <c r="I789" s="5">
        <f>IFERROR(INDEX('[1]TrialBalance (YTD)'!$G:$S,MATCH([1]TBMapping!$C791,'[1]TrialBalance (YTD)'!G:G,0),MATCH([1]TBMapping!J$3,'[1]TrialBalance (YTD)'!$G$7:$Z$7,0)),0)</f>
        <v>0</v>
      </c>
      <c r="K789" s="5" t="e">
        <f>SUMIF('[1]TrialBalance (Quarter)'!$A:$A,B789,'[1]TrialBalance (Quarter)'!$B:$B)</f>
        <v>#VALUE!</v>
      </c>
      <c r="L789" s="5">
        <f>IFERROR(INDEX('[1]TrialBalance (Quarter)'!$A:$L,MATCH([1]TBMapping!$C791,'[1]TrialBalance (Quarter)'!A:A,0),MATCH([1]TBMapping!M$3,'[1]TrialBalance (Quarter)'!$7:$7,0)),0)</f>
        <v>0</v>
      </c>
      <c r="M789" s="5">
        <f>IFERROR(INDEX('[1]TrialBalance (Quarter)'!$A:$L,MATCH([1]TBMapping!$C791,'[1]TrialBalance (Quarter)'!A:A,0),MATCH([1]TBMapping!N$3,'[1]TrialBalance (Quarter)'!$7:$7,0)),0)</f>
        <v>0</v>
      </c>
      <c r="N789" s="5">
        <f>IFERROR(INDEX('[1]TrialBalance (Quarter)'!$A:$L,MATCH([1]TBMapping!$C791,'[1]TrialBalance (Quarter)'!A:A,0),MATCH([1]TBMapping!O$3,'[1]TrialBalance (Quarter)'!$7:$7,0)),0)</f>
        <v>0</v>
      </c>
    </row>
    <row r="790" spans="1:14">
      <c r="A790" s="2">
        <v>15</v>
      </c>
      <c r="B790" s="3">
        <v>301130</v>
      </c>
      <c r="C790" s="11" t="s">
        <v>510</v>
      </c>
      <c r="D790" s="11" t="s">
        <v>11</v>
      </c>
      <c r="E790" s="11"/>
      <c r="F790" s="5" t="e">
        <f>IF(DataExtraction="Manual",SUMIF('[1]TrialBalance (YTD)'!$C:$C,B790,'[1]TrialBalance (YTD)'!$E:$E),SUMIF('[1]TrialBalance (YTD)'!$G:$G,B790,'[1]TrialBalance (YTD)'!$I:$I))</f>
        <v>#VALUE!</v>
      </c>
      <c r="G790" s="5">
        <f>IFERROR(INDEX('[1]TrialBalance (YTD)'!$G:$S,MATCH([1]TBMapping!$C792,'[1]TrialBalance (YTD)'!G:G,0),MATCH([1]TBMapping!H$3,'[1]TrialBalance (YTD)'!$G$7:$Z$7,0)),0)</f>
        <v>0</v>
      </c>
      <c r="H790" s="5" t="e">
        <f>SUMIF('[1]TrialBalance (YTD)'!G:G,B790,'[1]TrialBalance (YTD)'!H:H)</f>
        <v>#VALUE!</v>
      </c>
      <c r="I790" s="5">
        <f>IFERROR(INDEX('[1]TrialBalance (YTD)'!$G:$S,MATCH([1]TBMapping!$C792,'[1]TrialBalance (YTD)'!G:G,0),MATCH([1]TBMapping!J$3,'[1]TrialBalance (YTD)'!$G$7:$Z$7,0)),0)</f>
        <v>0</v>
      </c>
      <c r="K790" s="5" t="e">
        <f>SUMIF('[1]TrialBalance (Quarter)'!$A:$A,B790,'[1]TrialBalance (Quarter)'!$B:$B)</f>
        <v>#VALUE!</v>
      </c>
      <c r="L790" s="5">
        <f>IFERROR(INDEX('[1]TrialBalance (Quarter)'!$A:$L,MATCH([1]TBMapping!$C792,'[1]TrialBalance (Quarter)'!A:A,0),MATCH([1]TBMapping!M$3,'[1]TrialBalance (Quarter)'!$7:$7,0)),0)</f>
        <v>0</v>
      </c>
      <c r="M790" s="5">
        <f>IFERROR(INDEX('[1]TrialBalance (Quarter)'!$A:$L,MATCH([1]TBMapping!$C792,'[1]TrialBalance (Quarter)'!A:A,0),MATCH([1]TBMapping!N$3,'[1]TrialBalance (Quarter)'!$7:$7,0)),0)</f>
        <v>0</v>
      </c>
      <c r="N790" s="5">
        <f>IFERROR(INDEX('[1]TrialBalance (Quarter)'!$A:$L,MATCH([1]TBMapping!$C792,'[1]TrialBalance (Quarter)'!A:A,0),MATCH([1]TBMapping!O$3,'[1]TrialBalance (Quarter)'!$7:$7,0)),0)</f>
        <v>0</v>
      </c>
    </row>
    <row r="791" spans="1:14">
      <c r="A791" s="2">
        <v>15</v>
      </c>
      <c r="B791" s="3">
        <v>301135</v>
      </c>
      <c r="C791" s="10" t="s">
        <v>511</v>
      </c>
      <c r="D791" s="10" t="s">
        <v>11</v>
      </c>
      <c r="E791" s="10"/>
      <c r="F791" s="5" t="e">
        <f>IF(DataExtraction="Manual",SUMIF('[1]TrialBalance (YTD)'!$C:$C,B791,'[1]TrialBalance (YTD)'!$E:$E),SUMIF('[1]TrialBalance (YTD)'!$G:$G,B791,'[1]TrialBalance (YTD)'!$I:$I))</f>
        <v>#VALUE!</v>
      </c>
      <c r="G791" s="5">
        <f>IFERROR(INDEX('[1]TrialBalance (YTD)'!$G:$S,MATCH([1]TBMapping!$C793,'[1]TrialBalance (YTD)'!G:G,0),MATCH([1]TBMapping!H$3,'[1]TrialBalance (YTD)'!$G$7:$Z$7,0)),0)</f>
        <v>0</v>
      </c>
      <c r="H791" s="5" t="e">
        <f>SUMIF('[1]TrialBalance (YTD)'!G:G,B791,'[1]TrialBalance (YTD)'!H:H)</f>
        <v>#VALUE!</v>
      </c>
      <c r="I791" s="5">
        <f>IFERROR(INDEX('[1]TrialBalance (YTD)'!$G:$S,MATCH([1]TBMapping!$C793,'[1]TrialBalance (YTD)'!G:G,0),MATCH([1]TBMapping!J$3,'[1]TrialBalance (YTD)'!$G$7:$Z$7,0)),0)</f>
        <v>0</v>
      </c>
      <c r="K791" s="5" t="e">
        <f>SUMIF('[1]TrialBalance (Quarter)'!$A:$A,B791,'[1]TrialBalance (Quarter)'!$B:$B)</f>
        <v>#VALUE!</v>
      </c>
      <c r="L791" s="5">
        <f>IFERROR(INDEX('[1]TrialBalance (Quarter)'!$A:$L,MATCH([1]TBMapping!$C793,'[1]TrialBalance (Quarter)'!A:A,0),MATCH([1]TBMapping!M$3,'[1]TrialBalance (Quarter)'!$7:$7,0)),0)</f>
        <v>0</v>
      </c>
      <c r="M791" s="5">
        <f>IFERROR(INDEX('[1]TrialBalance (Quarter)'!$A:$L,MATCH([1]TBMapping!$C793,'[1]TrialBalance (Quarter)'!A:A,0),MATCH([1]TBMapping!N$3,'[1]TrialBalance (Quarter)'!$7:$7,0)),0)</f>
        <v>0</v>
      </c>
      <c r="N791" s="5">
        <f>IFERROR(INDEX('[1]TrialBalance (Quarter)'!$A:$L,MATCH([1]TBMapping!$C793,'[1]TrialBalance (Quarter)'!A:A,0),MATCH([1]TBMapping!O$3,'[1]TrialBalance (Quarter)'!$7:$7,0)),0)</f>
        <v>0</v>
      </c>
    </row>
    <row r="792" spans="1:14">
      <c r="A792" s="2">
        <v>15</v>
      </c>
      <c r="B792" s="3">
        <v>301200</v>
      </c>
      <c r="C792" s="11" t="s">
        <v>618</v>
      </c>
      <c r="D792" s="11" t="s">
        <v>11</v>
      </c>
      <c r="E792" s="11"/>
      <c r="F792" s="5" t="e">
        <f>IF(DataExtraction="Manual",SUMIF('[1]TrialBalance (YTD)'!$C:$C,B792,'[1]TrialBalance (YTD)'!$E:$E),SUMIF('[1]TrialBalance (YTD)'!$G:$G,B792,'[1]TrialBalance (YTD)'!$I:$I))</f>
        <v>#VALUE!</v>
      </c>
      <c r="G792" s="5">
        <f>IFERROR(INDEX('[1]TrialBalance (YTD)'!$G:$S,MATCH([1]TBMapping!$C794,'[1]TrialBalance (YTD)'!G:G,0),MATCH([1]TBMapping!H$3,'[1]TrialBalance (YTD)'!$G$7:$Z$7,0)),0)</f>
        <v>0</v>
      </c>
      <c r="H792" s="5" t="e">
        <f>SUMIF('[1]TrialBalance (YTD)'!G:G,B792,'[1]TrialBalance (YTD)'!H:H)</f>
        <v>#VALUE!</v>
      </c>
      <c r="I792" s="5">
        <f>IFERROR(INDEX('[1]TrialBalance (YTD)'!$G:$S,MATCH([1]TBMapping!$C794,'[1]TrialBalance (YTD)'!G:G,0),MATCH([1]TBMapping!J$3,'[1]TrialBalance (YTD)'!$G$7:$Z$7,0)),0)</f>
        <v>0</v>
      </c>
      <c r="K792" s="5" t="e">
        <f>SUMIF('[1]TrialBalance (Quarter)'!$A:$A,B792,'[1]TrialBalance (Quarter)'!$B:$B)</f>
        <v>#VALUE!</v>
      </c>
      <c r="L792" s="5">
        <f>IFERROR(INDEX('[1]TrialBalance (Quarter)'!$A:$L,MATCH([1]TBMapping!$C794,'[1]TrialBalance (Quarter)'!A:A,0),MATCH([1]TBMapping!M$3,'[1]TrialBalance (Quarter)'!$7:$7,0)),0)</f>
        <v>0</v>
      </c>
      <c r="M792" s="5">
        <f>IFERROR(INDEX('[1]TrialBalance (Quarter)'!$A:$L,MATCH([1]TBMapping!$C794,'[1]TrialBalance (Quarter)'!A:A,0),MATCH([1]TBMapping!N$3,'[1]TrialBalance (Quarter)'!$7:$7,0)),0)</f>
        <v>0</v>
      </c>
      <c r="N792" s="5">
        <f>IFERROR(INDEX('[1]TrialBalance (Quarter)'!$A:$L,MATCH([1]TBMapping!$C794,'[1]TrialBalance (Quarter)'!A:A,0),MATCH([1]TBMapping!O$3,'[1]TrialBalance (Quarter)'!$7:$7,0)),0)</f>
        <v>0</v>
      </c>
    </row>
    <row r="793" spans="1:14">
      <c r="A793" s="2">
        <v>15</v>
      </c>
      <c r="B793" s="3">
        <v>301215</v>
      </c>
      <c r="C793" s="10" t="s">
        <v>560</v>
      </c>
      <c r="D793" s="10" t="s">
        <v>11</v>
      </c>
      <c r="E793" s="10"/>
      <c r="F793" s="5" t="e">
        <f>IF(DataExtraction="Manual",SUMIF('[1]TrialBalance (YTD)'!$C:$C,B793,'[1]TrialBalance (YTD)'!$E:$E),SUMIF('[1]TrialBalance (YTD)'!$G:$G,B793,'[1]TrialBalance (YTD)'!$I:$I))</f>
        <v>#VALUE!</v>
      </c>
      <c r="G793" s="5">
        <f>IFERROR(INDEX('[1]TrialBalance (YTD)'!$G:$S,MATCH([1]TBMapping!$C795,'[1]TrialBalance (YTD)'!G:G,0),MATCH([1]TBMapping!H$3,'[1]TrialBalance (YTD)'!$G$7:$Z$7,0)),0)</f>
        <v>0</v>
      </c>
      <c r="H793" s="5" t="e">
        <f>SUMIF('[1]TrialBalance (YTD)'!G:G,B793,'[1]TrialBalance (YTD)'!H:H)</f>
        <v>#VALUE!</v>
      </c>
      <c r="I793" s="5">
        <f>IFERROR(INDEX('[1]TrialBalance (YTD)'!$G:$S,MATCH([1]TBMapping!$C795,'[1]TrialBalance (YTD)'!G:G,0),MATCH([1]TBMapping!J$3,'[1]TrialBalance (YTD)'!$G$7:$Z$7,0)),0)</f>
        <v>0</v>
      </c>
      <c r="K793" s="5" t="e">
        <f>SUMIF('[1]TrialBalance (Quarter)'!$A:$A,B793,'[1]TrialBalance (Quarter)'!$B:$B)</f>
        <v>#VALUE!</v>
      </c>
      <c r="L793" s="5">
        <f>IFERROR(INDEX('[1]TrialBalance (Quarter)'!$A:$L,MATCH([1]TBMapping!$C795,'[1]TrialBalance (Quarter)'!A:A,0),MATCH([1]TBMapping!M$3,'[1]TrialBalance (Quarter)'!$7:$7,0)),0)</f>
        <v>0</v>
      </c>
      <c r="M793" s="5">
        <f>IFERROR(INDEX('[1]TrialBalance (Quarter)'!$A:$L,MATCH([1]TBMapping!$C795,'[1]TrialBalance (Quarter)'!A:A,0),MATCH([1]TBMapping!N$3,'[1]TrialBalance (Quarter)'!$7:$7,0)),0)</f>
        <v>0</v>
      </c>
      <c r="N793" s="5">
        <f>IFERROR(INDEX('[1]TrialBalance (Quarter)'!$A:$L,MATCH([1]TBMapping!$C795,'[1]TrialBalance (Quarter)'!A:A,0),MATCH([1]TBMapping!O$3,'[1]TrialBalance (Quarter)'!$7:$7,0)),0)</f>
        <v>0</v>
      </c>
    </row>
    <row r="794" spans="1:14">
      <c r="A794" s="2">
        <v>15</v>
      </c>
      <c r="B794" s="3">
        <v>301220</v>
      </c>
      <c r="C794" s="11" t="s">
        <v>619</v>
      </c>
      <c r="D794" s="11" t="s">
        <v>11</v>
      </c>
      <c r="E794" s="11"/>
      <c r="F794" s="5" t="e">
        <f>IF(DataExtraction="Manual",SUMIF('[1]TrialBalance (YTD)'!$C:$C,B794,'[1]TrialBalance (YTD)'!$E:$E),SUMIF('[1]TrialBalance (YTD)'!$G:$G,B794,'[1]TrialBalance (YTD)'!$I:$I))</f>
        <v>#VALUE!</v>
      </c>
      <c r="G794" s="5">
        <f>IFERROR(INDEX('[1]TrialBalance (YTD)'!$G:$S,MATCH([1]TBMapping!$C796,'[1]TrialBalance (YTD)'!G:G,0),MATCH([1]TBMapping!H$3,'[1]TrialBalance (YTD)'!$G$7:$Z$7,0)),0)</f>
        <v>0</v>
      </c>
      <c r="H794" s="5" t="e">
        <f>SUMIF('[1]TrialBalance (YTD)'!G:G,B794,'[1]TrialBalance (YTD)'!H:H)</f>
        <v>#VALUE!</v>
      </c>
      <c r="I794" s="5">
        <f>IFERROR(INDEX('[1]TrialBalance (YTD)'!$G:$S,MATCH([1]TBMapping!$C796,'[1]TrialBalance (YTD)'!G:G,0),MATCH([1]TBMapping!J$3,'[1]TrialBalance (YTD)'!$G$7:$Z$7,0)),0)</f>
        <v>0</v>
      </c>
      <c r="K794" s="5" t="e">
        <f>SUMIF('[1]TrialBalance (Quarter)'!$A:$A,B794,'[1]TrialBalance (Quarter)'!$B:$B)</f>
        <v>#VALUE!</v>
      </c>
      <c r="L794" s="5">
        <f>IFERROR(INDEX('[1]TrialBalance (Quarter)'!$A:$L,MATCH([1]TBMapping!$C796,'[1]TrialBalance (Quarter)'!A:A,0),MATCH([1]TBMapping!M$3,'[1]TrialBalance (Quarter)'!$7:$7,0)),0)</f>
        <v>0</v>
      </c>
      <c r="M794" s="5">
        <f>IFERROR(INDEX('[1]TrialBalance (Quarter)'!$A:$L,MATCH([1]TBMapping!$C796,'[1]TrialBalance (Quarter)'!A:A,0),MATCH([1]TBMapping!N$3,'[1]TrialBalance (Quarter)'!$7:$7,0)),0)</f>
        <v>0</v>
      </c>
      <c r="N794" s="5">
        <f>IFERROR(INDEX('[1]TrialBalance (Quarter)'!$A:$L,MATCH([1]TBMapping!$C796,'[1]TrialBalance (Quarter)'!A:A,0),MATCH([1]TBMapping!O$3,'[1]TrialBalance (Quarter)'!$7:$7,0)),0)</f>
        <v>0</v>
      </c>
    </row>
    <row r="795" spans="1:14">
      <c r="A795" s="2">
        <v>15</v>
      </c>
      <c r="B795" s="3">
        <v>301300</v>
      </c>
      <c r="C795" s="10" t="s">
        <v>620</v>
      </c>
      <c r="D795" s="10" t="s">
        <v>11</v>
      </c>
      <c r="E795" s="10"/>
      <c r="F795" s="5" t="e">
        <f>IF(DataExtraction="Manual",SUMIF('[1]TrialBalance (YTD)'!$C:$C,B795,'[1]TrialBalance (YTD)'!$E:$E),SUMIF('[1]TrialBalance (YTD)'!$G:$G,B795,'[1]TrialBalance (YTD)'!$I:$I))</f>
        <v>#VALUE!</v>
      </c>
      <c r="G795" s="5">
        <f>IFERROR(INDEX('[1]TrialBalance (YTD)'!$G:$S,MATCH([1]TBMapping!$C797,'[1]TrialBalance (YTD)'!G:G,0),MATCH([1]TBMapping!H$3,'[1]TrialBalance (YTD)'!$G$7:$Z$7,0)),0)</f>
        <v>0</v>
      </c>
      <c r="H795" s="5" t="e">
        <f>SUMIF('[1]TrialBalance (YTD)'!G:G,B795,'[1]TrialBalance (YTD)'!H:H)</f>
        <v>#VALUE!</v>
      </c>
      <c r="I795" s="5">
        <f>IFERROR(INDEX('[1]TrialBalance (YTD)'!$G:$S,MATCH([1]TBMapping!$C797,'[1]TrialBalance (YTD)'!G:G,0),MATCH([1]TBMapping!J$3,'[1]TrialBalance (YTD)'!$G$7:$Z$7,0)),0)</f>
        <v>0</v>
      </c>
      <c r="K795" s="5" t="e">
        <f>SUMIF('[1]TrialBalance (Quarter)'!$A:$A,B795,'[1]TrialBalance (Quarter)'!$B:$B)</f>
        <v>#VALUE!</v>
      </c>
      <c r="L795" s="5">
        <f>IFERROR(INDEX('[1]TrialBalance (Quarter)'!$A:$L,MATCH([1]TBMapping!$C797,'[1]TrialBalance (Quarter)'!A:A,0),MATCH([1]TBMapping!M$3,'[1]TrialBalance (Quarter)'!$7:$7,0)),0)</f>
        <v>0</v>
      </c>
      <c r="M795" s="5">
        <f>IFERROR(INDEX('[1]TrialBalance (Quarter)'!$A:$L,MATCH([1]TBMapping!$C797,'[1]TrialBalance (Quarter)'!A:A,0),MATCH([1]TBMapping!N$3,'[1]TrialBalance (Quarter)'!$7:$7,0)),0)</f>
        <v>0</v>
      </c>
      <c r="N795" s="5">
        <f>IFERROR(INDEX('[1]TrialBalance (Quarter)'!$A:$L,MATCH([1]TBMapping!$C797,'[1]TrialBalance (Quarter)'!A:A,0),MATCH([1]TBMapping!O$3,'[1]TrialBalance (Quarter)'!$7:$7,0)),0)</f>
        <v>0</v>
      </c>
    </row>
    <row r="796" spans="1:14">
      <c r="A796" s="2">
        <v>15</v>
      </c>
      <c r="B796" s="3">
        <v>301315</v>
      </c>
      <c r="C796" s="11" t="s">
        <v>560</v>
      </c>
      <c r="D796" s="11" t="s">
        <v>11</v>
      </c>
      <c r="E796" s="11"/>
      <c r="F796" s="5" t="e">
        <f>IF(DataExtraction="Manual",SUMIF('[1]TrialBalance (YTD)'!$C:$C,B796,'[1]TrialBalance (YTD)'!$E:$E),SUMIF('[1]TrialBalance (YTD)'!$G:$G,B796,'[1]TrialBalance (YTD)'!$I:$I))</f>
        <v>#VALUE!</v>
      </c>
      <c r="G796" s="5">
        <f>IFERROR(INDEX('[1]TrialBalance (YTD)'!$G:$S,MATCH([1]TBMapping!$C798,'[1]TrialBalance (YTD)'!G:G,0),MATCH([1]TBMapping!H$3,'[1]TrialBalance (YTD)'!$G$7:$Z$7,0)),0)</f>
        <v>0</v>
      </c>
      <c r="H796" s="5" t="e">
        <f>SUMIF('[1]TrialBalance (YTD)'!G:G,B796,'[1]TrialBalance (YTD)'!H:H)</f>
        <v>#VALUE!</v>
      </c>
      <c r="I796" s="5">
        <f>IFERROR(INDEX('[1]TrialBalance (YTD)'!$G:$S,MATCH([1]TBMapping!$C798,'[1]TrialBalance (YTD)'!G:G,0),MATCH([1]TBMapping!J$3,'[1]TrialBalance (YTD)'!$G$7:$Z$7,0)),0)</f>
        <v>0</v>
      </c>
      <c r="K796" s="5" t="e">
        <f>SUMIF('[1]TrialBalance (Quarter)'!$A:$A,B796,'[1]TrialBalance (Quarter)'!$B:$B)</f>
        <v>#VALUE!</v>
      </c>
      <c r="L796" s="5">
        <f>IFERROR(INDEX('[1]TrialBalance (Quarter)'!$A:$L,MATCH([1]TBMapping!$C798,'[1]TrialBalance (Quarter)'!A:A,0),MATCH([1]TBMapping!M$3,'[1]TrialBalance (Quarter)'!$7:$7,0)),0)</f>
        <v>0</v>
      </c>
      <c r="M796" s="5">
        <f>IFERROR(INDEX('[1]TrialBalance (Quarter)'!$A:$L,MATCH([1]TBMapping!$C798,'[1]TrialBalance (Quarter)'!A:A,0),MATCH([1]TBMapping!N$3,'[1]TrialBalance (Quarter)'!$7:$7,0)),0)</f>
        <v>0</v>
      </c>
      <c r="N796" s="5">
        <f>IFERROR(INDEX('[1]TrialBalance (Quarter)'!$A:$L,MATCH([1]TBMapping!$C798,'[1]TrialBalance (Quarter)'!A:A,0),MATCH([1]TBMapping!O$3,'[1]TrialBalance (Quarter)'!$7:$7,0)),0)</f>
        <v>0</v>
      </c>
    </row>
    <row r="797" spans="1:14">
      <c r="A797" s="2">
        <v>15</v>
      </c>
      <c r="B797" s="3">
        <v>301320</v>
      </c>
      <c r="C797" s="10" t="s">
        <v>621</v>
      </c>
      <c r="D797" s="10" t="s">
        <v>11</v>
      </c>
      <c r="E797" s="10"/>
      <c r="F797" s="5" t="e">
        <f>IF(DataExtraction="Manual",SUMIF('[1]TrialBalance (YTD)'!$C:$C,B797,'[1]TrialBalance (YTD)'!$E:$E),SUMIF('[1]TrialBalance (YTD)'!$G:$G,B797,'[1]TrialBalance (YTD)'!$I:$I))</f>
        <v>#VALUE!</v>
      </c>
      <c r="G797" s="5">
        <f>IFERROR(INDEX('[1]TrialBalance (YTD)'!$G:$S,MATCH([1]TBMapping!$C799,'[1]TrialBalance (YTD)'!G:G,0),MATCH([1]TBMapping!H$3,'[1]TrialBalance (YTD)'!$G$7:$Z$7,0)),0)</f>
        <v>0</v>
      </c>
      <c r="H797" s="5" t="e">
        <f>SUMIF('[1]TrialBalance (YTD)'!G:G,B797,'[1]TrialBalance (YTD)'!H:H)</f>
        <v>#VALUE!</v>
      </c>
      <c r="I797" s="5">
        <f>IFERROR(INDEX('[1]TrialBalance (YTD)'!$G:$S,MATCH([1]TBMapping!$C799,'[1]TrialBalance (YTD)'!G:G,0),MATCH([1]TBMapping!J$3,'[1]TrialBalance (YTD)'!$G$7:$Z$7,0)),0)</f>
        <v>0</v>
      </c>
      <c r="K797" s="5" t="e">
        <f>SUMIF('[1]TrialBalance (Quarter)'!$A:$A,B797,'[1]TrialBalance (Quarter)'!$B:$B)</f>
        <v>#VALUE!</v>
      </c>
      <c r="L797" s="5">
        <f>IFERROR(INDEX('[1]TrialBalance (Quarter)'!$A:$L,MATCH([1]TBMapping!$C799,'[1]TrialBalance (Quarter)'!A:A,0),MATCH([1]TBMapping!M$3,'[1]TrialBalance (Quarter)'!$7:$7,0)),0)</f>
        <v>0</v>
      </c>
      <c r="M797" s="5">
        <f>IFERROR(INDEX('[1]TrialBalance (Quarter)'!$A:$L,MATCH([1]TBMapping!$C799,'[1]TrialBalance (Quarter)'!A:A,0),MATCH([1]TBMapping!N$3,'[1]TrialBalance (Quarter)'!$7:$7,0)),0)</f>
        <v>0</v>
      </c>
      <c r="N797" s="5">
        <f>IFERROR(INDEX('[1]TrialBalance (Quarter)'!$A:$L,MATCH([1]TBMapping!$C799,'[1]TrialBalance (Quarter)'!A:A,0),MATCH([1]TBMapping!O$3,'[1]TrialBalance (Quarter)'!$7:$7,0)),0)</f>
        <v>0</v>
      </c>
    </row>
    <row r="798" spans="1:14">
      <c r="B798" s="3">
        <v>301999</v>
      </c>
      <c r="C798" s="11" t="s">
        <v>622</v>
      </c>
      <c r="D798" s="11" t="s">
        <v>16</v>
      </c>
      <c r="E798" s="11"/>
      <c r="F798" s="5" t="e">
        <f>IF(DataExtraction="Manual",SUMIF('[1]TrialBalance (YTD)'!$C:$C,B798,'[1]TrialBalance (YTD)'!$E:$E),SUMIF('[1]TrialBalance (YTD)'!$G:$G,B798,'[1]TrialBalance (YTD)'!$I:$I))</f>
        <v>#VALUE!</v>
      </c>
      <c r="G798" s="5">
        <f>IFERROR(INDEX('[1]TrialBalance (YTD)'!$G:$S,MATCH([1]TBMapping!$C800,'[1]TrialBalance (YTD)'!G:G,0),MATCH([1]TBMapping!H$3,'[1]TrialBalance (YTD)'!$G$7:$Z$7,0)),0)</f>
        <v>0</v>
      </c>
      <c r="H798" s="5" t="e">
        <f>SUMIF('[1]TrialBalance (YTD)'!G:G,B798,'[1]TrialBalance (YTD)'!H:H)</f>
        <v>#VALUE!</v>
      </c>
      <c r="I798" s="5">
        <f>IFERROR(INDEX('[1]TrialBalance (YTD)'!$G:$S,MATCH([1]TBMapping!$C800,'[1]TrialBalance (YTD)'!G:G,0),MATCH([1]TBMapping!J$3,'[1]TrialBalance (YTD)'!$G$7:$Z$7,0)),0)</f>
        <v>0</v>
      </c>
      <c r="K798" s="5" t="e">
        <f>SUMIF('[1]TrialBalance (Quarter)'!$A:$A,B798,'[1]TrialBalance (Quarter)'!$B:$B)</f>
        <v>#VALUE!</v>
      </c>
      <c r="L798" s="5">
        <f>IFERROR(INDEX('[1]TrialBalance (Quarter)'!$A:$L,MATCH([1]TBMapping!$C800,'[1]TrialBalance (Quarter)'!A:A,0),MATCH([1]TBMapping!M$3,'[1]TrialBalance (Quarter)'!$7:$7,0)),0)</f>
        <v>0</v>
      </c>
      <c r="M798" s="5">
        <f>IFERROR(INDEX('[1]TrialBalance (Quarter)'!$A:$L,MATCH([1]TBMapping!$C800,'[1]TrialBalance (Quarter)'!A:A,0),MATCH([1]TBMapping!N$3,'[1]TrialBalance (Quarter)'!$7:$7,0)),0)</f>
        <v>0</v>
      </c>
      <c r="N798" s="5">
        <f>IFERROR(INDEX('[1]TrialBalance (Quarter)'!$A:$L,MATCH([1]TBMapping!$C800,'[1]TrialBalance (Quarter)'!A:A,0),MATCH([1]TBMapping!O$3,'[1]TrialBalance (Quarter)'!$7:$7,0)),0)</f>
        <v>0</v>
      </c>
    </row>
    <row r="799" spans="1:14">
      <c r="B799" s="3">
        <v>309000</v>
      </c>
      <c r="C799" s="10" t="s">
        <v>623</v>
      </c>
      <c r="D799" s="10" t="s">
        <v>5</v>
      </c>
      <c r="E799" s="10"/>
      <c r="F799" s="5" t="e">
        <f>IF(DataExtraction="Manual",SUMIF('[1]TrialBalance (YTD)'!$C:$C,B799,'[1]TrialBalance (YTD)'!$E:$E),SUMIF('[1]TrialBalance (YTD)'!$G:$G,B799,'[1]TrialBalance (YTD)'!$I:$I))</f>
        <v>#VALUE!</v>
      </c>
      <c r="G799" s="5">
        <f>IFERROR(INDEX('[1]TrialBalance (YTD)'!$G:$S,MATCH([1]TBMapping!$C801,'[1]TrialBalance (YTD)'!G:G,0),MATCH([1]TBMapping!H$3,'[1]TrialBalance (YTD)'!$G$7:$Z$7,0)),0)</f>
        <v>0</v>
      </c>
      <c r="H799" s="5" t="e">
        <f>SUMIF('[1]TrialBalance (YTD)'!G:G,B799,'[1]TrialBalance (YTD)'!H:H)</f>
        <v>#VALUE!</v>
      </c>
      <c r="I799" s="5">
        <f>IFERROR(INDEX('[1]TrialBalance (YTD)'!$G:$S,MATCH([1]TBMapping!$C801,'[1]TrialBalance (YTD)'!G:G,0),MATCH([1]TBMapping!J$3,'[1]TrialBalance (YTD)'!$G$7:$Z$7,0)),0)</f>
        <v>0</v>
      </c>
      <c r="K799" s="5" t="e">
        <f>SUMIF('[1]TrialBalance (Quarter)'!$A:$A,B799,'[1]TrialBalance (Quarter)'!$B:$B)</f>
        <v>#VALUE!</v>
      </c>
      <c r="L799" s="5">
        <f>IFERROR(INDEX('[1]TrialBalance (Quarter)'!$A:$L,MATCH([1]TBMapping!$C801,'[1]TrialBalance (Quarter)'!A:A,0),MATCH([1]TBMapping!M$3,'[1]TrialBalance (Quarter)'!$7:$7,0)),0)</f>
        <v>0</v>
      </c>
      <c r="M799" s="5">
        <f>IFERROR(INDEX('[1]TrialBalance (Quarter)'!$A:$L,MATCH([1]TBMapping!$C801,'[1]TrialBalance (Quarter)'!A:A,0),MATCH([1]TBMapping!N$3,'[1]TrialBalance (Quarter)'!$7:$7,0)),0)</f>
        <v>0</v>
      </c>
      <c r="N799" s="5">
        <f>IFERROR(INDEX('[1]TrialBalance (Quarter)'!$A:$L,MATCH([1]TBMapping!$C801,'[1]TrialBalance (Quarter)'!A:A,0),MATCH([1]TBMapping!O$3,'[1]TrialBalance (Quarter)'!$7:$7,0)),0)</f>
        <v>0</v>
      </c>
    </row>
    <row r="800" spans="1:14">
      <c r="B800" s="3">
        <v>310000</v>
      </c>
      <c r="C800" s="11" t="s">
        <v>624</v>
      </c>
      <c r="D800" s="11" t="s">
        <v>5</v>
      </c>
      <c r="E800" s="11"/>
      <c r="F800" s="5" t="e">
        <f>IF(DataExtraction="Manual",SUMIF('[1]TrialBalance (YTD)'!$C:$C,B800,'[1]TrialBalance (YTD)'!$E:$E),SUMIF('[1]TrialBalance (YTD)'!$G:$G,B800,'[1]TrialBalance (YTD)'!$I:$I))</f>
        <v>#VALUE!</v>
      </c>
      <c r="G800" s="5">
        <f>IFERROR(INDEX('[1]TrialBalance (YTD)'!$G:$S,MATCH([1]TBMapping!$C802,'[1]TrialBalance (YTD)'!G:G,0),MATCH([1]TBMapping!H$3,'[1]TrialBalance (YTD)'!$G$7:$Z$7,0)),0)</f>
        <v>0</v>
      </c>
      <c r="H800" s="5" t="e">
        <f>SUMIF('[1]TrialBalance (YTD)'!G:G,B800,'[1]TrialBalance (YTD)'!H:H)</f>
        <v>#VALUE!</v>
      </c>
      <c r="I800" s="5">
        <f>IFERROR(INDEX('[1]TrialBalance (YTD)'!$G:$S,MATCH([1]TBMapping!$C802,'[1]TrialBalance (YTD)'!G:G,0),MATCH([1]TBMapping!J$3,'[1]TrialBalance (YTD)'!$G$7:$Z$7,0)),0)</f>
        <v>0</v>
      </c>
      <c r="K800" s="5" t="e">
        <f>SUMIF('[1]TrialBalance (Quarter)'!$A:$A,B800,'[1]TrialBalance (Quarter)'!$B:$B)</f>
        <v>#VALUE!</v>
      </c>
      <c r="L800" s="5">
        <f>IFERROR(INDEX('[1]TrialBalance (Quarter)'!$A:$L,MATCH([1]TBMapping!$C802,'[1]TrialBalance (Quarter)'!A:A,0),MATCH([1]TBMapping!M$3,'[1]TrialBalance (Quarter)'!$7:$7,0)),0)</f>
        <v>0</v>
      </c>
      <c r="M800" s="5">
        <f>IFERROR(INDEX('[1]TrialBalance (Quarter)'!$A:$L,MATCH([1]TBMapping!$C802,'[1]TrialBalance (Quarter)'!A:A,0),MATCH([1]TBMapping!N$3,'[1]TrialBalance (Quarter)'!$7:$7,0)),0)</f>
        <v>0</v>
      </c>
      <c r="N800" s="5">
        <f>IFERROR(INDEX('[1]TrialBalance (Quarter)'!$A:$L,MATCH([1]TBMapping!$C802,'[1]TrialBalance (Quarter)'!A:A,0),MATCH([1]TBMapping!O$3,'[1]TrialBalance (Quarter)'!$7:$7,0)),0)</f>
        <v>0</v>
      </c>
    </row>
    <row r="801" spans="1:14">
      <c r="A801" s="2">
        <v>15</v>
      </c>
      <c r="B801" s="3">
        <v>311000</v>
      </c>
      <c r="C801" s="10" t="s">
        <v>625</v>
      </c>
      <c r="D801" s="10" t="s">
        <v>11</v>
      </c>
      <c r="E801" s="10"/>
      <c r="F801" s="5" t="e">
        <f>IF(DataExtraction="Manual",SUMIF('[1]TrialBalance (YTD)'!$C:$C,B801,'[1]TrialBalance (YTD)'!$E:$E),SUMIF('[1]TrialBalance (YTD)'!$G:$G,B801,'[1]TrialBalance (YTD)'!$I:$I))</f>
        <v>#VALUE!</v>
      </c>
      <c r="G801" s="5">
        <f>IFERROR(INDEX('[1]TrialBalance (YTD)'!$G:$S,MATCH([1]TBMapping!$C803,'[1]TrialBalance (YTD)'!G:G,0),MATCH([1]TBMapping!H$3,'[1]TrialBalance (YTD)'!$G$7:$Z$7,0)),0)</f>
        <v>0</v>
      </c>
      <c r="H801" s="5" t="e">
        <f>SUMIF('[1]TrialBalance (YTD)'!G:G,B801,'[1]TrialBalance (YTD)'!H:H)</f>
        <v>#VALUE!</v>
      </c>
      <c r="I801" s="5">
        <f>IFERROR(INDEX('[1]TrialBalance (YTD)'!$G:$S,MATCH([1]TBMapping!$C803,'[1]TrialBalance (YTD)'!G:G,0),MATCH([1]TBMapping!J$3,'[1]TrialBalance (YTD)'!$G$7:$Z$7,0)),0)</f>
        <v>2008815.72</v>
      </c>
      <c r="K801" s="5" t="e">
        <f>SUMIF('[1]TrialBalance (Quarter)'!$A:$A,B801,'[1]TrialBalance (Quarter)'!$B:$B)</f>
        <v>#VALUE!</v>
      </c>
      <c r="L801" s="5">
        <f>IFERROR(INDEX('[1]TrialBalance (Quarter)'!$A:$L,MATCH([1]TBMapping!$C803,'[1]TrialBalance (Quarter)'!A:A,0),MATCH([1]TBMapping!M$3,'[1]TrialBalance (Quarter)'!$7:$7,0)),0)</f>
        <v>0</v>
      </c>
      <c r="M801" s="5">
        <f>IFERROR(INDEX('[1]TrialBalance (Quarter)'!$A:$L,MATCH([1]TBMapping!$C803,'[1]TrialBalance (Quarter)'!A:A,0),MATCH([1]TBMapping!N$3,'[1]TrialBalance (Quarter)'!$7:$7,0)),0)</f>
        <v>-91536.56</v>
      </c>
      <c r="N801" s="5">
        <f>IFERROR(INDEX('[1]TrialBalance (Quarter)'!$A:$L,MATCH([1]TBMapping!$C803,'[1]TrialBalance (Quarter)'!A:A,0),MATCH([1]TBMapping!O$3,'[1]TrialBalance (Quarter)'!$7:$7,0)),0)</f>
        <v>103772.93</v>
      </c>
    </row>
    <row r="802" spans="1:14">
      <c r="A802" s="2">
        <v>8</v>
      </c>
      <c r="B802" s="3">
        <v>311010</v>
      </c>
      <c r="C802" s="11" t="s">
        <v>626</v>
      </c>
      <c r="D802" s="11" t="s">
        <v>11</v>
      </c>
      <c r="E802" s="11"/>
      <c r="F802" s="5" t="e">
        <f>IF(DataExtraction="Manual",SUMIF('[1]TrialBalance (YTD)'!$C:$C,B802,'[1]TrialBalance (YTD)'!$E:$E),SUMIF('[1]TrialBalance (YTD)'!$G:$G,B802,'[1]TrialBalance (YTD)'!$I:$I))</f>
        <v>#VALUE!</v>
      </c>
      <c r="G802" s="5">
        <f>IFERROR(INDEX('[1]TrialBalance (YTD)'!$G:$S,MATCH([1]TBMapping!$C804,'[1]TrialBalance (YTD)'!G:G,0),MATCH([1]TBMapping!H$3,'[1]TrialBalance (YTD)'!$G$7:$Z$7,0)),0)</f>
        <v>0</v>
      </c>
      <c r="H802" s="5" t="e">
        <f>SUMIF('[1]TrialBalance (YTD)'!G:G,B802,'[1]TrialBalance (YTD)'!H:H)</f>
        <v>#VALUE!</v>
      </c>
      <c r="I802" s="5">
        <f>IFERROR(INDEX('[1]TrialBalance (YTD)'!$G:$S,MATCH([1]TBMapping!$C804,'[1]TrialBalance (YTD)'!G:G,0),MATCH([1]TBMapping!J$3,'[1]TrialBalance (YTD)'!$G$7:$Z$7,0)),0)</f>
        <v>0</v>
      </c>
      <c r="K802" s="5" t="e">
        <f>SUMIF('[1]TrialBalance (Quarter)'!$A:$A,B802,'[1]TrialBalance (Quarter)'!$B:$B)</f>
        <v>#VALUE!</v>
      </c>
      <c r="L802" s="5">
        <f>IFERROR(INDEX('[1]TrialBalance (Quarter)'!$A:$L,MATCH([1]TBMapping!$C804,'[1]TrialBalance (Quarter)'!A:A,0),MATCH([1]TBMapping!M$3,'[1]TrialBalance (Quarter)'!$7:$7,0)),0)</f>
        <v>0</v>
      </c>
      <c r="M802" s="5">
        <f>IFERROR(INDEX('[1]TrialBalance (Quarter)'!$A:$L,MATCH([1]TBMapping!$C804,'[1]TrialBalance (Quarter)'!A:A,0),MATCH([1]TBMapping!N$3,'[1]TrialBalance (Quarter)'!$7:$7,0)),0)</f>
        <v>0</v>
      </c>
      <c r="N802" s="5">
        <f>IFERROR(INDEX('[1]TrialBalance (Quarter)'!$A:$L,MATCH([1]TBMapping!$C804,'[1]TrialBalance (Quarter)'!A:A,0),MATCH([1]TBMapping!O$3,'[1]TrialBalance (Quarter)'!$7:$7,0)),0)</f>
        <v>0</v>
      </c>
    </row>
    <row r="803" spans="1:14">
      <c r="A803" s="2">
        <v>15</v>
      </c>
      <c r="B803" s="3">
        <v>311020</v>
      </c>
      <c r="C803" s="10" t="s">
        <v>627</v>
      </c>
      <c r="D803" s="10" t="s">
        <v>11</v>
      </c>
      <c r="E803" s="10"/>
      <c r="F803" s="5" t="e">
        <f>IF(DataExtraction="Manual",SUMIF('[1]TrialBalance (YTD)'!$C:$C,B803,'[1]TrialBalance (YTD)'!$E:$E),SUMIF('[1]TrialBalance (YTD)'!$G:$G,B803,'[1]TrialBalance (YTD)'!$I:$I))</f>
        <v>#VALUE!</v>
      </c>
      <c r="G803" s="5">
        <f>IFERROR(INDEX('[1]TrialBalance (YTD)'!$G:$S,MATCH([1]TBMapping!$C805,'[1]TrialBalance (YTD)'!G:G,0),MATCH([1]TBMapping!H$3,'[1]TrialBalance (YTD)'!$G$7:$Z$7,0)),0)</f>
        <v>0</v>
      </c>
      <c r="H803" s="5" t="e">
        <f>SUMIF('[1]TrialBalance (YTD)'!G:G,B803,'[1]TrialBalance (YTD)'!H:H)</f>
        <v>#VALUE!</v>
      </c>
      <c r="I803" s="5">
        <f>IFERROR(INDEX('[1]TrialBalance (YTD)'!$G:$S,MATCH([1]TBMapping!$C805,'[1]TrialBalance (YTD)'!G:G,0),MATCH([1]TBMapping!J$3,'[1]TrialBalance (YTD)'!$G$7:$Z$7,0)),0)</f>
        <v>0</v>
      </c>
      <c r="K803" s="5" t="e">
        <f>SUMIF('[1]TrialBalance (Quarter)'!$A:$A,B803,'[1]TrialBalance (Quarter)'!$B:$B)</f>
        <v>#VALUE!</v>
      </c>
      <c r="L803" s="5">
        <f>IFERROR(INDEX('[1]TrialBalance (Quarter)'!$A:$L,MATCH([1]TBMapping!$C805,'[1]TrialBalance (Quarter)'!A:A,0),MATCH([1]TBMapping!M$3,'[1]TrialBalance (Quarter)'!$7:$7,0)),0)</f>
        <v>0</v>
      </c>
      <c r="M803" s="5">
        <f>IFERROR(INDEX('[1]TrialBalance (Quarter)'!$A:$L,MATCH([1]TBMapping!$C805,'[1]TrialBalance (Quarter)'!A:A,0),MATCH([1]TBMapping!N$3,'[1]TrialBalance (Quarter)'!$7:$7,0)),0)</f>
        <v>0</v>
      </c>
      <c r="N803" s="5">
        <f>IFERROR(INDEX('[1]TrialBalance (Quarter)'!$A:$L,MATCH([1]TBMapping!$C805,'[1]TrialBalance (Quarter)'!A:A,0),MATCH([1]TBMapping!O$3,'[1]TrialBalance (Quarter)'!$7:$7,0)),0)</f>
        <v>0</v>
      </c>
    </row>
    <row r="804" spans="1:14">
      <c r="A804" s="2">
        <v>15</v>
      </c>
      <c r="B804" s="3">
        <v>311050</v>
      </c>
      <c r="C804" s="11" t="s">
        <v>628</v>
      </c>
      <c r="D804" s="11" t="s">
        <v>11</v>
      </c>
      <c r="E804" s="11"/>
      <c r="F804" s="5" t="e">
        <f>IF(DataExtraction="Manual",SUMIF('[1]TrialBalance (YTD)'!$C:$C,B804,'[1]TrialBalance (YTD)'!$E:$E),SUMIF('[1]TrialBalance (YTD)'!$G:$G,B804,'[1]TrialBalance (YTD)'!$I:$I))</f>
        <v>#VALUE!</v>
      </c>
      <c r="G804" s="5">
        <f>IFERROR(INDEX('[1]TrialBalance (YTD)'!$G:$S,MATCH([1]TBMapping!$C806,'[1]TrialBalance (YTD)'!G:G,0),MATCH([1]TBMapping!H$3,'[1]TrialBalance (YTD)'!$G$7:$Z$7,0)),0)</f>
        <v>0</v>
      </c>
      <c r="H804" s="5" t="e">
        <f>SUMIF('[1]TrialBalance (YTD)'!G:G,B804,'[1]TrialBalance (YTD)'!H:H)</f>
        <v>#VALUE!</v>
      </c>
      <c r="I804" s="5">
        <f>IFERROR(INDEX('[1]TrialBalance (YTD)'!$G:$S,MATCH([1]TBMapping!$C806,'[1]TrialBalance (YTD)'!G:G,0),MATCH([1]TBMapping!J$3,'[1]TrialBalance (YTD)'!$G$7:$Z$7,0)),0)</f>
        <v>0</v>
      </c>
      <c r="K804" s="5" t="e">
        <f>SUMIF('[1]TrialBalance (Quarter)'!$A:$A,B804,'[1]TrialBalance (Quarter)'!$B:$B)</f>
        <v>#VALUE!</v>
      </c>
      <c r="L804" s="5">
        <f>IFERROR(INDEX('[1]TrialBalance (Quarter)'!$A:$L,MATCH([1]TBMapping!$C806,'[1]TrialBalance (Quarter)'!A:A,0),MATCH([1]TBMapping!M$3,'[1]TrialBalance (Quarter)'!$7:$7,0)),0)</f>
        <v>0</v>
      </c>
      <c r="M804" s="5">
        <f>IFERROR(INDEX('[1]TrialBalance (Quarter)'!$A:$L,MATCH([1]TBMapping!$C806,'[1]TrialBalance (Quarter)'!A:A,0),MATCH([1]TBMapping!N$3,'[1]TrialBalance (Quarter)'!$7:$7,0)),0)</f>
        <v>0</v>
      </c>
      <c r="N804" s="5">
        <f>IFERROR(INDEX('[1]TrialBalance (Quarter)'!$A:$L,MATCH([1]TBMapping!$C806,'[1]TrialBalance (Quarter)'!A:A,0),MATCH([1]TBMapping!O$3,'[1]TrialBalance (Quarter)'!$7:$7,0)),0)</f>
        <v>0</v>
      </c>
    </row>
    <row r="805" spans="1:14">
      <c r="A805" s="2">
        <v>15</v>
      </c>
      <c r="B805" s="3">
        <v>311100</v>
      </c>
      <c r="C805" s="10" t="s">
        <v>629</v>
      </c>
      <c r="D805" s="10" t="s">
        <v>11</v>
      </c>
      <c r="E805" s="10"/>
      <c r="F805" s="5" t="e">
        <f>IF(DataExtraction="Manual",SUMIF('[1]TrialBalance (YTD)'!$C:$C,B805,'[1]TrialBalance (YTD)'!$E:$E),SUMIF('[1]TrialBalance (YTD)'!$G:$G,B805,'[1]TrialBalance (YTD)'!$I:$I))</f>
        <v>#VALUE!</v>
      </c>
      <c r="G805" s="5">
        <f>IFERROR(INDEX('[1]TrialBalance (YTD)'!$G:$S,MATCH([1]TBMapping!$C807,'[1]TrialBalance (YTD)'!G:G,0),MATCH([1]TBMapping!H$3,'[1]TrialBalance (YTD)'!$G$7:$Z$7,0)),0)</f>
        <v>0</v>
      </c>
      <c r="H805" s="5" t="e">
        <f>SUMIF('[1]TrialBalance (YTD)'!G:G,B805,'[1]TrialBalance (YTD)'!H:H)</f>
        <v>#VALUE!</v>
      </c>
      <c r="I805" s="5">
        <f>IFERROR(INDEX('[1]TrialBalance (YTD)'!$G:$S,MATCH([1]TBMapping!$C807,'[1]TrialBalance (YTD)'!G:G,0),MATCH([1]TBMapping!J$3,'[1]TrialBalance (YTD)'!$G$7:$Z$7,0)),0)</f>
        <v>0</v>
      </c>
      <c r="K805" s="5" t="e">
        <f>SUMIF('[1]TrialBalance (Quarter)'!$A:$A,B805,'[1]TrialBalance (Quarter)'!$B:$B)</f>
        <v>#VALUE!</v>
      </c>
      <c r="L805" s="5">
        <f>IFERROR(INDEX('[1]TrialBalance (Quarter)'!$A:$L,MATCH([1]TBMapping!$C807,'[1]TrialBalance (Quarter)'!A:A,0),MATCH([1]TBMapping!M$3,'[1]TrialBalance (Quarter)'!$7:$7,0)),0)</f>
        <v>0</v>
      </c>
      <c r="M805" s="5">
        <f>IFERROR(INDEX('[1]TrialBalance (Quarter)'!$A:$L,MATCH([1]TBMapping!$C807,'[1]TrialBalance (Quarter)'!A:A,0),MATCH([1]TBMapping!N$3,'[1]TrialBalance (Quarter)'!$7:$7,0)),0)</f>
        <v>0</v>
      </c>
      <c r="N805" s="5">
        <f>IFERROR(INDEX('[1]TrialBalance (Quarter)'!$A:$L,MATCH([1]TBMapping!$C807,'[1]TrialBalance (Quarter)'!A:A,0),MATCH([1]TBMapping!O$3,'[1]TrialBalance (Quarter)'!$7:$7,0)),0)</f>
        <v>0</v>
      </c>
    </row>
    <row r="806" spans="1:14">
      <c r="A806" s="2">
        <v>15</v>
      </c>
      <c r="B806" s="3">
        <v>312000</v>
      </c>
      <c r="C806" s="11" t="s">
        <v>630</v>
      </c>
      <c r="D806" s="11" t="s">
        <v>11</v>
      </c>
      <c r="E806" s="11"/>
      <c r="F806" s="5" t="e">
        <f>IF(DataExtraction="Manual",SUMIF('[1]TrialBalance (YTD)'!$C:$C,B806,'[1]TrialBalance (YTD)'!$E:$E),SUMIF('[1]TrialBalance (YTD)'!$G:$G,B806,'[1]TrialBalance (YTD)'!$I:$I))</f>
        <v>#VALUE!</v>
      </c>
      <c r="G806" s="5">
        <f>IFERROR(INDEX('[1]TrialBalance (YTD)'!$G:$S,MATCH([1]TBMapping!$C808,'[1]TrialBalance (YTD)'!G:G,0),MATCH([1]TBMapping!H$3,'[1]TrialBalance (YTD)'!$G$7:$Z$7,0)),0)</f>
        <v>0</v>
      </c>
      <c r="H806" s="5" t="e">
        <f>SUMIF('[1]TrialBalance (YTD)'!G:G,B806,'[1]TrialBalance (YTD)'!H:H)</f>
        <v>#VALUE!</v>
      </c>
      <c r="I806" s="5">
        <f>IFERROR(INDEX('[1]TrialBalance (YTD)'!$G:$S,MATCH([1]TBMapping!$C808,'[1]TrialBalance (YTD)'!G:G,0),MATCH([1]TBMapping!J$3,'[1]TrialBalance (YTD)'!$G$7:$Z$7,0)),0)</f>
        <v>1837964.66</v>
      </c>
      <c r="K806" s="5" t="e">
        <f>SUMIF('[1]TrialBalance (Quarter)'!$A:$A,B806,'[1]TrialBalance (Quarter)'!$B:$B)</f>
        <v>#VALUE!</v>
      </c>
      <c r="L806" s="5">
        <f>IFERROR(INDEX('[1]TrialBalance (Quarter)'!$A:$L,MATCH([1]TBMapping!$C808,'[1]TrialBalance (Quarter)'!A:A,0),MATCH([1]TBMapping!M$3,'[1]TrialBalance (Quarter)'!$7:$7,0)),0)</f>
        <v>0</v>
      </c>
      <c r="M806" s="5">
        <f>IFERROR(INDEX('[1]TrialBalance (Quarter)'!$A:$L,MATCH([1]TBMapping!$C808,'[1]TrialBalance (Quarter)'!A:A,0),MATCH([1]TBMapping!N$3,'[1]TrialBalance (Quarter)'!$7:$7,0)),0)</f>
        <v>13274425</v>
      </c>
      <c r="N806" s="5">
        <f>IFERROR(INDEX('[1]TrialBalance (Quarter)'!$A:$L,MATCH([1]TBMapping!$C808,'[1]TrialBalance (Quarter)'!A:A,0),MATCH([1]TBMapping!O$3,'[1]TrialBalance (Quarter)'!$7:$7,0)),0)</f>
        <v>-696300.06</v>
      </c>
    </row>
    <row r="807" spans="1:14">
      <c r="A807" s="2">
        <v>15</v>
      </c>
      <c r="B807" s="3">
        <v>313000</v>
      </c>
      <c r="C807" s="10" t="s">
        <v>631</v>
      </c>
      <c r="D807" s="10" t="s">
        <v>11</v>
      </c>
      <c r="E807" s="10"/>
      <c r="F807" s="5" t="e">
        <f>IF(DataExtraction="Manual",SUMIF('[1]TrialBalance (YTD)'!$C:$C,B807,'[1]TrialBalance (YTD)'!$E:$E),SUMIF('[1]TrialBalance (YTD)'!$G:$G,B807,'[1]TrialBalance (YTD)'!$I:$I))</f>
        <v>#VALUE!</v>
      </c>
      <c r="G807" s="5">
        <f>IFERROR(INDEX('[1]TrialBalance (YTD)'!$G:$S,MATCH([1]TBMapping!$C809,'[1]TrialBalance (YTD)'!G:G,0),MATCH([1]TBMapping!H$3,'[1]TrialBalance (YTD)'!$G$7:$Z$7,0)),0)</f>
        <v>0</v>
      </c>
      <c r="H807" s="5" t="e">
        <f>SUMIF('[1]TrialBalance (YTD)'!G:G,B807,'[1]TrialBalance (YTD)'!H:H)</f>
        <v>#VALUE!</v>
      </c>
      <c r="I807" s="5">
        <f>IFERROR(INDEX('[1]TrialBalance (YTD)'!$G:$S,MATCH([1]TBMapping!$C809,'[1]TrialBalance (YTD)'!G:G,0),MATCH([1]TBMapping!J$3,'[1]TrialBalance (YTD)'!$G$7:$Z$7,0)),0)</f>
        <v>0</v>
      </c>
      <c r="K807" s="5" t="e">
        <f>SUMIF('[1]TrialBalance (Quarter)'!$A:$A,B807,'[1]TrialBalance (Quarter)'!$B:$B)</f>
        <v>#VALUE!</v>
      </c>
      <c r="L807" s="5">
        <f>IFERROR(INDEX('[1]TrialBalance (Quarter)'!$A:$L,MATCH([1]TBMapping!$C809,'[1]TrialBalance (Quarter)'!A:A,0),MATCH([1]TBMapping!M$3,'[1]TrialBalance (Quarter)'!$7:$7,0)),0)</f>
        <v>0</v>
      </c>
      <c r="M807" s="5">
        <f>IFERROR(INDEX('[1]TrialBalance (Quarter)'!$A:$L,MATCH([1]TBMapping!$C809,'[1]TrialBalance (Quarter)'!A:A,0),MATCH([1]TBMapping!N$3,'[1]TrialBalance (Quarter)'!$7:$7,0)),0)</f>
        <v>0</v>
      </c>
      <c r="N807" s="5">
        <f>IFERROR(INDEX('[1]TrialBalance (Quarter)'!$A:$L,MATCH([1]TBMapping!$C809,'[1]TrialBalance (Quarter)'!A:A,0),MATCH([1]TBMapping!O$3,'[1]TrialBalance (Quarter)'!$7:$7,0)),0)</f>
        <v>0</v>
      </c>
    </row>
    <row r="808" spans="1:14">
      <c r="A808" s="2">
        <v>15</v>
      </c>
      <c r="B808" s="3">
        <v>313100</v>
      </c>
      <c r="C808" s="11" t="s">
        <v>632</v>
      </c>
      <c r="D808" s="11" t="s">
        <v>11</v>
      </c>
      <c r="E808" s="11"/>
      <c r="F808" s="5" t="e">
        <f>IF(DataExtraction="Manual",SUMIF('[1]TrialBalance (YTD)'!$C:$C,B808,'[1]TrialBalance (YTD)'!$E:$E),SUMIF('[1]TrialBalance (YTD)'!$G:$G,B808,'[1]TrialBalance (YTD)'!$I:$I))</f>
        <v>#VALUE!</v>
      </c>
      <c r="G808" s="5">
        <f>IFERROR(INDEX('[1]TrialBalance (YTD)'!$G:$S,MATCH([1]TBMapping!$C810,'[1]TrialBalance (YTD)'!G:G,0),MATCH([1]TBMapping!H$3,'[1]TrialBalance (YTD)'!$G$7:$Z$7,0)),0)</f>
        <v>0</v>
      </c>
      <c r="H808" s="5" t="e">
        <f>SUMIF('[1]TrialBalance (YTD)'!G:G,B808,'[1]TrialBalance (YTD)'!H:H)</f>
        <v>#VALUE!</v>
      </c>
      <c r="I808" s="5">
        <f>IFERROR(INDEX('[1]TrialBalance (YTD)'!$G:$S,MATCH([1]TBMapping!$C810,'[1]TrialBalance (YTD)'!G:G,0),MATCH([1]TBMapping!J$3,'[1]TrialBalance (YTD)'!$G$7:$Z$7,0)),0)</f>
        <v>0</v>
      </c>
      <c r="K808" s="5" t="e">
        <f>SUMIF('[1]TrialBalance (Quarter)'!$A:$A,B808,'[1]TrialBalance (Quarter)'!$B:$B)</f>
        <v>#VALUE!</v>
      </c>
      <c r="L808" s="5">
        <f>IFERROR(INDEX('[1]TrialBalance (Quarter)'!$A:$L,MATCH([1]TBMapping!$C810,'[1]TrialBalance (Quarter)'!A:A,0),MATCH([1]TBMapping!M$3,'[1]TrialBalance (Quarter)'!$7:$7,0)),0)</f>
        <v>0</v>
      </c>
      <c r="M808" s="5">
        <f>IFERROR(INDEX('[1]TrialBalance (Quarter)'!$A:$L,MATCH([1]TBMapping!$C810,'[1]TrialBalance (Quarter)'!A:A,0),MATCH([1]TBMapping!N$3,'[1]TrialBalance (Quarter)'!$7:$7,0)),0)</f>
        <v>0</v>
      </c>
      <c r="N808" s="5">
        <f>IFERROR(INDEX('[1]TrialBalance (Quarter)'!$A:$L,MATCH([1]TBMapping!$C810,'[1]TrialBalance (Quarter)'!A:A,0),MATCH([1]TBMapping!O$3,'[1]TrialBalance (Quarter)'!$7:$7,0)),0)</f>
        <v>0</v>
      </c>
    </row>
    <row r="809" spans="1:14">
      <c r="A809" s="2">
        <v>15</v>
      </c>
      <c r="B809" s="3">
        <v>313110</v>
      </c>
      <c r="C809" s="10" t="s">
        <v>633</v>
      </c>
      <c r="D809" s="10" t="s">
        <v>11</v>
      </c>
      <c r="E809" s="10"/>
      <c r="F809" s="5" t="e">
        <f>IF(DataExtraction="Manual",SUMIF('[1]TrialBalance (YTD)'!$C:$C,B809,'[1]TrialBalance (YTD)'!$E:$E),SUMIF('[1]TrialBalance (YTD)'!$G:$G,B809,'[1]TrialBalance (YTD)'!$I:$I))</f>
        <v>#VALUE!</v>
      </c>
      <c r="G809" s="5">
        <f>IFERROR(INDEX('[1]TrialBalance (YTD)'!$G:$S,MATCH([1]TBMapping!$C811,'[1]TrialBalance (YTD)'!G:G,0),MATCH([1]TBMapping!H$3,'[1]TrialBalance (YTD)'!$G$7:$Z$7,0)),0)</f>
        <v>0</v>
      </c>
      <c r="H809" s="5" t="e">
        <f>SUMIF('[1]TrialBalance (YTD)'!G:G,B809,'[1]TrialBalance (YTD)'!H:H)</f>
        <v>#VALUE!</v>
      </c>
      <c r="I809" s="5">
        <f>IFERROR(INDEX('[1]TrialBalance (YTD)'!$G:$S,MATCH([1]TBMapping!$C811,'[1]TrialBalance (YTD)'!G:G,0),MATCH([1]TBMapping!J$3,'[1]TrialBalance (YTD)'!$G$7:$Z$7,0)),0)</f>
        <v>0</v>
      </c>
      <c r="K809" s="5" t="e">
        <f>SUMIF('[1]TrialBalance (Quarter)'!$A:$A,B809,'[1]TrialBalance (Quarter)'!$B:$B)</f>
        <v>#VALUE!</v>
      </c>
      <c r="L809" s="5">
        <f>IFERROR(INDEX('[1]TrialBalance (Quarter)'!$A:$L,MATCH([1]TBMapping!$C811,'[1]TrialBalance (Quarter)'!A:A,0),MATCH([1]TBMapping!M$3,'[1]TrialBalance (Quarter)'!$7:$7,0)),0)</f>
        <v>0</v>
      </c>
      <c r="M809" s="5">
        <f>IFERROR(INDEX('[1]TrialBalance (Quarter)'!$A:$L,MATCH([1]TBMapping!$C811,'[1]TrialBalance (Quarter)'!A:A,0),MATCH([1]TBMapping!N$3,'[1]TrialBalance (Quarter)'!$7:$7,0)),0)</f>
        <v>0</v>
      </c>
      <c r="N809" s="5">
        <f>IFERROR(INDEX('[1]TrialBalance (Quarter)'!$A:$L,MATCH([1]TBMapping!$C811,'[1]TrialBalance (Quarter)'!A:A,0),MATCH([1]TBMapping!O$3,'[1]TrialBalance (Quarter)'!$7:$7,0)),0)</f>
        <v>0</v>
      </c>
    </row>
    <row r="810" spans="1:14">
      <c r="A810" s="2">
        <v>8</v>
      </c>
      <c r="B810" s="3">
        <v>313120</v>
      </c>
      <c r="C810" s="11" t="s">
        <v>634</v>
      </c>
      <c r="D810" s="11" t="s">
        <v>11</v>
      </c>
      <c r="E810" s="11"/>
      <c r="F810" s="5" t="e">
        <f>IF(DataExtraction="Manual",SUMIF('[1]TrialBalance (YTD)'!$C:$C,B810,'[1]TrialBalance (YTD)'!$E:$E),SUMIF('[1]TrialBalance (YTD)'!$G:$G,B810,'[1]TrialBalance (YTD)'!$I:$I))</f>
        <v>#VALUE!</v>
      </c>
      <c r="G810" s="5">
        <f>IFERROR(INDEX('[1]TrialBalance (YTD)'!$G:$S,MATCH([1]TBMapping!$C812,'[1]TrialBalance (YTD)'!G:G,0),MATCH([1]TBMapping!H$3,'[1]TrialBalance (YTD)'!$G$7:$Z$7,0)),0)</f>
        <v>0</v>
      </c>
      <c r="H810" s="5" t="e">
        <f>SUMIF('[1]TrialBalance (YTD)'!G:G,B810,'[1]TrialBalance (YTD)'!H:H)</f>
        <v>#VALUE!</v>
      </c>
      <c r="I810" s="5">
        <f>IFERROR(INDEX('[1]TrialBalance (YTD)'!$G:$S,MATCH([1]TBMapping!$C812,'[1]TrialBalance (YTD)'!G:G,0),MATCH([1]TBMapping!J$3,'[1]TrialBalance (YTD)'!$G$7:$Z$7,0)),0)</f>
        <v>0</v>
      </c>
      <c r="K810" s="5" t="e">
        <f>SUMIF('[1]TrialBalance (Quarter)'!$A:$A,B810,'[1]TrialBalance (Quarter)'!$B:$B)</f>
        <v>#VALUE!</v>
      </c>
      <c r="L810" s="5">
        <f>IFERROR(INDEX('[1]TrialBalance (Quarter)'!$A:$L,MATCH([1]TBMapping!$C812,'[1]TrialBalance (Quarter)'!A:A,0),MATCH([1]TBMapping!M$3,'[1]TrialBalance (Quarter)'!$7:$7,0)),0)</f>
        <v>0</v>
      </c>
      <c r="M810" s="5">
        <f>IFERROR(INDEX('[1]TrialBalance (Quarter)'!$A:$L,MATCH([1]TBMapping!$C812,'[1]TrialBalance (Quarter)'!A:A,0),MATCH([1]TBMapping!N$3,'[1]TrialBalance (Quarter)'!$7:$7,0)),0)</f>
        <v>0</v>
      </c>
      <c r="N810" s="5">
        <f>IFERROR(INDEX('[1]TrialBalance (Quarter)'!$A:$L,MATCH([1]TBMapping!$C812,'[1]TrialBalance (Quarter)'!A:A,0),MATCH([1]TBMapping!O$3,'[1]TrialBalance (Quarter)'!$7:$7,0)),0)</f>
        <v>0</v>
      </c>
    </row>
    <row r="811" spans="1:14">
      <c r="A811" s="2">
        <v>15</v>
      </c>
      <c r="B811" s="3">
        <v>314000</v>
      </c>
      <c r="C811" s="10" t="s">
        <v>635</v>
      </c>
      <c r="D811" s="10" t="s">
        <v>11</v>
      </c>
      <c r="E811" s="10"/>
      <c r="F811" s="5" t="e">
        <f>IF(DataExtraction="Manual",SUMIF('[1]TrialBalance (YTD)'!$C:$C,B811,'[1]TrialBalance (YTD)'!$E:$E),SUMIF('[1]TrialBalance (YTD)'!$G:$G,B811,'[1]TrialBalance (YTD)'!$I:$I))</f>
        <v>#VALUE!</v>
      </c>
      <c r="G811" s="5">
        <f>IFERROR(INDEX('[1]TrialBalance (YTD)'!$G:$S,MATCH([1]TBMapping!$C813,'[1]TrialBalance (YTD)'!G:G,0),MATCH([1]TBMapping!H$3,'[1]TrialBalance (YTD)'!$G$7:$Z$7,0)),0)</f>
        <v>0</v>
      </c>
      <c r="H811" s="5" t="e">
        <f>SUMIF('[1]TrialBalance (YTD)'!G:G,B811,'[1]TrialBalance (YTD)'!H:H)</f>
        <v>#VALUE!</v>
      </c>
      <c r="I811" s="5">
        <f>IFERROR(INDEX('[1]TrialBalance (YTD)'!$G:$S,MATCH([1]TBMapping!$C813,'[1]TrialBalance (YTD)'!G:G,0),MATCH([1]TBMapping!J$3,'[1]TrialBalance (YTD)'!$G$7:$Z$7,0)),0)</f>
        <v>0</v>
      </c>
      <c r="K811" s="5" t="e">
        <f>SUMIF('[1]TrialBalance (Quarter)'!$A:$A,B811,'[1]TrialBalance (Quarter)'!$B:$B)</f>
        <v>#VALUE!</v>
      </c>
      <c r="L811" s="5">
        <f>IFERROR(INDEX('[1]TrialBalance (Quarter)'!$A:$L,MATCH([1]TBMapping!$C813,'[1]TrialBalance (Quarter)'!A:A,0),MATCH([1]TBMapping!M$3,'[1]TrialBalance (Quarter)'!$7:$7,0)),0)</f>
        <v>0</v>
      </c>
      <c r="M811" s="5">
        <f>IFERROR(INDEX('[1]TrialBalance (Quarter)'!$A:$L,MATCH([1]TBMapping!$C813,'[1]TrialBalance (Quarter)'!A:A,0),MATCH([1]TBMapping!N$3,'[1]TrialBalance (Quarter)'!$7:$7,0)),0)</f>
        <v>0</v>
      </c>
      <c r="N811" s="5">
        <f>IFERROR(INDEX('[1]TrialBalance (Quarter)'!$A:$L,MATCH([1]TBMapping!$C813,'[1]TrialBalance (Quarter)'!A:A,0),MATCH([1]TBMapping!O$3,'[1]TrialBalance (Quarter)'!$7:$7,0)),0)</f>
        <v>0</v>
      </c>
    </row>
    <row r="812" spans="1:14">
      <c r="A812" s="2">
        <v>15</v>
      </c>
      <c r="B812" s="3">
        <v>314001</v>
      </c>
      <c r="C812" s="11" t="s">
        <v>609</v>
      </c>
      <c r="D812" s="11" t="s">
        <v>11</v>
      </c>
      <c r="E812" s="11"/>
      <c r="F812" s="5" t="e">
        <f>IF(DataExtraction="Manual",SUMIF('[1]TrialBalance (YTD)'!$C:$C,B812,'[1]TrialBalance (YTD)'!$E:$E),SUMIF('[1]TrialBalance (YTD)'!$G:$G,B812,'[1]TrialBalance (YTD)'!$I:$I))</f>
        <v>#VALUE!</v>
      </c>
      <c r="G812" s="5">
        <f>IFERROR(INDEX('[1]TrialBalance (YTD)'!$G:$S,MATCH([1]TBMapping!$C814,'[1]TrialBalance (YTD)'!G:G,0),MATCH([1]TBMapping!H$3,'[1]TrialBalance (YTD)'!$G$7:$Z$7,0)),0)</f>
        <v>0</v>
      </c>
      <c r="H812" s="5" t="e">
        <f>SUMIF('[1]TrialBalance (YTD)'!G:G,B812,'[1]TrialBalance (YTD)'!H:H)</f>
        <v>#VALUE!</v>
      </c>
      <c r="I812" s="5">
        <f>IFERROR(INDEX('[1]TrialBalance (YTD)'!$G:$S,MATCH([1]TBMapping!$C814,'[1]TrialBalance (YTD)'!G:G,0),MATCH([1]TBMapping!J$3,'[1]TrialBalance (YTD)'!$G$7:$Z$7,0)),0)</f>
        <v>0</v>
      </c>
      <c r="K812" s="5" t="e">
        <f>SUMIF('[1]TrialBalance (Quarter)'!$A:$A,B812,'[1]TrialBalance (Quarter)'!$B:$B)</f>
        <v>#VALUE!</v>
      </c>
      <c r="L812" s="5">
        <f>IFERROR(INDEX('[1]TrialBalance (Quarter)'!$A:$L,MATCH([1]TBMapping!$C814,'[1]TrialBalance (Quarter)'!A:A,0),MATCH([1]TBMapping!M$3,'[1]TrialBalance (Quarter)'!$7:$7,0)),0)</f>
        <v>0</v>
      </c>
      <c r="M812" s="5">
        <f>IFERROR(INDEX('[1]TrialBalance (Quarter)'!$A:$L,MATCH([1]TBMapping!$C814,'[1]TrialBalance (Quarter)'!A:A,0),MATCH([1]TBMapping!N$3,'[1]TrialBalance (Quarter)'!$7:$7,0)),0)</f>
        <v>0</v>
      </c>
      <c r="N812" s="5">
        <f>IFERROR(INDEX('[1]TrialBalance (Quarter)'!$A:$L,MATCH([1]TBMapping!$C814,'[1]TrialBalance (Quarter)'!A:A,0),MATCH([1]TBMapping!O$3,'[1]TrialBalance (Quarter)'!$7:$7,0)),0)</f>
        <v>0</v>
      </c>
    </row>
    <row r="813" spans="1:14">
      <c r="A813" s="2">
        <v>15</v>
      </c>
      <c r="B813" s="3">
        <v>315000</v>
      </c>
      <c r="C813" s="10" t="s">
        <v>636</v>
      </c>
      <c r="D813" s="10" t="s">
        <v>11</v>
      </c>
      <c r="E813" s="10"/>
      <c r="F813" s="5" t="e">
        <f>IF(DataExtraction="Manual",SUMIF('[1]TrialBalance (YTD)'!$C:$C,B813,'[1]TrialBalance (YTD)'!$E:$E),SUMIF('[1]TrialBalance (YTD)'!$G:$G,B813,'[1]TrialBalance (YTD)'!$I:$I))</f>
        <v>#VALUE!</v>
      </c>
      <c r="G813" s="5">
        <f>IFERROR(INDEX('[1]TrialBalance (YTD)'!$G:$S,MATCH([1]TBMapping!$C815,'[1]TrialBalance (YTD)'!G:G,0),MATCH([1]TBMapping!H$3,'[1]TrialBalance (YTD)'!$G$7:$Z$7,0)),0)</f>
        <v>0</v>
      </c>
      <c r="H813" s="5" t="e">
        <f>SUMIF('[1]TrialBalance (YTD)'!G:G,B813,'[1]TrialBalance (YTD)'!H:H)</f>
        <v>#VALUE!</v>
      </c>
      <c r="I813" s="5">
        <f>IFERROR(INDEX('[1]TrialBalance (YTD)'!$G:$S,MATCH([1]TBMapping!$C815,'[1]TrialBalance (YTD)'!G:G,0),MATCH([1]TBMapping!J$3,'[1]TrialBalance (YTD)'!$G$7:$Z$7,0)),0)</f>
        <v>0</v>
      </c>
      <c r="K813" s="5" t="e">
        <f>SUMIF('[1]TrialBalance (Quarter)'!$A:$A,B813,'[1]TrialBalance (Quarter)'!$B:$B)</f>
        <v>#VALUE!</v>
      </c>
      <c r="L813" s="5">
        <f>IFERROR(INDEX('[1]TrialBalance (Quarter)'!$A:$L,MATCH([1]TBMapping!$C815,'[1]TrialBalance (Quarter)'!A:A,0),MATCH([1]TBMapping!M$3,'[1]TrialBalance (Quarter)'!$7:$7,0)),0)</f>
        <v>0</v>
      </c>
      <c r="M813" s="5">
        <f>IFERROR(INDEX('[1]TrialBalance (Quarter)'!$A:$L,MATCH([1]TBMapping!$C815,'[1]TrialBalance (Quarter)'!A:A,0),MATCH([1]TBMapping!N$3,'[1]TrialBalance (Quarter)'!$7:$7,0)),0)</f>
        <v>0</v>
      </c>
      <c r="N813" s="5">
        <f>IFERROR(INDEX('[1]TrialBalance (Quarter)'!$A:$L,MATCH([1]TBMapping!$C815,'[1]TrialBalance (Quarter)'!A:A,0),MATCH([1]TBMapping!O$3,'[1]TrialBalance (Quarter)'!$7:$7,0)),0)</f>
        <v>0</v>
      </c>
    </row>
    <row r="814" spans="1:14">
      <c r="A814" s="2">
        <v>14</v>
      </c>
      <c r="B814" s="3">
        <v>316000</v>
      </c>
      <c r="C814" s="11" t="s">
        <v>637</v>
      </c>
      <c r="D814" s="11" t="s">
        <v>11</v>
      </c>
      <c r="E814" s="11"/>
      <c r="F814" s="5" t="e">
        <f>IF(DataExtraction="Manual",SUMIF('[1]TrialBalance (YTD)'!$C:$C,B814,'[1]TrialBalance (YTD)'!$E:$E),SUMIF('[1]TrialBalance (YTD)'!$G:$G,B814,'[1]TrialBalance (YTD)'!$I:$I))</f>
        <v>#VALUE!</v>
      </c>
      <c r="G814" s="5">
        <f>IFERROR(INDEX('[1]TrialBalance (YTD)'!$G:$S,MATCH([1]TBMapping!$C816,'[1]TrialBalance (YTD)'!G:G,0),MATCH([1]TBMapping!H$3,'[1]TrialBalance (YTD)'!$G$7:$Z$7,0)),0)</f>
        <v>0</v>
      </c>
      <c r="H814" s="5" t="e">
        <f>SUMIF('[1]TrialBalance (YTD)'!G:G,B814,'[1]TrialBalance (YTD)'!H:H)</f>
        <v>#VALUE!</v>
      </c>
      <c r="I814" s="5">
        <f>IFERROR(INDEX('[1]TrialBalance (YTD)'!$G:$S,MATCH([1]TBMapping!$C816,'[1]TrialBalance (YTD)'!G:G,0),MATCH([1]TBMapping!J$3,'[1]TrialBalance (YTD)'!$G$7:$Z$7,0)),0)</f>
        <v>0</v>
      </c>
      <c r="K814" s="5" t="e">
        <f>SUMIF('[1]TrialBalance (Quarter)'!$A:$A,B814,'[1]TrialBalance (Quarter)'!$B:$B)</f>
        <v>#VALUE!</v>
      </c>
      <c r="L814" s="5">
        <f>IFERROR(INDEX('[1]TrialBalance (Quarter)'!$A:$L,MATCH([1]TBMapping!$C816,'[1]TrialBalance (Quarter)'!A:A,0),MATCH([1]TBMapping!M$3,'[1]TrialBalance (Quarter)'!$7:$7,0)),0)</f>
        <v>0</v>
      </c>
      <c r="M814" s="5">
        <f>IFERROR(INDEX('[1]TrialBalance (Quarter)'!$A:$L,MATCH([1]TBMapping!$C816,'[1]TrialBalance (Quarter)'!A:A,0),MATCH([1]TBMapping!N$3,'[1]TrialBalance (Quarter)'!$7:$7,0)),0)</f>
        <v>0</v>
      </c>
      <c r="N814" s="5">
        <f>IFERROR(INDEX('[1]TrialBalance (Quarter)'!$A:$L,MATCH([1]TBMapping!$C816,'[1]TrialBalance (Quarter)'!A:A,0),MATCH([1]TBMapping!O$3,'[1]TrialBalance (Quarter)'!$7:$7,0)),0)</f>
        <v>0</v>
      </c>
    </row>
    <row r="815" spans="1:14">
      <c r="B815" s="3">
        <v>319999</v>
      </c>
      <c r="C815" s="10" t="s">
        <v>638</v>
      </c>
      <c r="D815" s="10" t="s">
        <v>16</v>
      </c>
      <c r="E815" s="10"/>
      <c r="F815" s="5" t="e">
        <f>IF(DataExtraction="Manual",SUMIF('[1]TrialBalance (YTD)'!$C:$C,B815,'[1]TrialBalance (YTD)'!$E:$E),SUMIF('[1]TrialBalance (YTD)'!$G:$G,B815,'[1]TrialBalance (YTD)'!$I:$I))</f>
        <v>#VALUE!</v>
      </c>
      <c r="G815" s="5">
        <f>IFERROR(INDEX('[1]TrialBalance (YTD)'!$G:$S,MATCH([1]TBMapping!$C817,'[1]TrialBalance (YTD)'!G:G,0),MATCH([1]TBMapping!H$3,'[1]TrialBalance (YTD)'!$G$7:$Z$7,0)),0)</f>
        <v>0</v>
      </c>
      <c r="H815" s="5" t="e">
        <f>SUMIF('[1]TrialBalance (YTD)'!G:G,B815,'[1]TrialBalance (YTD)'!H:H)</f>
        <v>#VALUE!</v>
      </c>
      <c r="I815" s="5">
        <f>IFERROR(INDEX('[1]TrialBalance (YTD)'!$G:$S,MATCH([1]TBMapping!$C817,'[1]TrialBalance (YTD)'!G:G,0),MATCH([1]TBMapping!J$3,'[1]TrialBalance (YTD)'!$G$7:$Z$7,0)),0)</f>
        <v>0</v>
      </c>
      <c r="K815" s="5" t="e">
        <f>SUMIF('[1]TrialBalance (Quarter)'!$A:$A,B815,'[1]TrialBalance (Quarter)'!$B:$B)</f>
        <v>#VALUE!</v>
      </c>
      <c r="L815" s="5">
        <f>IFERROR(INDEX('[1]TrialBalance (Quarter)'!$A:$L,MATCH([1]TBMapping!$C817,'[1]TrialBalance (Quarter)'!A:A,0),MATCH([1]TBMapping!M$3,'[1]TrialBalance (Quarter)'!$7:$7,0)),0)</f>
        <v>0</v>
      </c>
      <c r="M815" s="5">
        <f>IFERROR(INDEX('[1]TrialBalance (Quarter)'!$A:$L,MATCH([1]TBMapping!$C817,'[1]TrialBalance (Quarter)'!A:A,0),MATCH([1]TBMapping!N$3,'[1]TrialBalance (Quarter)'!$7:$7,0)),0)</f>
        <v>0</v>
      </c>
      <c r="N815" s="5">
        <f>IFERROR(INDEX('[1]TrialBalance (Quarter)'!$A:$L,MATCH([1]TBMapping!$C817,'[1]TrialBalance (Quarter)'!A:A,0),MATCH([1]TBMapping!O$3,'[1]TrialBalance (Quarter)'!$7:$7,0)),0)</f>
        <v>0</v>
      </c>
    </row>
    <row r="816" spans="1:14">
      <c r="B816" s="3">
        <v>320000</v>
      </c>
      <c r="C816" s="11" t="s">
        <v>639</v>
      </c>
      <c r="D816" s="11" t="s">
        <v>5</v>
      </c>
      <c r="E816" s="11"/>
      <c r="F816" s="5" t="e">
        <f>IF(DataExtraction="Manual",SUMIF('[1]TrialBalance (YTD)'!$C:$C,B816,'[1]TrialBalance (YTD)'!$E:$E),SUMIF('[1]TrialBalance (YTD)'!$G:$G,B816,'[1]TrialBalance (YTD)'!$I:$I))</f>
        <v>#VALUE!</v>
      </c>
      <c r="G816" s="5">
        <f>IFERROR(INDEX('[1]TrialBalance (YTD)'!$G:$S,MATCH([1]TBMapping!$C818,'[1]TrialBalance (YTD)'!G:G,0),MATCH([1]TBMapping!H$3,'[1]TrialBalance (YTD)'!$G$7:$Z$7,0)),0)</f>
        <v>0</v>
      </c>
      <c r="H816" s="5" t="e">
        <f>SUMIF('[1]TrialBalance (YTD)'!G:G,B816,'[1]TrialBalance (YTD)'!H:H)</f>
        <v>#VALUE!</v>
      </c>
      <c r="I816" s="5">
        <f>IFERROR(INDEX('[1]TrialBalance (YTD)'!$G:$S,MATCH([1]TBMapping!$C818,'[1]TrialBalance (YTD)'!G:G,0),MATCH([1]TBMapping!J$3,'[1]TrialBalance (YTD)'!$G$7:$Z$7,0)),0)</f>
        <v>0</v>
      </c>
      <c r="K816" s="5" t="e">
        <f>SUMIF('[1]TrialBalance (Quarter)'!$A:$A,B816,'[1]TrialBalance (Quarter)'!$B:$B)</f>
        <v>#VALUE!</v>
      </c>
      <c r="L816" s="5">
        <f>IFERROR(INDEX('[1]TrialBalance (Quarter)'!$A:$L,MATCH([1]TBMapping!$C818,'[1]TrialBalance (Quarter)'!A:A,0),MATCH([1]TBMapping!M$3,'[1]TrialBalance (Quarter)'!$7:$7,0)),0)</f>
        <v>0</v>
      </c>
      <c r="M816" s="5">
        <f>IFERROR(INDEX('[1]TrialBalance (Quarter)'!$A:$L,MATCH([1]TBMapping!$C818,'[1]TrialBalance (Quarter)'!A:A,0),MATCH([1]TBMapping!N$3,'[1]TrialBalance (Quarter)'!$7:$7,0)),0)</f>
        <v>0</v>
      </c>
      <c r="N816" s="5">
        <f>IFERROR(INDEX('[1]TrialBalance (Quarter)'!$A:$L,MATCH([1]TBMapping!$C818,'[1]TrialBalance (Quarter)'!A:A,0),MATCH([1]TBMapping!O$3,'[1]TrialBalance (Quarter)'!$7:$7,0)),0)</f>
        <v>0</v>
      </c>
    </row>
    <row r="817" spans="1:14">
      <c r="A817" s="2">
        <v>8</v>
      </c>
      <c r="B817" s="3">
        <v>321000</v>
      </c>
      <c r="C817" s="10" t="s">
        <v>640</v>
      </c>
      <c r="D817" s="10" t="s">
        <v>11</v>
      </c>
      <c r="E817" s="10"/>
      <c r="F817" s="5" t="e">
        <f>IF(DataExtraction="Manual",SUMIF('[1]TrialBalance (YTD)'!$C:$C,B817,'[1]TrialBalance (YTD)'!$E:$E),SUMIF('[1]TrialBalance (YTD)'!$G:$G,B817,'[1]TrialBalance (YTD)'!$I:$I))</f>
        <v>#VALUE!</v>
      </c>
      <c r="G817" s="5">
        <f>IFERROR(INDEX('[1]TrialBalance (YTD)'!$G:$S,MATCH([1]TBMapping!$C819,'[1]TrialBalance (YTD)'!G:G,0),MATCH([1]TBMapping!H$3,'[1]TrialBalance (YTD)'!$G$7:$Z$7,0)),0)</f>
        <v>0</v>
      </c>
      <c r="H817" s="5" t="e">
        <f>SUMIF('[1]TrialBalance (YTD)'!G:G,B817,'[1]TrialBalance (YTD)'!H:H)</f>
        <v>#VALUE!</v>
      </c>
      <c r="I817" s="5">
        <f>IFERROR(INDEX('[1]TrialBalance (YTD)'!$G:$S,MATCH([1]TBMapping!$C819,'[1]TrialBalance (YTD)'!G:G,0),MATCH([1]TBMapping!J$3,'[1]TrialBalance (YTD)'!$G$7:$Z$7,0)),0)</f>
        <v>1500000</v>
      </c>
      <c r="K817" s="5" t="e">
        <f>SUMIF('[1]TrialBalance (Quarter)'!$A:$A,B817,'[1]TrialBalance (Quarter)'!$B:$B)</f>
        <v>#VALUE!</v>
      </c>
      <c r="L817" s="5">
        <f>IFERROR(INDEX('[1]TrialBalance (Quarter)'!$A:$L,MATCH([1]TBMapping!$C819,'[1]TrialBalance (Quarter)'!A:A,0),MATCH([1]TBMapping!M$3,'[1]TrialBalance (Quarter)'!$7:$7,0)),0)</f>
        <v>0</v>
      </c>
      <c r="M817" s="5">
        <f>IFERROR(INDEX('[1]TrialBalance (Quarter)'!$A:$L,MATCH([1]TBMapping!$C819,'[1]TrialBalance (Quarter)'!A:A,0),MATCH([1]TBMapping!N$3,'[1]TrialBalance (Quarter)'!$7:$7,0)),0)</f>
        <v>-1500000</v>
      </c>
      <c r="N817" s="5">
        <f>IFERROR(INDEX('[1]TrialBalance (Quarter)'!$A:$L,MATCH([1]TBMapping!$C819,'[1]TrialBalance (Quarter)'!A:A,0),MATCH([1]TBMapping!O$3,'[1]TrialBalance (Quarter)'!$7:$7,0)),0)</f>
        <v>-45740060.07</v>
      </c>
    </row>
    <row r="818" spans="1:14">
      <c r="A818" s="2">
        <v>11</v>
      </c>
      <c r="B818" s="3">
        <v>321001</v>
      </c>
      <c r="C818" s="11" t="s">
        <v>641</v>
      </c>
      <c r="D818" s="11" t="s">
        <v>11</v>
      </c>
      <c r="E818" s="11"/>
      <c r="F818" s="5" t="e">
        <f>IF(DataExtraction="Manual",SUMIF('[1]TrialBalance (YTD)'!$C:$C,B818,'[1]TrialBalance (YTD)'!$E:$E),SUMIF('[1]TrialBalance (YTD)'!$G:$G,B818,'[1]TrialBalance (YTD)'!$I:$I))</f>
        <v>#VALUE!</v>
      </c>
      <c r="G818" s="5">
        <f>IFERROR(INDEX('[1]TrialBalance (YTD)'!$G:$S,MATCH([1]TBMapping!$C820,'[1]TrialBalance (YTD)'!G:G,0),MATCH([1]TBMapping!H$3,'[1]TrialBalance (YTD)'!$G$7:$Z$7,0)),0)</f>
        <v>0</v>
      </c>
      <c r="H818" s="5" t="e">
        <f>SUMIF('[1]TrialBalance (YTD)'!G:G,B818,'[1]TrialBalance (YTD)'!H:H)</f>
        <v>#VALUE!</v>
      </c>
      <c r="I818" s="5">
        <f>IFERROR(INDEX('[1]TrialBalance (YTD)'!$G:$S,MATCH([1]TBMapping!$C820,'[1]TrialBalance (YTD)'!G:G,0),MATCH([1]TBMapping!J$3,'[1]TrialBalance (YTD)'!$G$7:$Z$7,0)),0)</f>
        <v>0</v>
      </c>
      <c r="K818" s="5" t="e">
        <f>SUMIF('[1]TrialBalance (Quarter)'!$A:$A,B818,'[1]TrialBalance (Quarter)'!$B:$B)</f>
        <v>#VALUE!</v>
      </c>
      <c r="L818" s="5">
        <f>IFERROR(INDEX('[1]TrialBalance (Quarter)'!$A:$L,MATCH([1]TBMapping!$C820,'[1]TrialBalance (Quarter)'!A:A,0),MATCH([1]TBMapping!M$3,'[1]TrialBalance (Quarter)'!$7:$7,0)),0)</f>
        <v>0</v>
      </c>
      <c r="M818" s="5">
        <f>IFERROR(INDEX('[1]TrialBalance (Quarter)'!$A:$L,MATCH([1]TBMapping!$C820,'[1]TrialBalance (Quarter)'!A:A,0),MATCH([1]TBMapping!N$3,'[1]TrialBalance (Quarter)'!$7:$7,0)),0)</f>
        <v>0</v>
      </c>
      <c r="N818" s="5">
        <f>IFERROR(INDEX('[1]TrialBalance (Quarter)'!$A:$L,MATCH([1]TBMapping!$C820,'[1]TrialBalance (Quarter)'!A:A,0),MATCH([1]TBMapping!O$3,'[1]TrialBalance (Quarter)'!$7:$7,0)),0)</f>
        <v>0</v>
      </c>
    </row>
    <row r="819" spans="1:14">
      <c r="A819" s="2">
        <v>8</v>
      </c>
      <c r="B819" s="3">
        <v>321004</v>
      </c>
      <c r="C819" s="10" t="s">
        <v>642</v>
      </c>
      <c r="D819" s="10" t="s">
        <v>11</v>
      </c>
      <c r="E819" s="10"/>
      <c r="F819" s="5" t="e">
        <f>IF(DataExtraction="Manual",SUMIF('[1]TrialBalance (YTD)'!$C:$C,B819,'[1]TrialBalance (YTD)'!$E:$E),SUMIF('[1]TrialBalance (YTD)'!$G:$G,B819,'[1]TrialBalance (YTD)'!$I:$I))</f>
        <v>#VALUE!</v>
      </c>
      <c r="G819" s="5">
        <f>IFERROR(INDEX('[1]TrialBalance (YTD)'!$G:$S,MATCH([1]TBMapping!$C821,'[1]TrialBalance (YTD)'!G:G,0),MATCH([1]TBMapping!H$3,'[1]TrialBalance (YTD)'!$G$7:$Z$7,0)),0)</f>
        <v>0</v>
      </c>
      <c r="H819" s="5" t="e">
        <f>SUMIF('[1]TrialBalance (YTD)'!G:G,B819,'[1]TrialBalance (YTD)'!H:H)</f>
        <v>#VALUE!</v>
      </c>
      <c r="I819" s="5">
        <f>IFERROR(INDEX('[1]TrialBalance (YTD)'!$G:$S,MATCH([1]TBMapping!$C821,'[1]TrialBalance (YTD)'!G:G,0),MATCH([1]TBMapping!J$3,'[1]TrialBalance (YTD)'!$G$7:$Z$7,0)),0)</f>
        <v>0</v>
      </c>
      <c r="K819" s="5" t="e">
        <f>SUMIF('[1]TrialBalance (Quarter)'!$A:$A,B819,'[1]TrialBalance (Quarter)'!$B:$B)</f>
        <v>#VALUE!</v>
      </c>
      <c r="L819" s="5">
        <f>IFERROR(INDEX('[1]TrialBalance (Quarter)'!$A:$L,MATCH([1]TBMapping!$C821,'[1]TrialBalance (Quarter)'!A:A,0),MATCH([1]TBMapping!M$3,'[1]TrialBalance (Quarter)'!$7:$7,0)),0)</f>
        <v>0</v>
      </c>
      <c r="M819" s="5">
        <f>IFERROR(INDEX('[1]TrialBalance (Quarter)'!$A:$L,MATCH([1]TBMapping!$C821,'[1]TrialBalance (Quarter)'!A:A,0),MATCH([1]TBMapping!N$3,'[1]TrialBalance (Quarter)'!$7:$7,0)),0)</f>
        <v>0</v>
      </c>
      <c r="N819" s="5">
        <f>IFERROR(INDEX('[1]TrialBalance (Quarter)'!$A:$L,MATCH([1]TBMapping!$C821,'[1]TrialBalance (Quarter)'!A:A,0),MATCH([1]TBMapping!O$3,'[1]TrialBalance (Quarter)'!$7:$7,0)),0)</f>
        <v>0</v>
      </c>
    </row>
    <row r="820" spans="1:14">
      <c r="A820" s="2">
        <v>8</v>
      </c>
      <c r="B820" s="3">
        <v>321005</v>
      </c>
      <c r="C820" s="11" t="s">
        <v>586</v>
      </c>
      <c r="D820" s="11" t="s">
        <v>11</v>
      </c>
      <c r="E820" s="11"/>
      <c r="F820" s="5" t="e">
        <f>IF(DataExtraction="Manual",SUMIF('[1]TrialBalance (YTD)'!$C:$C,B820,'[1]TrialBalance (YTD)'!$E:$E),SUMIF('[1]TrialBalance (YTD)'!$G:$G,B820,'[1]TrialBalance (YTD)'!$I:$I))</f>
        <v>#VALUE!</v>
      </c>
      <c r="G820" s="5">
        <f>IFERROR(INDEX('[1]TrialBalance (YTD)'!$G:$S,MATCH([1]TBMapping!$C822,'[1]TrialBalance (YTD)'!G:G,0),MATCH([1]TBMapping!H$3,'[1]TrialBalance (YTD)'!$G$7:$Z$7,0)),0)</f>
        <v>0</v>
      </c>
      <c r="H820" s="5" t="e">
        <f>SUMIF('[1]TrialBalance (YTD)'!G:G,B820,'[1]TrialBalance (YTD)'!H:H)</f>
        <v>#VALUE!</v>
      </c>
      <c r="I820" s="5">
        <f>IFERROR(INDEX('[1]TrialBalance (YTD)'!$G:$S,MATCH([1]TBMapping!$C822,'[1]TrialBalance (YTD)'!G:G,0),MATCH([1]TBMapping!J$3,'[1]TrialBalance (YTD)'!$G$7:$Z$7,0)),0)</f>
        <v>0</v>
      </c>
      <c r="K820" s="5" t="e">
        <f>SUMIF('[1]TrialBalance (Quarter)'!$A:$A,B820,'[1]TrialBalance (Quarter)'!$B:$B)</f>
        <v>#VALUE!</v>
      </c>
      <c r="L820" s="5">
        <f>IFERROR(INDEX('[1]TrialBalance (Quarter)'!$A:$L,MATCH([1]TBMapping!$C822,'[1]TrialBalance (Quarter)'!A:A,0),MATCH([1]TBMapping!M$3,'[1]TrialBalance (Quarter)'!$7:$7,0)),0)</f>
        <v>0</v>
      </c>
      <c r="M820" s="5">
        <f>IFERROR(INDEX('[1]TrialBalance (Quarter)'!$A:$L,MATCH([1]TBMapping!$C822,'[1]TrialBalance (Quarter)'!A:A,0),MATCH([1]TBMapping!N$3,'[1]TrialBalance (Quarter)'!$7:$7,0)),0)</f>
        <v>0</v>
      </c>
      <c r="N820" s="5">
        <f>IFERROR(INDEX('[1]TrialBalance (Quarter)'!$A:$L,MATCH([1]TBMapping!$C822,'[1]TrialBalance (Quarter)'!A:A,0),MATCH([1]TBMapping!O$3,'[1]TrialBalance (Quarter)'!$7:$7,0)),0)</f>
        <v>0</v>
      </c>
    </row>
    <row r="821" spans="1:14">
      <c r="A821" s="2">
        <v>8</v>
      </c>
      <c r="B821" s="3">
        <v>321006</v>
      </c>
      <c r="C821" s="10" t="s">
        <v>643</v>
      </c>
      <c r="D821" s="10" t="s">
        <v>11</v>
      </c>
      <c r="E821" s="10"/>
      <c r="F821" s="5" t="e">
        <f>IF(DataExtraction="Manual",SUMIF('[1]TrialBalance (YTD)'!$C:$C,B821,'[1]TrialBalance (YTD)'!$E:$E),SUMIF('[1]TrialBalance (YTD)'!$G:$G,B821,'[1]TrialBalance (YTD)'!$I:$I))</f>
        <v>#VALUE!</v>
      </c>
      <c r="G821" s="5">
        <f>IFERROR(INDEX('[1]TrialBalance (YTD)'!$G:$S,MATCH([1]TBMapping!$C823,'[1]TrialBalance (YTD)'!G:G,0),MATCH([1]TBMapping!H$3,'[1]TrialBalance (YTD)'!$G$7:$Z$7,0)),0)</f>
        <v>0</v>
      </c>
      <c r="H821" s="5" t="e">
        <f>SUMIF('[1]TrialBalance (YTD)'!G:G,B821,'[1]TrialBalance (YTD)'!H:H)</f>
        <v>#VALUE!</v>
      </c>
      <c r="I821" s="5">
        <f>IFERROR(INDEX('[1]TrialBalance (YTD)'!$G:$S,MATCH([1]TBMapping!$C823,'[1]TrialBalance (YTD)'!G:G,0),MATCH([1]TBMapping!J$3,'[1]TrialBalance (YTD)'!$G$7:$Z$7,0)),0)</f>
        <v>0</v>
      </c>
      <c r="K821" s="5" t="e">
        <f>SUMIF('[1]TrialBalance (Quarter)'!$A:$A,B821,'[1]TrialBalance (Quarter)'!$B:$B)</f>
        <v>#VALUE!</v>
      </c>
      <c r="L821" s="5">
        <f>IFERROR(INDEX('[1]TrialBalance (Quarter)'!$A:$L,MATCH([1]TBMapping!$C823,'[1]TrialBalance (Quarter)'!A:A,0),MATCH([1]TBMapping!M$3,'[1]TrialBalance (Quarter)'!$7:$7,0)),0)</f>
        <v>0</v>
      </c>
      <c r="M821" s="5">
        <f>IFERROR(INDEX('[1]TrialBalance (Quarter)'!$A:$L,MATCH([1]TBMapping!$C823,'[1]TrialBalance (Quarter)'!A:A,0),MATCH([1]TBMapping!N$3,'[1]TrialBalance (Quarter)'!$7:$7,0)),0)</f>
        <v>0</v>
      </c>
      <c r="N821" s="5">
        <f>IFERROR(INDEX('[1]TrialBalance (Quarter)'!$A:$L,MATCH([1]TBMapping!$C823,'[1]TrialBalance (Quarter)'!A:A,0),MATCH([1]TBMapping!O$3,'[1]TrialBalance (Quarter)'!$7:$7,0)),0)</f>
        <v>0</v>
      </c>
    </row>
    <row r="822" spans="1:14">
      <c r="A822" s="2">
        <v>8</v>
      </c>
      <c r="B822" s="3">
        <v>321007</v>
      </c>
      <c r="C822" s="11" t="s">
        <v>587</v>
      </c>
      <c r="D822" s="11" t="s">
        <v>11</v>
      </c>
      <c r="E822" s="11"/>
      <c r="F822" s="5" t="e">
        <f>IF(DataExtraction="Manual",SUMIF('[1]TrialBalance (YTD)'!$C:$C,B822,'[1]TrialBalance (YTD)'!$E:$E),SUMIF('[1]TrialBalance (YTD)'!$G:$G,B822,'[1]TrialBalance (YTD)'!$I:$I))</f>
        <v>#VALUE!</v>
      </c>
      <c r="G822" s="5">
        <f>IFERROR(INDEX('[1]TrialBalance (YTD)'!$G:$S,MATCH([1]TBMapping!$C824,'[1]TrialBalance (YTD)'!G:G,0),MATCH([1]TBMapping!H$3,'[1]TrialBalance (YTD)'!$G$7:$Z$7,0)),0)</f>
        <v>0</v>
      </c>
      <c r="H822" s="5" t="e">
        <f>SUMIF('[1]TrialBalance (YTD)'!G:G,B822,'[1]TrialBalance (YTD)'!H:H)</f>
        <v>#VALUE!</v>
      </c>
      <c r="I822" s="5">
        <f>IFERROR(INDEX('[1]TrialBalance (YTD)'!$G:$S,MATCH([1]TBMapping!$C824,'[1]TrialBalance (YTD)'!G:G,0),MATCH([1]TBMapping!J$3,'[1]TrialBalance (YTD)'!$G$7:$Z$7,0)),0)</f>
        <v>0</v>
      </c>
      <c r="K822" s="5" t="e">
        <f>SUMIF('[1]TrialBalance (Quarter)'!$A:$A,B822,'[1]TrialBalance (Quarter)'!$B:$B)</f>
        <v>#VALUE!</v>
      </c>
      <c r="L822" s="5">
        <f>IFERROR(INDEX('[1]TrialBalance (Quarter)'!$A:$L,MATCH([1]TBMapping!$C824,'[1]TrialBalance (Quarter)'!A:A,0),MATCH([1]TBMapping!M$3,'[1]TrialBalance (Quarter)'!$7:$7,0)),0)</f>
        <v>0</v>
      </c>
      <c r="M822" s="5">
        <f>IFERROR(INDEX('[1]TrialBalance (Quarter)'!$A:$L,MATCH([1]TBMapping!$C824,'[1]TrialBalance (Quarter)'!A:A,0),MATCH([1]TBMapping!N$3,'[1]TrialBalance (Quarter)'!$7:$7,0)),0)</f>
        <v>0</v>
      </c>
      <c r="N822" s="5">
        <f>IFERROR(INDEX('[1]TrialBalance (Quarter)'!$A:$L,MATCH([1]TBMapping!$C824,'[1]TrialBalance (Quarter)'!A:A,0),MATCH([1]TBMapping!O$3,'[1]TrialBalance (Quarter)'!$7:$7,0)),0)</f>
        <v>0</v>
      </c>
    </row>
    <row r="823" spans="1:14">
      <c r="A823" s="2">
        <v>8</v>
      </c>
      <c r="B823" s="3">
        <v>321008</v>
      </c>
      <c r="C823" s="10" t="s">
        <v>588</v>
      </c>
      <c r="D823" s="10" t="s">
        <v>11</v>
      </c>
      <c r="E823" s="10"/>
      <c r="F823" s="5" t="e">
        <f>IF(DataExtraction="Manual",SUMIF('[1]TrialBalance (YTD)'!$C:$C,B823,'[1]TrialBalance (YTD)'!$E:$E),SUMIF('[1]TrialBalance (YTD)'!$G:$G,B823,'[1]TrialBalance (YTD)'!$I:$I))</f>
        <v>#VALUE!</v>
      </c>
      <c r="G823" s="5">
        <f>IFERROR(INDEX('[1]TrialBalance (YTD)'!$G:$S,MATCH([1]TBMapping!$C825,'[1]TrialBalance (YTD)'!G:G,0),MATCH([1]TBMapping!H$3,'[1]TrialBalance (YTD)'!$G$7:$Z$7,0)),0)</f>
        <v>0</v>
      </c>
      <c r="H823" s="5" t="e">
        <f>SUMIF('[1]TrialBalance (YTD)'!G:G,B823,'[1]TrialBalance (YTD)'!H:H)</f>
        <v>#VALUE!</v>
      </c>
      <c r="I823" s="5">
        <f>IFERROR(INDEX('[1]TrialBalance (YTD)'!$G:$S,MATCH([1]TBMapping!$C825,'[1]TrialBalance (YTD)'!G:G,0),MATCH([1]TBMapping!J$3,'[1]TrialBalance (YTD)'!$G$7:$Z$7,0)),0)</f>
        <v>0</v>
      </c>
      <c r="K823" s="5" t="e">
        <f>SUMIF('[1]TrialBalance (Quarter)'!$A:$A,B823,'[1]TrialBalance (Quarter)'!$B:$B)</f>
        <v>#VALUE!</v>
      </c>
      <c r="L823" s="5">
        <f>IFERROR(INDEX('[1]TrialBalance (Quarter)'!$A:$L,MATCH([1]TBMapping!$C825,'[1]TrialBalance (Quarter)'!A:A,0),MATCH([1]TBMapping!M$3,'[1]TrialBalance (Quarter)'!$7:$7,0)),0)</f>
        <v>0</v>
      </c>
      <c r="M823" s="5">
        <f>IFERROR(INDEX('[1]TrialBalance (Quarter)'!$A:$L,MATCH([1]TBMapping!$C825,'[1]TrialBalance (Quarter)'!A:A,0),MATCH([1]TBMapping!N$3,'[1]TrialBalance (Quarter)'!$7:$7,0)),0)</f>
        <v>0</v>
      </c>
      <c r="N823" s="5">
        <f>IFERROR(INDEX('[1]TrialBalance (Quarter)'!$A:$L,MATCH([1]TBMapping!$C825,'[1]TrialBalance (Quarter)'!A:A,0),MATCH([1]TBMapping!O$3,'[1]TrialBalance (Quarter)'!$7:$7,0)),0)</f>
        <v>0</v>
      </c>
    </row>
    <row r="824" spans="1:14">
      <c r="A824" s="2">
        <v>8</v>
      </c>
      <c r="B824" s="3">
        <v>321010</v>
      </c>
      <c r="C824" s="11" t="s">
        <v>644</v>
      </c>
      <c r="D824" s="11" t="s">
        <v>11</v>
      </c>
      <c r="E824" s="11"/>
      <c r="F824" s="5" t="e">
        <f>IF(DataExtraction="Manual",SUMIF('[1]TrialBalance (YTD)'!$C:$C,B824,'[1]TrialBalance (YTD)'!$E:$E),SUMIF('[1]TrialBalance (YTD)'!$G:$G,B824,'[1]TrialBalance (YTD)'!$I:$I))</f>
        <v>#VALUE!</v>
      </c>
      <c r="G824" s="5">
        <f>IFERROR(INDEX('[1]TrialBalance (YTD)'!$G:$S,MATCH([1]TBMapping!$C826,'[1]TrialBalance (YTD)'!G:G,0),MATCH([1]TBMapping!H$3,'[1]TrialBalance (YTD)'!$G$7:$Z$7,0)),0)</f>
        <v>0</v>
      </c>
      <c r="H824" s="5" t="e">
        <f>SUMIF('[1]TrialBalance (YTD)'!G:G,B824,'[1]TrialBalance (YTD)'!H:H)</f>
        <v>#VALUE!</v>
      </c>
      <c r="I824" s="5">
        <f>IFERROR(INDEX('[1]TrialBalance (YTD)'!$G:$S,MATCH([1]TBMapping!$C826,'[1]TrialBalance (YTD)'!G:G,0),MATCH([1]TBMapping!J$3,'[1]TrialBalance (YTD)'!$G$7:$Z$7,0)),0)</f>
        <v>0</v>
      </c>
      <c r="K824" s="5" t="e">
        <f>SUMIF('[1]TrialBalance (Quarter)'!$A:$A,B824,'[1]TrialBalance (Quarter)'!$B:$B)</f>
        <v>#VALUE!</v>
      </c>
      <c r="L824" s="5">
        <f>IFERROR(INDEX('[1]TrialBalance (Quarter)'!$A:$L,MATCH([1]TBMapping!$C826,'[1]TrialBalance (Quarter)'!A:A,0),MATCH([1]TBMapping!M$3,'[1]TrialBalance (Quarter)'!$7:$7,0)),0)</f>
        <v>0</v>
      </c>
      <c r="M824" s="5">
        <f>IFERROR(INDEX('[1]TrialBalance (Quarter)'!$A:$L,MATCH([1]TBMapping!$C826,'[1]TrialBalance (Quarter)'!A:A,0),MATCH([1]TBMapping!N$3,'[1]TrialBalance (Quarter)'!$7:$7,0)),0)</f>
        <v>0</v>
      </c>
      <c r="N824" s="5">
        <f>IFERROR(INDEX('[1]TrialBalance (Quarter)'!$A:$L,MATCH([1]TBMapping!$C826,'[1]TrialBalance (Quarter)'!A:A,0),MATCH([1]TBMapping!O$3,'[1]TrialBalance (Quarter)'!$7:$7,0)),0)</f>
        <v>0</v>
      </c>
    </row>
    <row r="825" spans="1:14">
      <c r="A825" s="2">
        <v>8</v>
      </c>
      <c r="B825" s="3">
        <v>321020</v>
      </c>
      <c r="C825" s="10" t="s">
        <v>645</v>
      </c>
      <c r="D825" s="10" t="s">
        <v>11</v>
      </c>
      <c r="E825" s="10"/>
      <c r="F825" s="5" t="e">
        <f>IF(DataExtraction="Manual",SUMIF('[1]TrialBalance (YTD)'!$C:$C,B825,'[1]TrialBalance (YTD)'!$E:$E),SUMIF('[1]TrialBalance (YTD)'!$G:$G,B825,'[1]TrialBalance (YTD)'!$I:$I))</f>
        <v>#VALUE!</v>
      </c>
      <c r="G825" s="5">
        <f>IFERROR(INDEX('[1]TrialBalance (YTD)'!$G:$S,MATCH([1]TBMapping!$C827,'[1]TrialBalance (YTD)'!G:G,0),MATCH([1]TBMapping!H$3,'[1]TrialBalance (YTD)'!$G$7:$Z$7,0)),0)</f>
        <v>0</v>
      </c>
      <c r="H825" s="5" t="e">
        <f>SUMIF('[1]TrialBalance (YTD)'!G:G,B825,'[1]TrialBalance (YTD)'!H:H)</f>
        <v>#VALUE!</v>
      </c>
      <c r="I825" s="5">
        <f>IFERROR(INDEX('[1]TrialBalance (YTD)'!$G:$S,MATCH([1]TBMapping!$C827,'[1]TrialBalance (YTD)'!G:G,0),MATCH([1]TBMapping!J$3,'[1]TrialBalance (YTD)'!$G$7:$Z$7,0)),0)</f>
        <v>0</v>
      </c>
      <c r="K825" s="5" t="e">
        <f>SUMIF('[1]TrialBalance (Quarter)'!$A:$A,B825,'[1]TrialBalance (Quarter)'!$B:$B)</f>
        <v>#VALUE!</v>
      </c>
      <c r="L825" s="5">
        <f>IFERROR(INDEX('[1]TrialBalance (Quarter)'!$A:$L,MATCH([1]TBMapping!$C827,'[1]TrialBalance (Quarter)'!A:A,0),MATCH([1]TBMapping!M$3,'[1]TrialBalance (Quarter)'!$7:$7,0)),0)</f>
        <v>0</v>
      </c>
      <c r="M825" s="5">
        <f>IFERROR(INDEX('[1]TrialBalance (Quarter)'!$A:$L,MATCH([1]TBMapping!$C827,'[1]TrialBalance (Quarter)'!A:A,0),MATCH([1]TBMapping!N$3,'[1]TrialBalance (Quarter)'!$7:$7,0)),0)</f>
        <v>0</v>
      </c>
      <c r="N825" s="5">
        <f>IFERROR(INDEX('[1]TrialBalance (Quarter)'!$A:$L,MATCH([1]TBMapping!$C827,'[1]TrialBalance (Quarter)'!A:A,0),MATCH([1]TBMapping!O$3,'[1]TrialBalance (Quarter)'!$7:$7,0)),0)</f>
        <v>0</v>
      </c>
    </row>
    <row r="826" spans="1:14">
      <c r="A826" s="2">
        <v>8</v>
      </c>
      <c r="B826" s="3">
        <v>321040</v>
      </c>
      <c r="C826" s="11" t="s">
        <v>646</v>
      </c>
      <c r="D826" s="11" t="s">
        <v>11</v>
      </c>
      <c r="E826" s="11"/>
      <c r="F826" s="5" t="e">
        <f>IF(DataExtraction="Manual",SUMIF('[1]TrialBalance (YTD)'!$C:$C,B826,'[1]TrialBalance (YTD)'!$E:$E),SUMIF('[1]TrialBalance (YTD)'!$G:$G,B826,'[1]TrialBalance (YTD)'!$I:$I))</f>
        <v>#VALUE!</v>
      </c>
      <c r="G826" s="5">
        <f>IFERROR(INDEX('[1]TrialBalance (YTD)'!$G:$S,MATCH([1]TBMapping!$C828,'[1]TrialBalance (YTD)'!G:G,0),MATCH([1]TBMapping!H$3,'[1]TrialBalance (YTD)'!$G$7:$Z$7,0)),0)</f>
        <v>0</v>
      </c>
      <c r="H826" s="5" t="e">
        <f>SUMIF('[1]TrialBalance (YTD)'!G:G,B826,'[1]TrialBalance (YTD)'!H:H)</f>
        <v>#VALUE!</v>
      </c>
      <c r="I826" s="5">
        <f>IFERROR(INDEX('[1]TrialBalance (YTD)'!$G:$S,MATCH([1]TBMapping!$C828,'[1]TrialBalance (YTD)'!G:G,0),MATCH([1]TBMapping!J$3,'[1]TrialBalance (YTD)'!$G$7:$Z$7,0)),0)</f>
        <v>0</v>
      </c>
      <c r="K826" s="5" t="e">
        <f>SUMIF('[1]TrialBalance (Quarter)'!$A:$A,B826,'[1]TrialBalance (Quarter)'!$B:$B)</f>
        <v>#VALUE!</v>
      </c>
      <c r="L826" s="5">
        <f>IFERROR(INDEX('[1]TrialBalance (Quarter)'!$A:$L,MATCH([1]TBMapping!$C828,'[1]TrialBalance (Quarter)'!A:A,0),MATCH([1]TBMapping!M$3,'[1]TrialBalance (Quarter)'!$7:$7,0)),0)</f>
        <v>0</v>
      </c>
      <c r="M826" s="5">
        <f>IFERROR(INDEX('[1]TrialBalance (Quarter)'!$A:$L,MATCH([1]TBMapping!$C828,'[1]TrialBalance (Quarter)'!A:A,0),MATCH([1]TBMapping!N$3,'[1]TrialBalance (Quarter)'!$7:$7,0)),0)</f>
        <v>0</v>
      </c>
      <c r="N826" s="5">
        <f>IFERROR(INDEX('[1]TrialBalance (Quarter)'!$A:$L,MATCH([1]TBMapping!$C828,'[1]TrialBalance (Quarter)'!A:A,0),MATCH([1]TBMapping!O$3,'[1]TrialBalance (Quarter)'!$7:$7,0)),0)</f>
        <v>0</v>
      </c>
    </row>
    <row r="827" spans="1:14">
      <c r="B827" s="3">
        <v>329999</v>
      </c>
      <c r="C827" s="10" t="s">
        <v>639</v>
      </c>
      <c r="D827" s="10" t="s">
        <v>16</v>
      </c>
      <c r="E827" s="10"/>
      <c r="F827" s="5" t="e">
        <f>IF(DataExtraction="Manual",SUMIF('[1]TrialBalance (YTD)'!$C:$C,B827,'[1]TrialBalance (YTD)'!$E:$E),SUMIF('[1]TrialBalance (YTD)'!$G:$G,B827,'[1]TrialBalance (YTD)'!$I:$I))</f>
        <v>#VALUE!</v>
      </c>
      <c r="G827" s="5">
        <f>IFERROR(INDEX('[1]TrialBalance (YTD)'!$G:$S,MATCH([1]TBMapping!$C829,'[1]TrialBalance (YTD)'!G:G,0),MATCH([1]TBMapping!H$3,'[1]TrialBalance (YTD)'!$G$7:$Z$7,0)),0)</f>
        <v>0</v>
      </c>
      <c r="H827" s="5" t="e">
        <f>SUMIF('[1]TrialBalance (YTD)'!G:G,B827,'[1]TrialBalance (YTD)'!H:H)</f>
        <v>#VALUE!</v>
      </c>
      <c r="I827" s="5">
        <f>IFERROR(INDEX('[1]TrialBalance (YTD)'!$G:$S,MATCH([1]TBMapping!$C829,'[1]TrialBalance (YTD)'!G:G,0),MATCH([1]TBMapping!J$3,'[1]TrialBalance (YTD)'!$G$7:$Z$7,0)),0)</f>
        <v>0</v>
      </c>
      <c r="K827" s="5" t="e">
        <f>SUMIF('[1]TrialBalance (Quarter)'!$A:$A,B827,'[1]TrialBalance (Quarter)'!$B:$B)</f>
        <v>#VALUE!</v>
      </c>
      <c r="L827" s="5">
        <f>IFERROR(INDEX('[1]TrialBalance (Quarter)'!$A:$L,MATCH([1]TBMapping!$C829,'[1]TrialBalance (Quarter)'!A:A,0),MATCH([1]TBMapping!M$3,'[1]TrialBalance (Quarter)'!$7:$7,0)),0)</f>
        <v>0</v>
      </c>
      <c r="M827" s="5">
        <f>IFERROR(INDEX('[1]TrialBalance (Quarter)'!$A:$L,MATCH([1]TBMapping!$C829,'[1]TrialBalance (Quarter)'!A:A,0),MATCH([1]TBMapping!N$3,'[1]TrialBalance (Quarter)'!$7:$7,0)),0)</f>
        <v>0</v>
      </c>
      <c r="N827" s="5">
        <f>IFERROR(INDEX('[1]TrialBalance (Quarter)'!$A:$L,MATCH([1]TBMapping!$C829,'[1]TrialBalance (Quarter)'!A:A,0),MATCH([1]TBMapping!O$3,'[1]TrialBalance (Quarter)'!$7:$7,0)),0)</f>
        <v>0</v>
      </c>
    </row>
    <row r="828" spans="1:14">
      <c r="B828" s="3">
        <v>330000</v>
      </c>
      <c r="C828" s="11" t="s">
        <v>647</v>
      </c>
      <c r="D828" s="11" t="s">
        <v>5</v>
      </c>
      <c r="E828" s="11"/>
      <c r="F828" s="5" t="e">
        <f>IF(DataExtraction="Manual",SUMIF('[1]TrialBalance (YTD)'!$C:$C,B828,'[1]TrialBalance (YTD)'!$E:$E),SUMIF('[1]TrialBalance (YTD)'!$G:$G,B828,'[1]TrialBalance (YTD)'!$I:$I))</f>
        <v>#VALUE!</v>
      </c>
      <c r="G828" s="5">
        <f>IFERROR(INDEX('[1]TrialBalance (YTD)'!$G:$S,MATCH([1]TBMapping!$C830,'[1]TrialBalance (YTD)'!G:G,0),MATCH([1]TBMapping!H$3,'[1]TrialBalance (YTD)'!$G$7:$Z$7,0)),0)</f>
        <v>0</v>
      </c>
      <c r="H828" s="5" t="e">
        <f>SUMIF('[1]TrialBalance (YTD)'!G:G,B828,'[1]TrialBalance (YTD)'!H:H)</f>
        <v>#VALUE!</v>
      </c>
      <c r="I828" s="5">
        <f>IFERROR(INDEX('[1]TrialBalance (YTD)'!$G:$S,MATCH([1]TBMapping!$C830,'[1]TrialBalance (YTD)'!G:G,0),MATCH([1]TBMapping!J$3,'[1]TrialBalance (YTD)'!$G$7:$Z$7,0)),0)</f>
        <v>0</v>
      </c>
      <c r="K828" s="5" t="e">
        <f>SUMIF('[1]TrialBalance (Quarter)'!$A:$A,B828,'[1]TrialBalance (Quarter)'!$B:$B)</f>
        <v>#VALUE!</v>
      </c>
      <c r="L828" s="5">
        <f>IFERROR(INDEX('[1]TrialBalance (Quarter)'!$A:$L,MATCH([1]TBMapping!$C830,'[1]TrialBalance (Quarter)'!A:A,0),MATCH([1]TBMapping!M$3,'[1]TrialBalance (Quarter)'!$7:$7,0)),0)</f>
        <v>0</v>
      </c>
      <c r="M828" s="5">
        <f>IFERROR(INDEX('[1]TrialBalance (Quarter)'!$A:$L,MATCH([1]TBMapping!$C830,'[1]TrialBalance (Quarter)'!A:A,0),MATCH([1]TBMapping!N$3,'[1]TrialBalance (Quarter)'!$7:$7,0)),0)</f>
        <v>0</v>
      </c>
      <c r="N828" s="5">
        <f>IFERROR(INDEX('[1]TrialBalance (Quarter)'!$A:$L,MATCH([1]TBMapping!$C830,'[1]TrialBalance (Quarter)'!A:A,0),MATCH([1]TBMapping!O$3,'[1]TrialBalance (Quarter)'!$7:$7,0)),0)</f>
        <v>0</v>
      </c>
    </row>
    <row r="829" spans="1:14">
      <c r="A829" s="2">
        <v>11</v>
      </c>
      <c r="B829" s="3">
        <v>331000</v>
      </c>
      <c r="C829" s="10" t="s">
        <v>648</v>
      </c>
      <c r="D829" s="10" t="s">
        <v>11</v>
      </c>
      <c r="E829" s="10"/>
      <c r="F829" s="5" t="e">
        <f>IF(DataExtraction="Manual",SUMIF('[1]TrialBalance (YTD)'!$C:$C,B829,'[1]TrialBalance (YTD)'!$E:$E),SUMIF('[1]TrialBalance (YTD)'!$G:$G,B829,'[1]TrialBalance (YTD)'!$I:$I))</f>
        <v>#VALUE!</v>
      </c>
      <c r="G829" s="5">
        <f>IFERROR(INDEX('[1]TrialBalance (YTD)'!$G:$S,MATCH([1]TBMapping!$C831,'[1]TrialBalance (YTD)'!G:G,0),MATCH([1]TBMapping!H$3,'[1]TrialBalance (YTD)'!$G$7:$Z$7,0)),0)</f>
        <v>0</v>
      </c>
      <c r="H829" s="5" t="e">
        <f>SUMIF('[1]TrialBalance (YTD)'!G:G,B829,'[1]TrialBalance (YTD)'!H:H)</f>
        <v>#VALUE!</v>
      </c>
      <c r="I829" s="5">
        <f>IFERROR(INDEX('[1]TrialBalance (YTD)'!$G:$S,MATCH([1]TBMapping!$C831,'[1]TrialBalance (YTD)'!G:G,0),MATCH([1]TBMapping!J$3,'[1]TrialBalance (YTD)'!$G$7:$Z$7,0)),0)</f>
        <v>0</v>
      </c>
      <c r="K829" s="5" t="e">
        <f>SUMIF('[1]TrialBalance (Quarter)'!$A:$A,B829,'[1]TrialBalance (Quarter)'!$B:$B)</f>
        <v>#VALUE!</v>
      </c>
      <c r="L829" s="5">
        <f>IFERROR(INDEX('[1]TrialBalance (Quarter)'!$A:$L,MATCH([1]TBMapping!$C831,'[1]TrialBalance (Quarter)'!A:A,0),MATCH([1]TBMapping!M$3,'[1]TrialBalance (Quarter)'!$7:$7,0)),0)</f>
        <v>0</v>
      </c>
      <c r="M829" s="5">
        <f>IFERROR(INDEX('[1]TrialBalance (Quarter)'!$A:$L,MATCH([1]TBMapping!$C831,'[1]TrialBalance (Quarter)'!A:A,0),MATCH([1]TBMapping!N$3,'[1]TrialBalance (Quarter)'!$7:$7,0)),0)</f>
        <v>0</v>
      </c>
      <c r="N829" s="5">
        <f>IFERROR(INDEX('[1]TrialBalance (Quarter)'!$A:$L,MATCH([1]TBMapping!$C831,'[1]TrialBalance (Quarter)'!A:A,0),MATCH([1]TBMapping!O$3,'[1]TrialBalance (Quarter)'!$7:$7,0)),0)</f>
        <v>0</v>
      </c>
    </row>
    <row r="830" spans="1:14">
      <c r="A830" s="2">
        <v>11</v>
      </c>
      <c r="B830" s="3">
        <v>331100</v>
      </c>
      <c r="C830" s="11" t="s">
        <v>649</v>
      </c>
      <c r="D830" s="11" t="s">
        <v>11</v>
      </c>
      <c r="E830" s="11"/>
      <c r="F830" s="5" t="e">
        <f>IF(DataExtraction="Manual",SUMIF('[1]TrialBalance (YTD)'!$C:$C,B830,'[1]TrialBalance (YTD)'!$E:$E),SUMIF('[1]TrialBalance (YTD)'!$G:$G,B830,'[1]TrialBalance (YTD)'!$I:$I))</f>
        <v>#VALUE!</v>
      </c>
      <c r="G830" s="5">
        <f>IFERROR(INDEX('[1]TrialBalance (YTD)'!$G:$S,MATCH([1]TBMapping!$C832,'[1]TrialBalance (YTD)'!G:G,0),MATCH([1]TBMapping!H$3,'[1]TrialBalance (YTD)'!$G$7:$Z$7,0)),0)</f>
        <v>0</v>
      </c>
      <c r="H830" s="5" t="e">
        <f>SUMIF('[1]TrialBalance (YTD)'!G:G,B830,'[1]TrialBalance (YTD)'!H:H)</f>
        <v>#VALUE!</v>
      </c>
      <c r="I830" s="5">
        <f>IFERROR(INDEX('[1]TrialBalance (YTD)'!$G:$S,MATCH([1]TBMapping!$C832,'[1]TrialBalance (YTD)'!G:G,0),MATCH([1]TBMapping!J$3,'[1]TrialBalance (YTD)'!$G$7:$Z$7,0)),0)</f>
        <v>0</v>
      </c>
      <c r="K830" s="5" t="e">
        <f>SUMIF('[1]TrialBalance (Quarter)'!$A:$A,B830,'[1]TrialBalance (Quarter)'!$B:$B)</f>
        <v>#VALUE!</v>
      </c>
      <c r="L830" s="5">
        <f>IFERROR(INDEX('[1]TrialBalance (Quarter)'!$A:$L,MATCH([1]TBMapping!$C832,'[1]TrialBalance (Quarter)'!A:A,0),MATCH([1]TBMapping!M$3,'[1]TrialBalance (Quarter)'!$7:$7,0)),0)</f>
        <v>0</v>
      </c>
      <c r="M830" s="5">
        <f>IFERROR(INDEX('[1]TrialBalance (Quarter)'!$A:$L,MATCH([1]TBMapping!$C832,'[1]TrialBalance (Quarter)'!A:A,0),MATCH([1]TBMapping!N$3,'[1]TrialBalance (Quarter)'!$7:$7,0)),0)</f>
        <v>0</v>
      </c>
      <c r="N830" s="5">
        <f>IFERROR(INDEX('[1]TrialBalance (Quarter)'!$A:$L,MATCH([1]TBMapping!$C832,'[1]TrialBalance (Quarter)'!A:A,0),MATCH([1]TBMapping!O$3,'[1]TrialBalance (Quarter)'!$7:$7,0)),0)</f>
        <v>0</v>
      </c>
    </row>
    <row r="831" spans="1:14">
      <c r="A831" s="2">
        <v>11</v>
      </c>
      <c r="B831" s="3">
        <v>331200</v>
      </c>
      <c r="C831" s="10" t="s">
        <v>650</v>
      </c>
      <c r="D831" s="10" t="s">
        <v>11</v>
      </c>
      <c r="E831" s="10"/>
      <c r="F831" s="5" t="e">
        <f>IF(DataExtraction="Manual",SUMIF('[1]TrialBalance (YTD)'!$C:$C,B831,'[1]TrialBalance (YTD)'!$E:$E),SUMIF('[1]TrialBalance (YTD)'!$G:$G,B831,'[1]TrialBalance (YTD)'!$I:$I))</f>
        <v>#VALUE!</v>
      </c>
      <c r="G831" s="5">
        <f>IFERROR(INDEX('[1]TrialBalance (YTD)'!$G:$S,MATCH([1]TBMapping!$C833,'[1]TrialBalance (YTD)'!G:G,0),MATCH([1]TBMapping!H$3,'[1]TrialBalance (YTD)'!$G$7:$Z$7,0)),0)</f>
        <v>0</v>
      </c>
      <c r="H831" s="5" t="e">
        <f>SUMIF('[1]TrialBalance (YTD)'!G:G,B831,'[1]TrialBalance (YTD)'!H:H)</f>
        <v>#VALUE!</v>
      </c>
      <c r="I831" s="5">
        <f>IFERROR(INDEX('[1]TrialBalance (YTD)'!$G:$S,MATCH([1]TBMapping!$C833,'[1]TrialBalance (YTD)'!G:G,0),MATCH([1]TBMapping!J$3,'[1]TrialBalance (YTD)'!$G$7:$Z$7,0)),0)</f>
        <v>0</v>
      </c>
      <c r="K831" s="5" t="e">
        <f>SUMIF('[1]TrialBalance (Quarter)'!$A:$A,B831,'[1]TrialBalance (Quarter)'!$B:$B)</f>
        <v>#VALUE!</v>
      </c>
      <c r="L831" s="5">
        <f>IFERROR(INDEX('[1]TrialBalance (Quarter)'!$A:$L,MATCH([1]TBMapping!$C833,'[1]TrialBalance (Quarter)'!A:A,0),MATCH([1]TBMapping!M$3,'[1]TrialBalance (Quarter)'!$7:$7,0)),0)</f>
        <v>0</v>
      </c>
      <c r="M831" s="5">
        <f>IFERROR(INDEX('[1]TrialBalance (Quarter)'!$A:$L,MATCH([1]TBMapping!$C833,'[1]TrialBalance (Quarter)'!A:A,0),MATCH([1]TBMapping!N$3,'[1]TrialBalance (Quarter)'!$7:$7,0)),0)</f>
        <v>0</v>
      </c>
      <c r="N831" s="5">
        <f>IFERROR(INDEX('[1]TrialBalance (Quarter)'!$A:$L,MATCH([1]TBMapping!$C833,'[1]TrialBalance (Quarter)'!A:A,0),MATCH([1]TBMapping!O$3,'[1]TrialBalance (Quarter)'!$7:$7,0)),0)</f>
        <v>0</v>
      </c>
    </row>
    <row r="832" spans="1:14">
      <c r="A832" s="2">
        <v>11</v>
      </c>
      <c r="B832" s="3">
        <v>332000</v>
      </c>
      <c r="C832" s="11" t="s">
        <v>648</v>
      </c>
      <c r="D832" s="11" t="s">
        <v>11</v>
      </c>
      <c r="E832" s="11"/>
      <c r="F832" s="5" t="e">
        <f>IF(DataExtraction="Manual",SUMIF('[1]TrialBalance (YTD)'!$C:$C,B832,'[1]TrialBalance (YTD)'!$E:$E),SUMIF('[1]TrialBalance (YTD)'!$G:$G,B832,'[1]TrialBalance (YTD)'!$I:$I))</f>
        <v>#VALUE!</v>
      </c>
      <c r="G832" s="5">
        <f>IFERROR(INDEX('[1]TrialBalance (YTD)'!$G:$S,MATCH([1]TBMapping!$C834,'[1]TrialBalance (YTD)'!G:G,0),MATCH([1]TBMapping!H$3,'[1]TrialBalance (YTD)'!$G$7:$Z$7,0)),0)</f>
        <v>0</v>
      </c>
      <c r="H832" s="5" t="e">
        <f>SUMIF('[1]TrialBalance (YTD)'!G:G,B832,'[1]TrialBalance (YTD)'!H:H)</f>
        <v>#VALUE!</v>
      </c>
      <c r="I832" s="5">
        <f>IFERROR(INDEX('[1]TrialBalance (YTD)'!$G:$S,MATCH([1]TBMapping!$C834,'[1]TrialBalance (YTD)'!G:G,0),MATCH([1]TBMapping!J$3,'[1]TrialBalance (YTD)'!$G$7:$Z$7,0)),0)</f>
        <v>0</v>
      </c>
      <c r="K832" s="5" t="e">
        <f>SUMIF('[1]TrialBalance (Quarter)'!$A:$A,B832,'[1]TrialBalance (Quarter)'!$B:$B)</f>
        <v>#VALUE!</v>
      </c>
      <c r="L832" s="5">
        <f>IFERROR(INDEX('[1]TrialBalance (Quarter)'!$A:$L,MATCH([1]TBMapping!$C834,'[1]TrialBalance (Quarter)'!A:A,0),MATCH([1]TBMapping!M$3,'[1]TrialBalance (Quarter)'!$7:$7,0)),0)</f>
        <v>0</v>
      </c>
      <c r="M832" s="5">
        <f>IFERROR(INDEX('[1]TrialBalance (Quarter)'!$A:$L,MATCH([1]TBMapping!$C834,'[1]TrialBalance (Quarter)'!A:A,0),MATCH([1]TBMapping!N$3,'[1]TrialBalance (Quarter)'!$7:$7,0)),0)</f>
        <v>0</v>
      </c>
      <c r="N832" s="5">
        <f>IFERROR(INDEX('[1]TrialBalance (Quarter)'!$A:$L,MATCH([1]TBMapping!$C834,'[1]TrialBalance (Quarter)'!A:A,0),MATCH([1]TBMapping!O$3,'[1]TrialBalance (Quarter)'!$7:$7,0)),0)</f>
        <v>0</v>
      </c>
    </row>
    <row r="833" spans="1:14">
      <c r="A833" s="2">
        <v>11</v>
      </c>
      <c r="B833" s="3">
        <v>332100</v>
      </c>
      <c r="C833" s="10" t="s">
        <v>649</v>
      </c>
      <c r="D833" s="10" t="s">
        <v>11</v>
      </c>
      <c r="E833" s="10"/>
      <c r="F833" s="5" t="e">
        <f>IF(DataExtraction="Manual",SUMIF('[1]TrialBalance (YTD)'!$C:$C,B833,'[1]TrialBalance (YTD)'!$E:$E),SUMIF('[1]TrialBalance (YTD)'!$G:$G,B833,'[1]TrialBalance (YTD)'!$I:$I))</f>
        <v>#VALUE!</v>
      </c>
      <c r="G833" s="5">
        <f>IFERROR(INDEX('[1]TrialBalance (YTD)'!$G:$S,MATCH([1]TBMapping!$C835,'[1]TrialBalance (YTD)'!G:G,0),MATCH([1]TBMapping!H$3,'[1]TrialBalance (YTD)'!$G$7:$Z$7,0)),0)</f>
        <v>0</v>
      </c>
      <c r="H833" s="5" t="e">
        <f>SUMIF('[1]TrialBalance (YTD)'!G:G,B833,'[1]TrialBalance (YTD)'!H:H)</f>
        <v>#VALUE!</v>
      </c>
      <c r="I833" s="5">
        <f>IFERROR(INDEX('[1]TrialBalance (YTD)'!$G:$S,MATCH([1]TBMapping!$C835,'[1]TrialBalance (YTD)'!G:G,0),MATCH([1]TBMapping!J$3,'[1]TrialBalance (YTD)'!$G$7:$Z$7,0)),0)</f>
        <v>0</v>
      </c>
      <c r="K833" s="5" t="e">
        <f>SUMIF('[1]TrialBalance (Quarter)'!$A:$A,B833,'[1]TrialBalance (Quarter)'!$B:$B)</f>
        <v>#VALUE!</v>
      </c>
      <c r="L833" s="5">
        <f>IFERROR(INDEX('[1]TrialBalance (Quarter)'!$A:$L,MATCH([1]TBMapping!$C835,'[1]TrialBalance (Quarter)'!A:A,0),MATCH([1]TBMapping!M$3,'[1]TrialBalance (Quarter)'!$7:$7,0)),0)</f>
        <v>0</v>
      </c>
      <c r="M833" s="5">
        <f>IFERROR(INDEX('[1]TrialBalance (Quarter)'!$A:$L,MATCH([1]TBMapping!$C835,'[1]TrialBalance (Quarter)'!A:A,0),MATCH([1]TBMapping!N$3,'[1]TrialBalance (Quarter)'!$7:$7,0)),0)</f>
        <v>0</v>
      </c>
      <c r="N833" s="5">
        <f>IFERROR(INDEX('[1]TrialBalance (Quarter)'!$A:$L,MATCH([1]TBMapping!$C835,'[1]TrialBalance (Quarter)'!A:A,0),MATCH([1]TBMapping!O$3,'[1]TrialBalance (Quarter)'!$7:$7,0)),0)</f>
        <v>0</v>
      </c>
    </row>
    <row r="834" spans="1:14">
      <c r="A834" s="2">
        <v>11</v>
      </c>
      <c r="B834" s="3">
        <v>332200</v>
      </c>
      <c r="C834" s="11" t="s">
        <v>650</v>
      </c>
      <c r="D834" s="11" t="s">
        <v>11</v>
      </c>
      <c r="E834" s="11"/>
      <c r="F834" s="5" t="e">
        <f>IF(DataExtraction="Manual",SUMIF('[1]TrialBalance (YTD)'!$C:$C,B834,'[1]TrialBalance (YTD)'!$E:$E),SUMIF('[1]TrialBalance (YTD)'!$G:$G,B834,'[1]TrialBalance (YTD)'!$I:$I))</f>
        <v>#VALUE!</v>
      </c>
      <c r="G834" s="5">
        <f>IFERROR(INDEX('[1]TrialBalance (YTD)'!$G:$S,MATCH([1]TBMapping!$C836,'[1]TrialBalance (YTD)'!G:G,0),MATCH([1]TBMapping!H$3,'[1]TrialBalance (YTD)'!$G$7:$Z$7,0)),0)</f>
        <v>0</v>
      </c>
      <c r="H834" s="5" t="e">
        <f>SUMIF('[1]TrialBalance (YTD)'!G:G,B834,'[1]TrialBalance (YTD)'!H:H)</f>
        <v>#VALUE!</v>
      </c>
      <c r="I834" s="5">
        <f>IFERROR(INDEX('[1]TrialBalance (YTD)'!$G:$S,MATCH([1]TBMapping!$C836,'[1]TrialBalance (YTD)'!G:G,0),MATCH([1]TBMapping!J$3,'[1]TrialBalance (YTD)'!$G$7:$Z$7,0)),0)</f>
        <v>0</v>
      </c>
      <c r="K834" s="5" t="e">
        <f>SUMIF('[1]TrialBalance (Quarter)'!$A:$A,B834,'[1]TrialBalance (Quarter)'!$B:$B)</f>
        <v>#VALUE!</v>
      </c>
      <c r="L834" s="5">
        <f>IFERROR(INDEX('[1]TrialBalance (Quarter)'!$A:$L,MATCH([1]TBMapping!$C836,'[1]TrialBalance (Quarter)'!A:A,0),MATCH([1]TBMapping!M$3,'[1]TrialBalance (Quarter)'!$7:$7,0)),0)</f>
        <v>0</v>
      </c>
      <c r="M834" s="5">
        <f>IFERROR(INDEX('[1]TrialBalance (Quarter)'!$A:$L,MATCH([1]TBMapping!$C836,'[1]TrialBalance (Quarter)'!A:A,0),MATCH([1]TBMapping!N$3,'[1]TrialBalance (Quarter)'!$7:$7,0)),0)</f>
        <v>0</v>
      </c>
      <c r="N834" s="5">
        <f>IFERROR(INDEX('[1]TrialBalance (Quarter)'!$A:$L,MATCH([1]TBMapping!$C836,'[1]TrialBalance (Quarter)'!A:A,0),MATCH([1]TBMapping!O$3,'[1]TrialBalance (Quarter)'!$7:$7,0)),0)</f>
        <v>0</v>
      </c>
    </row>
    <row r="835" spans="1:14">
      <c r="B835" s="3">
        <v>339999</v>
      </c>
      <c r="C835" s="10" t="s">
        <v>651</v>
      </c>
      <c r="D835" s="10" t="s">
        <v>16</v>
      </c>
      <c r="E835" s="10"/>
      <c r="F835" s="5" t="e">
        <f>IF(DataExtraction="Manual",SUMIF('[1]TrialBalance (YTD)'!$C:$C,B835,'[1]TrialBalance (YTD)'!$E:$E),SUMIF('[1]TrialBalance (YTD)'!$G:$G,B835,'[1]TrialBalance (YTD)'!$I:$I))</f>
        <v>#VALUE!</v>
      </c>
      <c r="G835" s="5">
        <f>IFERROR(INDEX('[1]TrialBalance (YTD)'!$G:$S,MATCH([1]TBMapping!$C837,'[1]TrialBalance (YTD)'!G:G,0),MATCH([1]TBMapping!H$3,'[1]TrialBalance (YTD)'!$G$7:$Z$7,0)),0)</f>
        <v>0</v>
      </c>
      <c r="H835" s="5" t="e">
        <f>SUMIF('[1]TrialBalance (YTD)'!G:G,B835,'[1]TrialBalance (YTD)'!H:H)</f>
        <v>#VALUE!</v>
      </c>
      <c r="I835" s="5">
        <f>IFERROR(INDEX('[1]TrialBalance (YTD)'!$G:$S,MATCH([1]TBMapping!$C837,'[1]TrialBalance (YTD)'!G:G,0),MATCH([1]TBMapping!J$3,'[1]TrialBalance (YTD)'!$G$7:$Z$7,0)),0)</f>
        <v>0</v>
      </c>
      <c r="K835" s="5" t="e">
        <f>SUMIF('[1]TrialBalance (Quarter)'!$A:$A,B835,'[1]TrialBalance (Quarter)'!$B:$B)</f>
        <v>#VALUE!</v>
      </c>
      <c r="L835" s="5">
        <f>IFERROR(INDEX('[1]TrialBalance (Quarter)'!$A:$L,MATCH([1]TBMapping!$C837,'[1]TrialBalance (Quarter)'!A:A,0),MATCH([1]TBMapping!M$3,'[1]TrialBalance (Quarter)'!$7:$7,0)),0)</f>
        <v>0</v>
      </c>
      <c r="M835" s="5">
        <f>IFERROR(INDEX('[1]TrialBalance (Quarter)'!$A:$L,MATCH([1]TBMapping!$C837,'[1]TrialBalance (Quarter)'!A:A,0),MATCH([1]TBMapping!N$3,'[1]TrialBalance (Quarter)'!$7:$7,0)),0)</f>
        <v>0</v>
      </c>
      <c r="N835" s="5">
        <f>IFERROR(INDEX('[1]TrialBalance (Quarter)'!$A:$L,MATCH([1]TBMapping!$C837,'[1]TrialBalance (Quarter)'!A:A,0),MATCH([1]TBMapping!O$3,'[1]TrialBalance (Quarter)'!$7:$7,0)),0)</f>
        <v>0</v>
      </c>
    </row>
    <row r="836" spans="1:14">
      <c r="B836" s="3">
        <v>340000</v>
      </c>
      <c r="C836" s="11" t="s">
        <v>652</v>
      </c>
      <c r="D836" s="11" t="s">
        <v>5</v>
      </c>
      <c r="E836" s="11"/>
      <c r="F836" s="5" t="e">
        <f>IF(DataExtraction="Manual",SUMIF('[1]TrialBalance (YTD)'!$C:$C,B836,'[1]TrialBalance (YTD)'!$E:$E),SUMIF('[1]TrialBalance (YTD)'!$G:$G,B836,'[1]TrialBalance (YTD)'!$I:$I))</f>
        <v>#VALUE!</v>
      </c>
      <c r="G836" s="5">
        <f>IFERROR(INDEX('[1]TrialBalance (YTD)'!$G:$S,MATCH([1]TBMapping!$C838,'[1]TrialBalance (YTD)'!G:G,0),MATCH([1]TBMapping!H$3,'[1]TrialBalance (YTD)'!$G$7:$Z$7,0)),0)</f>
        <v>0</v>
      </c>
      <c r="H836" s="5" t="e">
        <f>SUMIF('[1]TrialBalance (YTD)'!G:G,B836,'[1]TrialBalance (YTD)'!H:H)</f>
        <v>#VALUE!</v>
      </c>
      <c r="I836" s="5">
        <f>IFERROR(INDEX('[1]TrialBalance (YTD)'!$G:$S,MATCH([1]TBMapping!$C838,'[1]TrialBalance (YTD)'!G:G,0),MATCH([1]TBMapping!J$3,'[1]TrialBalance (YTD)'!$G$7:$Z$7,0)),0)</f>
        <v>0</v>
      </c>
      <c r="K836" s="5" t="e">
        <f>SUMIF('[1]TrialBalance (Quarter)'!$A:$A,B836,'[1]TrialBalance (Quarter)'!$B:$B)</f>
        <v>#VALUE!</v>
      </c>
      <c r="L836" s="5">
        <f>IFERROR(INDEX('[1]TrialBalance (Quarter)'!$A:$L,MATCH([1]TBMapping!$C838,'[1]TrialBalance (Quarter)'!A:A,0),MATCH([1]TBMapping!M$3,'[1]TrialBalance (Quarter)'!$7:$7,0)),0)</f>
        <v>0</v>
      </c>
      <c r="M836" s="5">
        <f>IFERROR(INDEX('[1]TrialBalance (Quarter)'!$A:$L,MATCH([1]TBMapping!$C838,'[1]TrialBalance (Quarter)'!A:A,0),MATCH([1]TBMapping!N$3,'[1]TrialBalance (Quarter)'!$7:$7,0)),0)</f>
        <v>0</v>
      </c>
      <c r="N836" s="5">
        <f>IFERROR(INDEX('[1]TrialBalance (Quarter)'!$A:$L,MATCH([1]TBMapping!$C838,'[1]TrialBalance (Quarter)'!A:A,0),MATCH([1]TBMapping!O$3,'[1]TrialBalance (Quarter)'!$7:$7,0)),0)</f>
        <v>0</v>
      </c>
    </row>
    <row r="837" spans="1:14">
      <c r="A837" s="2">
        <v>12</v>
      </c>
      <c r="B837" s="3">
        <v>341000</v>
      </c>
      <c r="C837" s="10" t="s">
        <v>653</v>
      </c>
      <c r="D837" s="10" t="s">
        <v>11</v>
      </c>
      <c r="E837" s="10"/>
      <c r="F837" s="5" t="e">
        <f>IF(DataExtraction="Manual",SUMIF('[1]TrialBalance (YTD)'!$C:$C,B837,'[1]TrialBalance (YTD)'!$E:$E),SUMIF('[1]TrialBalance (YTD)'!$G:$G,B837,'[1]TrialBalance (YTD)'!$I:$I))</f>
        <v>#VALUE!</v>
      </c>
      <c r="G837" s="5">
        <f>IFERROR(INDEX('[1]TrialBalance (YTD)'!$G:$S,MATCH([1]TBMapping!$C839,'[1]TrialBalance (YTD)'!G:G,0),MATCH([1]TBMapping!H$3,'[1]TrialBalance (YTD)'!$G$7:$Z$7,0)),0)</f>
        <v>0</v>
      </c>
      <c r="H837" s="5" t="e">
        <f>SUMIF('[1]TrialBalance (YTD)'!G:G,B837,'[1]TrialBalance (YTD)'!H:H)</f>
        <v>#VALUE!</v>
      </c>
      <c r="I837" s="5">
        <f>IFERROR(INDEX('[1]TrialBalance (YTD)'!$G:$S,MATCH([1]TBMapping!$C839,'[1]TrialBalance (YTD)'!G:G,0),MATCH([1]TBMapping!J$3,'[1]TrialBalance (YTD)'!$G$7:$Z$7,0)),0)</f>
        <v>0</v>
      </c>
      <c r="K837" s="5" t="e">
        <f>SUMIF('[1]TrialBalance (Quarter)'!$A:$A,B837,'[1]TrialBalance (Quarter)'!$B:$B)</f>
        <v>#VALUE!</v>
      </c>
      <c r="L837" s="5">
        <f>IFERROR(INDEX('[1]TrialBalance (Quarter)'!$A:$L,MATCH([1]TBMapping!$C839,'[1]TrialBalance (Quarter)'!A:A,0),MATCH([1]TBMapping!M$3,'[1]TrialBalance (Quarter)'!$7:$7,0)),0)</f>
        <v>0</v>
      </c>
      <c r="M837" s="5">
        <f>IFERROR(INDEX('[1]TrialBalance (Quarter)'!$A:$L,MATCH([1]TBMapping!$C839,'[1]TrialBalance (Quarter)'!A:A,0),MATCH([1]TBMapping!N$3,'[1]TrialBalance (Quarter)'!$7:$7,0)),0)</f>
        <v>0</v>
      </c>
      <c r="N837" s="5">
        <f>IFERROR(INDEX('[1]TrialBalance (Quarter)'!$A:$L,MATCH([1]TBMapping!$C839,'[1]TrialBalance (Quarter)'!A:A,0),MATCH([1]TBMapping!O$3,'[1]TrialBalance (Quarter)'!$7:$7,0)),0)</f>
        <v>0</v>
      </c>
    </row>
    <row r="838" spans="1:14">
      <c r="A838" s="2">
        <v>12</v>
      </c>
      <c r="B838" s="3">
        <v>341050</v>
      </c>
      <c r="C838" s="11" t="s">
        <v>654</v>
      </c>
      <c r="D838" s="11" t="s">
        <v>11</v>
      </c>
      <c r="E838" s="11"/>
      <c r="F838" s="5" t="e">
        <f>IF(DataExtraction="Manual",SUMIF('[1]TrialBalance (YTD)'!$C:$C,B838,'[1]TrialBalance (YTD)'!$E:$E),SUMIF('[1]TrialBalance (YTD)'!$G:$G,B838,'[1]TrialBalance (YTD)'!$I:$I))</f>
        <v>#VALUE!</v>
      </c>
      <c r="G838" s="5">
        <f>IFERROR(INDEX('[1]TrialBalance (YTD)'!$G:$S,MATCH([1]TBMapping!$C840,'[1]TrialBalance (YTD)'!G:G,0),MATCH([1]TBMapping!H$3,'[1]TrialBalance (YTD)'!$G$7:$Z$7,0)),0)</f>
        <v>0</v>
      </c>
      <c r="H838" s="5" t="e">
        <f>SUMIF('[1]TrialBalance (YTD)'!G:G,B838,'[1]TrialBalance (YTD)'!H:H)</f>
        <v>#VALUE!</v>
      </c>
      <c r="I838" s="5">
        <f>IFERROR(INDEX('[1]TrialBalance (YTD)'!$G:$S,MATCH([1]TBMapping!$C840,'[1]TrialBalance (YTD)'!G:G,0),MATCH([1]TBMapping!J$3,'[1]TrialBalance (YTD)'!$G$7:$Z$7,0)),0)</f>
        <v>0</v>
      </c>
      <c r="K838" s="5" t="e">
        <f>SUMIF('[1]TrialBalance (Quarter)'!$A:$A,B838,'[1]TrialBalance (Quarter)'!$B:$B)</f>
        <v>#VALUE!</v>
      </c>
      <c r="L838" s="5">
        <f>IFERROR(INDEX('[1]TrialBalance (Quarter)'!$A:$L,MATCH([1]TBMapping!$C840,'[1]TrialBalance (Quarter)'!A:A,0),MATCH([1]TBMapping!M$3,'[1]TrialBalance (Quarter)'!$7:$7,0)),0)</f>
        <v>0</v>
      </c>
      <c r="M838" s="5">
        <f>IFERROR(INDEX('[1]TrialBalance (Quarter)'!$A:$L,MATCH([1]TBMapping!$C840,'[1]TrialBalance (Quarter)'!A:A,0),MATCH([1]TBMapping!N$3,'[1]TrialBalance (Quarter)'!$7:$7,0)),0)</f>
        <v>0</v>
      </c>
      <c r="N838" s="5">
        <f>IFERROR(INDEX('[1]TrialBalance (Quarter)'!$A:$L,MATCH([1]TBMapping!$C840,'[1]TrialBalance (Quarter)'!A:A,0),MATCH([1]TBMapping!O$3,'[1]TrialBalance (Quarter)'!$7:$7,0)),0)</f>
        <v>0</v>
      </c>
    </row>
    <row r="839" spans="1:14">
      <c r="A839" s="2">
        <v>12</v>
      </c>
      <c r="B839" s="3">
        <v>341100</v>
      </c>
      <c r="C839" s="10" t="s">
        <v>492</v>
      </c>
      <c r="D839" s="10" t="s">
        <v>11</v>
      </c>
      <c r="E839" s="10"/>
      <c r="F839" s="5" t="e">
        <f>IF(DataExtraction="Manual",SUMIF('[1]TrialBalance (YTD)'!$C:$C,B839,'[1]TrialBalance (YTD)'!$E:$E),SUMIF('[1]TrialBalance (YTD)'!$G:$G,B839,'[1]TrialBalance (YTD)'!$I:$I))</f>
        <v>#VALUE!</v>
      </c>
      <c r="G839" s="5">
        <f>IFERROR(INDEX('[1]TrialBalance (YTD)'!$G:$S,MATCH([1]TBMapping!$C841,'[1]TrialBalance (YTD)'!G:G,0),MATCH([1]TBMapping!H$3,'[1]TrialBalance (YTD)'!$G$7:$Z$7,0)),0)</f>
        <v>0</v>
      </c>
      <c r="H839" s="5" t="e">
        <f>SUMIF('[1]TrialBalance (YTD)'!G:G,B839,'[1]TrialBalance (YTD)'!H:H)</f>
        <v>#VALUE!</v>
      </c>
      <c r="I839" s="5">
        <f>IFERROR(INDEX('[1]TrialBalance (YTD)'!$G:$S,MATCH([1]TBMapping!$C841,'[1]TrialBalance (YTD)'!G:G,0),MATCH([1]TBMapping!J$3,'[1]TrialBalance (YTD)'!$G$7:$Z$7,0)),0)</f>
        <v>0</v>
      </c>
      <c r="K839" s="5" t="e">
        <f>SUMIF('[1]TrialBalance (Quarter)'!$A:$A,B839,'[1]TrialBalance (Quarter)'!$B:$B)</f>
        <v>#VALUE!</v>
      </c>
      <c r="L839" s="5">
        <f>IFERROR(INDEX('[1]TrialBalance (Quarter)'!$A:$L,MATCH([1]TBMapping!$C841,'[1]TrialBalance (Quarter)'!A:A,0),MATCH([1]TBMapping!M$3,'[1]TrialBalance (Quarter)'!$7:$7,0)),0)</f>
        <v>0</v>
      </c>
      <c r="M839" s="5">
        <f>IFERROR(INDEX('[1]TrialBalance (Quarter)'!$A:$L,MATCH([1]TBMapping!$C841,'[1]TrialBalance (Quarter)'!A:A,0),MATCH([1]TBMapping!N$3,'[1]TrialBalance (Quarter)'!$7:$7,0)),0)</f>
        <v>0</v>
      </c>
      <c r="N839" s="5">
        <f>IFERROR(INDEX('[1]TrialBalance (Quarter)'!$A:$L,MATCH([1]TBMapping!$C841,'[1]TrialBalance (Quarter)'!A:A,0),MATCH([1]TBMapping!O$3,'[1]TrialBalance (Quarter)'!$7:$7,0)),0)</f>
        <v>0</v>
      </c>
    </row>
    <row r="840" spans="1:14">
      <c r="A840" s="2">
        <v>12</v>
      </c>
      <c r="B840" s="3">
        <v>341135</v>
      </c>
      <c r="C840" s="11" t="s">
        <v>655</v>
      </c>
      <c r="D840" s="11" t="s">
        <v>11</v>
      </c>
      <c r="E840" s="11"/>
      <c r="F840" s="5" t="e">
        <f>IF(DataExtraction="Manual",SUMIF('[1]TrialBalance (YTD)'!$C:$C,B840,'[1]TrialBalance (YTD)'!$E:$E),SUMIF('[1]TrialBalance (YTD)'!$G:$G,B840,'[1]TrialBalance (YTD)'!$I:$I))</f>
        <v>#VALUE!</v>
      </c>
      <c r="G840" s="5">
        <f>IFERROR(INDEX('[1]TrialBalance (YTD)'!$G:$S,MATCH([1]TBMapping!$C842,'[1]TrialBalance (YTD)'!G:G,0),MATCH([1]TBMapping!H$3,'[1]TrialBalance (YTD)'!$G$7:$Z$7,0)),0)</f>
        <v>0</v>
      </c>
      <c r="H840" s="5" t="e">
        <f>SUMIF('[1]TrialBalance (YTD)'!G:G,B840,'[1]TrialBalance (YTD)'!H:H)</f>
        <v>#VALUE!</v>
      </c>
      <c r="I840" s="5">
        <f>IFERROR(INDEX('[1]TrialBalance (YTD)'!$G:$S,MATCH([1]TBMapping!$C842,'[1]TrialBalance (YTD)'!G:G,0),MATCH([1]TBMapping!J$3,'[1]TrialBalance (YTD)'!$G$7:$Z$7,0)),0)</f>
        <v>0</v>
      </c>
      <c r="K840" s="5" t="e">
        <f>SUMIF('[1]TrialBalance (Quarter)'!$A:$A,B840,'[1]TrialBalance (Quarter)'!$B:$B)</f>
        <v>#VALUE!</v>
      </c>
      <c r="L840" s="5">
        <f>IFERROR(INDEX('[1]TrialBalance (Quarter)'!$A:$L,MATCH([1]TBMapping!$C842,'[1]TrialBalance (Quarter)'!A:A,0),MATCH([1]TBMapping!M$3,'[1]TrialBalance (Quarter)'!$7:$7,0)),0)</f>
        <v>0</v>
      </c>
      <c r="M840" s="5">
        <f>IFERROR(INDEX('[1]TrialBalance (Quarter)'!$A:$L,MATCH([1]TBMapping!$C842,'[1]TrialBalance (Quarter)'!A:A,0),MATCH([1]TBMapping!N$3,'[1]TrialBalance (Quarter)'!$7:$7,0)),0)</f>
        <v>0</v>
      </c>
      <c r="N840" s="5">
        <f>IFERROR(INDEX('[1]TrialBalance (Quarter)'!$A:$L,MATCH([1]TBMapping!$C842,'[1]TrialBalance (Quarter)'!A:A,0),MATCH([1]TBMapping!O$3,'[1]TrialBalance (Quarter)'!$7:$7,0)),0)</f>
        <v>0</v>
      </c>
    </row>
    <row r="841" spans="1:14">
      <c r="A841" s="2">
        <v>12</v>
      </c>
      <c r="B841" s="3">
        <v>341150</v>
      </c>
      <c r="C841" s="10" t="s">
        <v>656</v>
      </c>
      <c r="D841" s="10" t="s">
        <v>11</v>
      </c>
      <c r="E841" s="10"/>
      <c r="F841" s="5" t="e">
        <f>IF(DataExtraction="Manual",SUMIF('[1]TrialBalance (YTD)'!$C:$C,B841,'[1]TrialBalance (YTD)'!$E:$E),SUMIF('[1]TrialBalance (YTD)'!$G:$G,B841,'[1]TrialBalance (YTD)'!$I:$I))</f>
        <v>#VALUE!</v>
      </c>
      <c r="G841" s="5">
        <f>IFERROR(INDEX('[1]TrialBalance (YTD)'!$G:$S,MATCH([1]TBMapping!$C843,'[1]TrialBalance (YTD)'!G:G,0),MATCH([1]TBMapping!H$3,'[1]TrialBalance (YTD)'!$G$7:$Z$7,0)),0)</f>
        <v>0</v>
      </c>
      <c r="H841" s="5" t="e">
        <f>SUMIF('[1]TrialBalance (YTD)'!G:G,B841,'[1]TrialBalance (YTD)'!H:H)</f>
        <v>#VALUE!</v>
      </c>
      <c r="I841" s="5">
        <f>IFERROR(INDEX('[1]TrialBalance (YTD)'!$G:$S,MATCH([1]TBMapping!$C843,'[1]TrialBalance (YTD)'!G:G,0),MATCH([1]TBMapping!J$3,'[1]TrialBalance (YTD)'!$G$7:$Z$7,0)),0)</f>
        <v>0</v>
      </c>
      <c r="K841" s="5" t="e">
        <f>SUMIF('[1]TrialBalance (Quarter)'!$A:$A,B841,'[1]TrialBalance (Quarter)'!$B:$B)</f>
        <v>#VALUE!</v>
      </c>
      <c r="L841" s="5">
        <f>IFERROR(INDEX('[1]TrialBalance (Quarter)'!$A:$L,MATCH([1]TBMapping!$C843,'[1]TrialBalance (Quarter)'!A:A,0),MATCH([1]TBMapping!M$3,'[1]TrialBalance (Quarter)'!$7:$7,0)),0)</f>
        <v>0</v>
      </c>
      <c r="M841" s="5">
        <f>IFERROR(INDEX('[1]TrialBalance (Quarter)'!$A:$L,MATCH([1]TBMapping!$C843,'[1]TrialBalance (Quarter)'!A:A,0),MATCH([1]TBMapping!N$3,'[1]TrialBalance (Quarter)'!$7:$7,0)),0)</f>
        <v>0</v>
      </c>
      <c r="N841" s="5">
        <f>IFERROR(INDEX('[1]TrialBalance (Quarter)'!$A:$L,MATCH([1]TBMapping!$C843,'[1]TrialBalance (Quarter)'!A:A,0),MATCH([1]TBMapping!O$3,'[1]TrialBalance (Quarter)'!$7:$7,0)),0)</f>
        <v>0</v>
      </c>
    </row>
    <row r="842" spans="1:14">
      <c r="A842" s="2">
        <v>12</v>
      </c>
      <c r="B842" s="3">
        <v>341160</v>
      </c>
      <c r="C842" s="11" t="s">
        <v>657</v>
      </c>
      <c r="D842" s="11" t="s">
        <v>11</v>
      </c>
      <c r="E842" s="11"/>
      <c r="F842" s="5" t="e">
        <f>IF(DataExtraction="Manual",SUMIF('[1]TrialBalance (YTD)'!$C:$C,B842,'[1]TrialBalance (YTD)'!$E:$E),SUMIF('[1]TrialBalance (YTD)'!$G:$G,B842,'[1]TrialBalance (YTD)'!$I:$I))</f>
        <v>#VALUE!</v>
      </c>
      <c r="G842" s="5">
        <f>IFERROR(INDEX('[1]TrialBalance (YTD)'!$G:$S,MATCH([1]TBMapping!$C844,'[1]TrialBalance (YTD)'!G:G,0),MATCH([1]TBMapping!H$3,'[1]TrialBalance (YTD)'!$G$7:$Z$7,0)),0)</f>
        <v>0</v>
      </c>
      <c r="H842" s="5" t="e">
        <f>SUMIF('[1]TrialBalance (YTD)'!G:G,B842,'[1]TrialBalance (YTD)'!H:H)</f>
        <v>#VALUE!</v>
      </c>
      <c r="I842" s="5">
        <f>IFERROR(INDEX('[1]TrialBalance (YTD)'!$G:$S,MATCH([1]TBMapping!$C844,'[1]TrialBalance (YTD)'!G:G,0),MATCH([1]TBMapping!J$3,'[1]TrialBalance (YTD)'!$G$7:$Z$7,0)),0)</f>
        <v>0</v>
      </c>
      <c r="K842" s="5" t="e">
        <f>SUMIF('[1]TrialBalance (Quarter)'!$A:$A,B842,'[1]TrialBalance (Quarter)'!$B:$B)</f>
        <v>#VALUE!</v>
      </c>
      <c r="L842" s="5">
        <f>IFERROR(INDEX('[1]TrialBalance (Quarter)'!$A:$L,MATCH([1]TBMapping!$C844,'[1]TrialBalance (Quarter)'!A:A,0),MATCH([1]TBMapping!M$3,'[1]TrialBalance (Quarter)'!$7:$7,0)),0)</f>
        <v>0</v>
      </c>
      <c r="M842" s="5">
        <f>IFERROR(INDEX('[1]TrialBalance (Quarter)'!$A:$L,MATCH([1]TBMapping!$C844,'[1]TrialBalance (Quarter)'!A:A,0),MATCH([1]TBMapping!N$3,'[1]TrialBalance (Quarter)'!$7:$7,0)),0)</f>
        <v>0</v>
      </c>
      <c r="N842" s="5">
        <f>IFERROR(INDEX('[1]TrialBalance (Quarter)'!$A:$L,MATCH([1]TBMapping!$C844,'[1]TrialBalance (Quarter)'!A:A,0),MATCH([1]TBMapping!O$3,'[1]TrialBalance (Quarter)'!$7:$7,0)),0)</f>
        <v>0</v>
      </c>
    </row>
    <row r="843" spans="1:14">
      <c r="A843" s="2">
        <v>12</v>
      </c>
      <c r="B843" s="3">
        <v>341200</v>
      </c>
      <c r="C843" s="10" t="s">
        <v>658</v>
      </c>
      <c r="D843" s="10" t="s">
        <v>11</v>
      </c>
      <c r="E843" s="10"/>
      <c r="F843" s="5" t="e">
        <f>IF(DataExtraction="Manual",SUMIF('[1]TrialBalance (YTD)'!$C:$C,B843,'[1]TrialBalance (YTD)'!$E:$E),SUMIF('[1]TrialBalance (YTD)'!$G:$G,B843,'[1]TrialBalance (YTD)'!$I:$I))</f>
        <v>#VALUE!</v>
      </c>
      <c r="G843" s="5">
        <f>IFERROR(INDEX('[1]TrialBalance (YTD)'!$G:$S,MATCH([1]TBMapping!$C845,'[1]TrialBalance (YTD)'!G:G,0),MATCH([1]TBMapping!H$3,'[1]TrialBalance (YTD)'!$G$7:$Z$7,0)),0)</f>
        <v>0</v>
      </c>
      <c r="H843" s="5" t="e">
        <f>SUMIF('[1]TrialBalance (YTD)'!G:G,B843,'[1]TrialBalance (YTD)'!H:H)</f>
        <v>#VALUE!</v>
      </c>
      <c r="I843" s="5">
        <f>IFERROR(INDEX('[1]TrialBalance (YTD)'!$G:$S,MATCH([1]TBMapping!$C845,'[1]TrialBalance (YTD)'!G:G,0),MATCH([1]TBMapping!J$3,'[1]TrialBalance (YTD)'!$G$7:$Z$7,0)),0)</f>
        <v>0</v>
      </c>
      <c r="K843" s="5" t="e">
        <f>SUMIF('[1]TrialBalance (Quarter)'!$A:$A,B843,'[1]TrialBalance (Quarter)'!$B:$B)</f>
        <v>#VALUE!</v>
      </c>
      <c r="L843" s="5">
        <f>IFERROR(INDEX('[1]TrialBalance (Quarter)'!$A:$L,MATCH([1]TBMapping!$C845,'[1]TrialBalance (Quarter)'!A:A,0),MATCH([1]TBMapping!M$3,'[1]TrialBalance (Quarter)'!$7:$7,0)),0)</f>
        <v>0</v>
      </c>
      <c r="M843" s="5">
        <f>IFERROR(INDEX('[1]TrialBalance (Quarter)'!$A:$L,MATCH([1]TBMapping!$C845,'[1]TrialBalance (Quarter)'!A:A,0),MATCH([1]TBMapping!N$3,'[1]TrialBalance (Quarter)'!$7:$7,0)),0)</f>
        <v>0</v>
      </c>
      <c r="N843" s="5">
        <f>IFERROR(INDEX('[1]TrialBalance (Quarter)'!$A:$L,MATCH([1]TBMapping!$C845,'[1]TrialBalance (Quarter)'!A:A,0),MATCH([1]TBMapping!O$3,'[1]TrialBalance (Quarter)'!$7:$7,0)),0)</f>
        <v>0</v>
      </c>
    </row>
    <row r="844" spans="1:14">
      <c r="A844" s="2">
        <v>12</v>
      </c>
      <c r="B844" s="3">
        <v>342000</v>
      </c>
      <c r="C844" s="11" t="s">
        <v>659</v>
      </c>
      <c r="D844" s="11" t="s">
        <v>11</v>
      </c>
      <c r="E844" s="11"/>
      <c r="F844" s="5" t="e">
        <f>IF(DataExtraction="Manual",SUMIF('[1]TrialBalance (YTD)'!$C:$C,B844,'[1]TrialBalance (YTD)'!$E:$E),SUMIF('[1]TrialBalance (YTD)'!$G:$G,B844,'[1]TrialBalance (YTD)'!$I:$I))</f>
        <v>#VALUE!</v>
      </c>
      <c r="G844" s="5">
        <f>IFERROR(INDEX('[1]TrialBalance (YTD)'!$G:$S,MATCH([1]TBMapping!$C846,'[1]TrialBalance (YTD)'!G:G,0),MATCH([1]TBMapping!H$3,'[1]TrialBalance (YTD)'!$G$7:$Z$7,0)),0)</f>
        <v>0</v>
      </c>
      <c r="H844" s="5" t="e">
        <f>SUMIF('[1]TrialBalance (YTD)'!G:G,B844,'[1]TrialBalance (YTD)'!H:H)</f>
        <v>#VALUE!</v>
      </c>
      <c r="I844" s="5">
        <f>IFERROR(INDEX('[1]TrialBalance (YTD)'!$G:$S,MATCH([1]TBMapping!$C846,'[1]TrialBalance (YTD)'!G:G,0),MATCH([1]TBMapping!J$3,'[1]TrialBalance (YTD)'!$G$7:$Z$7,0)),0)</f>
        <v>0</v>
      </c>
      <c r="K844" s="5" t="e">
        <f>SUMIF('[1]TrialBalance (Quarter)'!$A:$A,B844,'[1]TrialBalance (Quarter)'!$B:$B)</f>
        <v>#VALUE!</v>
      </c>
      <c r="L844" s="5">
        <f>IFERROR(INDEX('[1]TrialBalance (Quarter)'!$A:$L,MATCH([1]TBMapping!$C846,'[1]TrialBalance (Quarter)'!A:A,0),MATCH([1]TBMapping!M$3,'[1]TrialBalance (Quarter)'!$7:$7,0)),0)</f>
        <v>0</v>
      </c>
      <c r="M844" s="5">
        <f>IFERROR(INDEX('[1]TrialBalance (Quarter)'!$A:$L,MATCH([1]TBMapping!$C846,'[1]TrialBalance (Quarter)'!A:A,0),MATCH([1]TBMapping!N$3,'[1]TrialBalance (Quarter)'!$7:$7,0)),0)</f>
        <v>0</v>
      </c>
      <c r="N844" s="5">
        <f>IFERROR(INDEX('[1]TrialBalance (Quarter)'!$A:$L,MATCH([1]TBMapping!$C846,'[1]TrialBalance (Quarter)'!A:A,0),MATCH([1]TBMapping!O$3,'[1]TrialBalance (Quarter)'!$7:$7,0)),0)</f>
        <v>0</v>
      </c>
    </row>
    <row r="845" spans="1:14">
      <c r="A845" s="2">
        <v>12</v>
      </c>
      <c r="B845" s="3">
        <v>342050</v>
      </c>
      <c r="C845" s="10" t="s">
        <v>660</v>
      </c>
      <c r="D845" s="10" t="s">
        <v>11</v>
      </c>
      <c r="E845" s="10"/>
      <c r="F845" s="5" t="e">
        <f>IF(DataExtraction="Manual",SUMIF('[1]TrialBalance (YTD)'!$C:$C,B845,'[1]TrialBalance (YTD)'!$E:$E),SUMIF('[1]TrialBalance (YTD)'!$G:$G,B845,'[1]TrialBalance (YTD)'!$I:$I))</f>
        <v>#VALUE!</v>
      </c>
      <c r="G845" s="5">
        <f>IFERROR(INDEX('[1]TrialBalance (YTD)'!$G:$S,MATCH([1]TBMapping!$C847,'[1]TrialBalance (YTD)'!G:G,0),MATCH([1]TBMapping!H$3,'[1]TrialBalance (YTD)'!$G$7:$Z$7,0)),0)</f>
        <v>0</v>
      </c>
      <c r="H845" s="5" t="e">
        <f>SUMIF('[1]TrialBalance (YTD)'!G:G,B845,'[1]TrialBalance (YTD)'!H:H)</f>
        <v>#VALUE!</v>
      </c>
      <c r="I845" s="5">
        <f>IFERROR(INDEX('[1]TrialBalance (YTD)'!$G:$S,MATCH([1]TBMapping!$C847,'[1]TrialBalance (YTD)'!G:G,0),MATCH([1]TBMapping!J$3,'[1]TrialBalance (YTD)'!$G$7:$Z$7,0)),0)</f>
        <v>0</v>
      </c>
      <c r="K845" s="5" t="e">
        <f>SUMIF('[1]TrialBalance (Quarter)'!$A:$A,B845,'[1]TrialBalance (Quarter)'!$B:$B)</f>
        <v>#VALUE!</v>
      </c>
      <c r="L845" s="5">
        <f>IFERROR(INDEX('[1]TrialBalance (Quarter)'!$A:$L,MATCH([1]TBMapping!$C847,'[1]TrialBalance (Quarter)'!A:A,0),MATCH([1]TBMapping!M$3,'[1]TrialBalance (Quarter)'!$7:$7,0)),0)</f>
        <v>0</v>
      </c>
      <c r="M845" s="5">
        <f>IFERROR(INDEX('[1]TrialBalance (Quarter)'!$A:$L,MATCH([1]TBMapping!$C847,'[1]TrialBalance (Quarter)'!A:A,0),MATCH([1]TBMapping!N$3,'[1]TrialBalance (Quarter)'!$7:$7,0)),0)</f>
        <v>0</v>
      </c>
      <c r="N845" s="5">
        <f>IFERROR(INDEX('[1]TrialBalance (Quarter)'!$A:$L,MATCH([1]TBMapping!$C847,'[1]TrialBalance (Quarter)'!A:A,0),MATCH([1]TBMapping!O$3,'[1]TrialBalance (Quarter)'!$7:$7,0)),0)</f>
        <v>0</v>
      </c>
    </row>
    <row r="846" spans="1:14">
      <c r="A846" s="2">
        <v>12</v>
      </c>
      <c r="B846" s="3">
        <v>342100</v>
      </c>
      <c r="C846" s="11" t="s">
        <v>494</v>
      </c>
      <c r="D846" s="11" t="s">
        <v>11</v>
      </c>
      <c r="E846" s="11"/>
      <c r="F846" s="5" t="e">
        <f>IF(DataExtraction="Manual",SUMIF('[1]TrialBalance (YTD)'!$C:$C,B846,'[1]TrialBalance (YTD)'!$E:$E),SUMIF('[1]TrialBalance (YTD)'!$G:$G,B846,'[1]TrialBalance (YTD)'!$I:$I))</f>
        <v>#VALUE!</v>
      </c>
      <c r="G846" s="5">
        <f>IFERROR(INDEX('[1]TrialBalance (YTD)'!$G:$S,MATCH([1]TBMapping!$C848,'[1]TrialBalance (YTD)'!G:G,0),MATCH([1]TBMapping!H$3,'[1]TrialBalance (YTD)'!$G$7:$Z$7,0)),0)</f>
        <v>0</v>
      </c>
      <c r="H846" s="5" t="e">
        <f>SUMIF('[1]TrialBalance (YTD)'!G:G,B846,'[1]TrialBalance (YTD)'!H:H)</f>
        <v>#VALUE!</v>
      </c>
      <c r="I846" s="5">
        <f>IFERROR(INDEX('[1]TrialBalance (YTD)'!$G:$S,MATCH([1]TBMapping!$C848,'[1]TrialBalance (YTD)'!G:G,0),MATCH([1]TBMapping!J$3,'[1]TrialBalance (YTD)'!$G$7:$Z$7,0)),0)</f>
        <v>0</v>
      </c>
      <c r="K846" s="5" t="e">
        <f>SUMIF('[1]TrialBalance (Quarter)'!$A:$A,B846,'[1]TrialBalance (Quarter)'!$B:$B)</f>
        <v>#VALUE!</v>
      </c>
      <c r="L846" s="5">
        <f>IFERROR(INDEX('[1]TrialBalance (Quarter)'!$A:$L,MATCH([1]TBMapping!$C848,'[1]TrialBalance (Quarter)'!A:A,0),MATCH([1]TBMapping!M$3,'[1]TrialBalance (Quarter)'!$7:$7,0)),0)</f>
        <v>0</v>
      </c>
      <c r="M846" s="5">
        <f>IFERROR(INDEX('[1]TrialBalance (Quarter)'!$A:$L,MATCH([1]TBMapping!$C848,'[1]TrialBalance (Quarter)'!A:A,0),MATCH([1]TBMapping!N$3,'[1]TrialBalance (Quarter)'!$7:$7,0)),0)</f>
        <v>0</v>
      </c>
      <c r="N846" s="5">
        <f>IFERROR(INDEX('[1]TrialBalance (Quarter)'!$A:$L,MATCH([1]TBMapping!$C848,'[1]TrialBalance (Quarter)'!A:A,0),MATCH([1]TBMapping!O$3,'[1]TrialBalance (Quarter)'!$7:$7,0)),0)</f>
        <v>0</v>
      </c>
    </row>
    <row r="847" spans="1:14">
      <c r="A847" s="2">
        <v>12</v>
      </c>
      <c r="B847" s="3">
        <v>342135</v>
      </c>
      <c r="C847" s="10" t="s">
        <v>661</v>
      </c>
      <c r="D847" s="10" t="s">
        <v>11</v>
      </c>
      <c r="E847" s="10"/>
      <c r="F847" s="5" t="e">
        <f>IF(DataExtraction="Manual",SUMIF('[1]TrialBalance (YTD)'!$C:$C,B847,'[1]TrialBalance (YTD)'!$E:$E),SUMIF('[1]TrialBalance (YTD)'!$G:$G,B847,'[1]TrialBalance (YTD)'!$I:$I))</f>
        <v>#VALUE!</v>
      </c>
      <c r="G847" s="5">
        <f>IFERROR(INDEX('[1]TrialBalance (YTD)'!$G:$S,MATCH([1]TBMapping!$C849,'[1]TrialBalance (YTD)'!G:G,0),MATCH([1]TBMapping!H$3,'[1]TrialBalance (YTD)'!$G$7:$Z$7,0)),0)</f>
        <v>0</v>
      </c>
      <c r="H847" s="5" t="e">
        <f>SUMIF('[1]TrialBalance (YTD)'!G:G,B847,'[1]TrialBalance (YTD)'!H:H)</f>
        <v>#VALUE!</v>
      </c>
      <c r="I847" s="5">
        <f>IFERROR(INDEX('[1]TrialBalance (YTD)'!$G:$S,MATCH([1]TBMapping!$C849,'[1]TrialBalance (YTD)'!G:G,0),MATCH([1]TBMapping!J$3,'[1]TrialBalance (YTD)'!$G$7:$Z$7,0)),0)</f>
        <v>0</v>
      </c>
      <c r="K847" s="5" t="e">
        <f>SUMIF('[1]TrialBalance (Quarter)'!$A:$A,B847,'[1]TrialBalance (Quarter)'!$B:$B)</f>
        <v>#VALUE!</v>
      </c>
      <c r="L847" s="5">
        <f>IFERROR(INDEX('[1]TrialBalance (Quarter)'!$A:$L,MATCH([1]TBMapping!$C849,'[1]TrialBalance (Quarter)'!A:A,0),MATCH([1]TBMapping!M$3,'[1]TrialBalance (Quarter)'!$7:$7,0)),0)</f>
        <v>0</v>
      </c>
      <c r="M847" s="5">
        <f>IFERROR(INDEX('[1]TrialBalance (Quarter)'!$A:$L,MATCH([1]TBMapping!$C849,'[1]TrialBalance (Quarter)'!A:A,0),MATCH([1]TBMapping!N$3,'[1]TrialBalance (Quarter)'!$7:$7,0)),0)</f>
        <v>0</v>
      </c>
      <c r="N847" s="5">
        <f>IFERROR(INDEX('[1]TrialBalance (Quarter)'!$A:$L,MATCH([1]TBMapping!$C849,'[1]TrialBalance (Quarter)'!A:A,0),MATCH([1]TBMapping!O$3,'[1]TrialBalance (Quarter)'!$7:$7,0)),0)</f>
        <v>0</v>
      </c>
    </row>
    <row r="848" spans="1:14">
      <c r="A848" s="2">
        <v>12</v>
      </c>
      <c r="B848" s="3">
        <v>342150</v>
      </c>
      <c r="C848" s="11" t="s">
        <v>662</v>
      </c>
      <c r="D848" s="11" t="s">
        <v>11</v>
      </c>
      <c r="E848" s="11"/>
      <c r="F848" s="5" t="e">
        <f>IF(DataExtraction="Manual",SUMIF('[1]TrialBalance (YTD)'!$C:$C,B848,'[1]TrialBalance (YTD)'!$E:$E),SUMIF('[1]TrialBalance (YTD)'!$G:$G,B848,'[1]TrialBalance (YTD)'!$I:$I))</f>
        <v>#VALUE!</v>
      </c>
      <c r="G848" s="5">
        <f>IFERROR(INDEX('[1]TrialBalance (YTD)'!$G:$S,MATCH([1]TBMapping!$C850,'[1]TrialBalance (YTD)'!G:G,0),MATCH([1]TBMapping!H$3,'[1]TrialBalance (YTD)'!$G$7:$Z$7,0)),0)</f>
        <v>0</v>
      </c>
      <c r="H848" s="5" t="e">
        <f>SUMIF('[1]TrialBalance (YTD)'!G:G,B848,'[1]TrialBalance (YTD)'!H:H)</f>
        <v>#VALUE!</v>
      </c>
      <c r="I848" s="5">
        <f>IFERROR(INDEX('[1]TrialBalance (YTD)'!$G:$S,MATCH([1]TBMapping!$C850,'[1]TrialBalance (YTD)'!G:G,0),MATCH([1]TBMapping!J$3,'[1]TrialBalance (YTD)'!$G$7:$Z$7,0)),0)</f>
        <v>0</v>
      </c>
      <c r="K848" s="5" t="e">
        <f>SUMIF('[1]TrialBalance (Quarter)'!$A:$A,B848,'[1]TrialBalance (Quarter)'!$B:$B)</f>
        <v>#VALUE!</v>
      </c>
      <c r="L848" s="5">
        <f>IFERROR(INDEX('[1]TrialBalance (Quarter)'!$A:$L,MATCH([1]TBMapping!$C850,'[1]TrialBalance (Quarter)'!A:A,0),MATCH([1]TBMapping!M$3,'[1]TrialBalance (Quarter)'!$7:$7,0)),0)</f>
        <v>0</v>
      </c>
      <c r="M848" s="5">
        <f>IFERROR(INDEX('[1]TrialBalance (Quarter)'!$A:$L,MATCH([1]TBMapping!$C850,'[1]TrialBalance (Quarter)'!A:A,0),MATCH([1]TBMapping!N$3,'[1]TrialBalance (Quarter)'!$7:$7,0)),0)</f>
        <v>0</v>
      </c>
      <c r="N848" s="5">
        <f>IFERROR(INDEX('[1]TrialBalance (Quarter)'!$A:$L,MATCH([1]TBMapping!$C850,'[1]TrialBalance (Quarter)'!A:A,0),MATCH([1]TBMapping!O$3,'[1]TrialBalance (Quarter)'!$7:$7,0)),0)</f>
        <v>0</v>
      </c>
    </row>
    <row r="849" spans="1:14">
      <c r="A849" s="2">
        <v>12</v>
      </c>
      <c r="B849" s="3">
        <v>342160</v>
      </c>
      <c r="C849" s="10" t="s">
        <v>663</v>
      </c>
      <c r="D849" s="10" t="s">
        <v>11</v>
      </c>
      <c r="E849" s="10"/>
      <c r="F849" s="5" t="e">
        <f>IF(DataExtraction="Manual",SUMIF('[1]TrialBalance (YTD)'!$C:$C,B849,'[1]TrialBalance (YTD)'!$E:$E),SUMIF('[1]TrialBalance (YTD)'!$G:$G,B849,'[1]TrialBalance (YTD)'!$I:$I))</f>
        <v>#VALUE!</v>
      </c>
      <c r="G849" s="5">
        <f>IFERROR(INDEX('[1]TrialBalance (YTD)'!$G:$S,MATCH([1]TBMapping!$C851,'[1]TrialBalance (YTD)'!G:G,0),MATCH([1]TBMapping!H$3,'[1]TrialBalance (YTD)'!$G$7:$Z$7,0)),0)</f>
        <v>0</v>
      </c>
      <c r="H849" s="5" t="e">
        <f>SUMIF('[1]TrialBalance (YTD)'!G:G,B849,'[1]TrialBalance (YTD)'!H:H)</f>
        <v>#VALUE!</v>
      </c>
      <c r="I849" s="5">
        <f>IFERROR(INDEX('[1]TrialBalance (YTD)'!$G:$S,MATCH([1]TBMapping!$C851,'[1]TrialBalance (YTD)'!G:G,0),MATCH([1]TBMapping!J$3,'[1]TrialBalance (YTD)'!$G$7:$Z$7,0)),0)</f>
        <v>0</v>
      </c>
      <c r="K849" s="5" t="e">
        <f>SUMIF('[1]TrialBalance (Quarter)'!$A:$A,B849,'[1]TrialBalance (Quarter)'!$B:$B)</f>
        <v>#VALUE!</v>
      </c>
      <c r="L849" s="5">
        <f>IFERROR(INDEX('[1]TrialBalance (Quarter)'!$A:$L,MATCH([1]TBMapping!$C851,'[1]TrialBalance (Quarter)'!A:A,0),MATCH([1]TBMapping!M$3,'[1]TrialBalance (Quarter)'!$7:$7,0)),0)</f>
        <v>0</v>
      </c>
      <c r="M849" s="5">
        <f>IFERROR(INDEX('[1]TrialBalance (Quarter)'!$A:$L,MATCH([1]TBMapping!$C851,'[1]TrialBalance (Quarter)'!A:A,0),MATCH([1]TBMapping!N$3,'[1]TrialBalance (Quarter)'!$7:$7,0)),0)</f>
        <v>0</v>
      </c>
      <c r="N849" s="5">
        <f>IFERROR(INDEX('[1]TrialBalance (Quarter)'!$A:$L,MATCH([1]TBMapping!$C851,'[1]TrialBalance (Quarter)'!A:A,0),MATCH([1]TBMapping!O$3,'[1]TrialBalance (Quarter)'!$7:$7,0)),0)</f>
        <v>0</v>
      </c>
    </row>
    <row r="850" spans="1:14">
      <c r="A850" s="2">
        <v>12</v>
      </c>
      <c r="B850" s="3">
        <v>342200</v>
      </c>
      <c r="C850" s="11" t="s">
        <v>664</v>
      </c>
      <c r="D850" s="11" t="s">
        <v>11</v>
      </c>
      <c r="E850" s="11"/>
      <c r="F850" s="5" t="e">
        <f>IF(DataExtraction="Manual",SUMIF('[1]TrialBalance (YTD)'!$C:$C,B850,'[1]TrialBalance (YTD)'!$E:$E),SUMIF('[1]TrialBalance (YTD)'!$G:$G,B850,'[1]TrialBalance (YTD)'!$I:$I))</f>
        <v>#VALUE!</v>
      </c>
      <c r="G850" s="5">
        <f>IFERROR(INDEX('[1]TrialBalance (YTD)'!$G:$S,MATCH([1]TBMapping!$C852,'[1]TrialBalance (YTD)'!G:G,0),MATCH([1]TBMapping!H$3,'[1]TrialBalance (YTD)'!$G$7:$Z$7,0)),0)</f>
        <v>0</v>
      </c>
      <c r="H850" s="5" t="e">
        <f>SUMIF('[1]TrialBalance (YTD)'!G:G,B850,'[1]TrialBalance (YTD)'!H:H)</f>
        <v>#VALUE!</v>
      </c>
      <c r="I850" s="5">
        <f>IFERROR(INDEX('[1]TrialBalance (YTD)'!$G:$S,MATCH([1]TBMapping!$C852,'[1]TrialBalance (YTD)'!G:G,0),MATCH([1]TBMapping!J$3,'[1]TrialBalance (YTD)'!$G$7:$Z$7,0)),0)</f>
        <v>0</v>
      </c>
      <c r="K850" s="5" t="e">
        <f>SUMIF('[1]TrialBalance (Quarter)'!$A:$A,B850,'[1]TrialBalance (Quarter)'!$B:$B)</f>
        <v>#VALUE!</v>
      </c>
      <c r="L850" s="5">
        <f>IFERROR(INDEX('[1]TrialBalance (Quarter)'!$A:$L,MATCH([1]TBMapping!$C852,'[1]TrialBalance (Quarter)'!A:A,0),MATCH([1]TBMapping!M$3,'[1]TrialBalance (Quarter)'!$7:$7,0)),0)</f>
        <v>0</v>
      </c>
      <c r="M850" s="5">
        <f>IFERROR(INDEX('[1]TrialBalance (Quarter)'!$A:$L,MATCH([1]TBMapping!$C852,'[1]TrialBalance (Quarter)'!A:A,0),MATCH([1]TBMapping!N$3,'[1]TrialBalance (Quarter)'!$7:$7,0)),0)</f>
        <v>0</v>
      </c>
      <c r="N850" s="5">
        <f>IFERROR(INDEX('[1]TrialBalance (Quarter)'!$A:$L,MATCH([1]TBMapping!$C852,'[1]TrialBalance (Quarter)'!A:A,0),MATCH([1]TBMapping!O$3,'[1]TrialBalance (Quarter)'!$7:$7,0)),0)</f>
        <v>0</v>
      </c>
    </row>
    <row r="851" spans="1:14">
      <c r="A851" s="2">
        <v>12</v>
      </c>
      <c r="B851" s="3">
        <v>342300</v>
      </c>
      <c r="C851" s="10" t="s">
        <v>495</v>
      </c>
      <c r="D851" s="10" t="s">
        <v>11</v>
      </c>
      <c r="E851" s="10"/>
      <c r="F851" s="5" t="e">
        <f>IF(DataExtraction="Manual",SUMIF('[1]TrialBalance (YTD)'!$C:$C,B851,'[1]TrialBalance (YTD)'!$E:$E),SUMIF('[1]TrialBalance (YTD)'!$G:$G,B851,'[1]TrialBalance (YTD)'!$I:$I))</f>
        <v>#VALUE!</v>
      </c>
      <c r="G851" s="5">
        <f>IFERROR(INDEX('[1]TrialBalance (YTD)'!$G:$S,MATCH([1]TBMapping!$C853,'[1]TrialBalance (YTD)'!G:G,0),MATCH([1]TBMapping!H$3,'[1]TrialBalance (YTD)'!$G$7:$Z$7,0)),0)</f>
        <v>0</v>
      </c>
      <c r="H851" s="5" t="e">
        <f>SUMIF('[1]TrialBalance (YTD)'!G:G,B851,'[1]TrialBalance (YTD)'!H:H)</f>
        <v>#VALUE!</v>
      </c>
      <c r="I851" s="5">
        <f>IFERROR(INDEX('[1]TrialBalance (YTD)'!$G:$S,MATCH([1]TBMapping!$C853,'[1]TrialBalance (YTD)'!G:G,0),MATCH([1]TBMapping!J$3,'[1]TrialBalance (YTD)'!$G$7:$Z$7,0)),0)</f>
        <v>0</v>
      </c>
      <c r="K851" s="5" t="e">
        <f>SUMIF('[1]TrialBalance (Quarter)'!$A:$A,B851,'[1]TrialBalance (Quarter)'!$B:$B)</f>
        <v>#VALUE!</v>
      </c>
      <c r="L851" s="5">
        <f>IFERROR(INDEX('[1]TrialBalance (Quarter)'!$A:$L,MATCH([1]TBMapping!$C853,'[1]TrialBalance (Quarter)'!A:A,0),MATCH([1]TBMapping!M$3,'[1]TrialBalance (Quarter)'!$7:$7,0)),0)</f>
        <v>0</v>
      </c>
      <c r="M851" s="5">
        <f>IFERROR(INDEX('[1]TrialBalance (Quarter)'!$A:$L,MATCH([1]TBMapping!$C853,'[1]TrialBalance (Quarter)'!A:A,0),MATCH([1]TBMapping!N$3,'[1]TrialBalance (Quarter)'!$7:$7,0)),0)</f>
        <v>0</v>
      </c>
      <c r="N851" s="5">
        <f>IFERROR(INDEX('[1]TrialBalance (Quarter)'!$A:$L,MATCH([1]TBMapping!$C853,'[1]TrialBalance (Quarter)'!A:A,0),MATCH([1]TBMapping!O$3,'[1]TrialBalance (Quarter)'!$7:$7,0)),0)</f>
        <v>0</v>
      </c>
    </row>
    <row r="852" spans="1:14">
      <c r="B852" s="3">
        <v>349999</v>
      </c>
      <c r="C852" s="11" t="s">
        <v>665</v>
      </c>
      <c r="D852" s="11" t="s">
        <v>16</v>
      </c>
      <c r="E852" s="11"/>
      <c r="F852" s="5" t="e">
        <f>IF(DataExtraction="Manual",SUMIF('[1]TrialBalance (YTD)'!$C:$C,B852,'[1]TrialBalance (YTD)'!$E:$E),SUMIF('[1]TrialBalance (YTD)'!$G:$G,B852,'[1]TrialBalance (YTD)'!$I:$I))</f>
        <v>#VALUE!</v>
      </c>
      <c r="G852" s="5">
        <f>IFERROR(INDEX('[1]TrialBalance (YTD)'!$G:$S,MATCH([1]TBMapping!$C854,'[1]TrialBalance (YTD)'!G:G,0),MATCH([1]TBMapping!H$3,'[1]TrialBalance (YTD)'!$G$7:$Z$7,0)),0)</f>
        <v>0</v>
      </c>
      <c r="H852" s="5" t="e">
        <f>SUMIF('[1]TrialBalance (YTD)'!G:G,B852,'[1]TrialBalance (YTD)'!H:H)</f>
        <v>#VALUE!</v>
      </c>
      <c r="I852" s="5">
        <f>IFERROR(INDEX('[1]TrialBalance (YTD)'!$G:$S,MATCH([1]TBMapping!$C854,'[1]TrialBalance (YTD)'!G:G,0),MATCH([1]TBMapping!J$3,'[1]TrialBalance (YTD)'!$G$7:$Z$7,0)),0)</f>
        <v>0</v>
      </c>
      <c r="K852" s="5" t="e">
        <f>SUMIF('[1]TrialBalance (Quarter)'!$A:$A,B852,'[1]TrialBalance (Quarter)'!$B:$B)</f>
        <v>#VALUE!</v>
      </c>
      <c r="L852" s="5">
        <f>IFERROR(INDEX('[1]TrialBalance (Quarter)'!$A:$L,MATCH([1]TBMapping!$C854,'[1]TrialBalance (Quarter)'!A:A,0),MATCH([1]TBMapping!M$3,'[1]TrialBalance (Quarter)'!$7:$7,0)),0)</f>
        <v>0</v>
      </c>
      <c r="M852" s="5">
        <f>IFERROR(INDEX('[1]TrialBalance (Quarter)'!$A:$L,MATCH([1]TBMapping!$C854,'[1]TrialBalance (Quarter)'!A:A,0),MATCH([1]TBMapping!N$3,'[1]TrialBalance (Quarter)'!$7:$7,0)),0)</f>
        <v>0</v>
      </c>
      <c r="N852" s="5">
        <f>IFERROR(INDEX('[1]TrialBalance (Quarter)'!$A:$L,MATCH([1]TBMapping!$C854,'[1]TrialBalance (Quarter)'!A:A,0),MATCH([1]TBMapping!O$3,'[1]TrialBalance (Quarter)'!$7:$7,0)),0)</f>
        <v>0</v>
      </c>
    </row>
    <row r="853" spans="1:14">
      <c r="B853" s="3">
        <v>350000</v>
      </c>
      <c r="C853" s="10" t="s">
        <v>666</v>
      </c>
      <c r="D853" s="10" t="s">
        <v>5</v>
      </c>
      <c r="E853" s="10"/>
      <c r="F853" s="5" t="e">
        <f>IF(DataExtraction="Manual",SUMIF('[1]TrialBalance (YTD)'!$C:$C,B853,'[1]TrialBalance (YTD)'!$E:$E),SUMIF('[1]TrialBalance (YTD)'!$G:$G,B853,'[1]TrialBalance (YTD)'!$I:$I))</f>
        <v>#VALUE!</v>
      </c>
      <c r="G853" s="5">
        <f>IFERROR(INDEX('[1]TrialBalance (YTD)'!$G:$S,MATCH([1]TBMapping!$C855,'[1]TrialBalance (YTD)'!G:G,0),MATCH([1]TBMapping!H$3,'[1]TrialBalance (YTD)'!$G$7:$Z$7,0)),0)</f>
        <v>0</v>
      </c>
      <c r="H853" s="5" t="e">
        <f>SUMIF('[1]TrialBalance (YTD)'!G:G,B853,'[1]TrialBalance (YTD)'!H:H)</f>
        <v>#VALUE!</v>
      </c>
      <c r="I853" s="5">
        <f>IFERROR(INDEX('[1]TrialBalance (YTD)'!$G:$S,MATCH([1]TBMapping!$C855,'[1]TrialBalance (YTD)'!G:G,0),MATCH([1]TBMapping!J$3,'[1]TrialBalance (YTD)'!$G$7:$Z$7,0)),0)</f>
        <v>0</v>
      </c>
      <c r="K853" s="5" t="e">
        <f>SUMIF('[1]TrialBalance (Quarter)'!$A:$A,B853,'[1]TrialBalance (Quarter)'!$B:$B)</f>
        <v>#VALUE!</v>
      </c>
      <c r="L853" s="5">
        <f>IFERROR(INDEX('[1]TrialBalance (Quarter)'!$A:$L,MATCH([1]TBMapping!$C855,'[1]TrialBalance (Quarter)'!A:A,0),MATCH([1]TBMapping!M$3,'[1]TrialBalance (Quarter)'!$7:$7,0)),0)</f>
        <v>0</v>
      </c>
      <c r="M853" s="5">
        <f>IFERROR(INDEX('[1]TrialBalance (Quarter)'!$A:$L,MATCH([1]TBMapping!$C855,'[1]TrialBalance (Quarter)'!A:A,0),MATCH([1]TBMapping!N$3,'[1]TrialBalance (Quarter)'!$7:$7,0)),0)</f>
        <v>0</v>
      </c>
      <c r="N853" s="5">
        <f>IFERROR(INDEX('[1]TrialBalance (Quarter)'!$A:$L,MATCH([1]TBMapping!$C855,'[1]TrialBalance (Quarter)'!A:A,0),MATCH([1]TBMapping!O$3,'[1]TrialBalance (Quarter)'!$7:$7,0)),0)</f>
        <v>0</v>
      </c>
    </row>
    <row r="854" spans="1:14">
      <c r="A854" s="2">
        <v>16</v>
      </c>
      <c r="B854" s="3">
        <v>351000</v>
      </c>
      <c r="C854" s="11" t="s">
        <v>667</v>
      </c>
      <c r="D854" s="11" t="s">
        <v>11</v>
      </c>
      <c r="E854" s="11"/>
      <c r="F854" s="5" t="e">
        <f>IF(DataExtraction="Manual",SUMIF('[1]TrialBalance (YTD)'!$C:$C,B854,'[1]TrialBalance (YTD)'!$E:$E),SUMIF('[1]TrialBalance (YTD)'!$G:$G,B854,'[1]TrialBalance (YTD)'!$I:$I))</f>
        <v>#VALUE!</v>
      </c>
      <c r="G854" s="5">
        <f>IFERROR(INDEX('[1]TrialBalance (YTD)'!$G:$S,MATCH([1]TBMapping!$C856,'[1]TrialBalance (YTD)'!G:G,0),MATCH([1]TBMapping!H$3,'[1]TrialBalance (YTD)'!$G$7:$Z$7,0)),0)</f>
        <v>0</v>
      </c>
      <c r="H854" s="5" t="e">
        <f>SUMIF('[1]TrialBalance (YTD)'!G:G,B854,'[1]TrialBalance (YTD)'!H:H)</f>
        <v>#VALUE!</v>
      </c>
      <c r="I854" s="5">
        <f>IFERROR(INDEX('[1]TrialBalance (YTD)'!$G:$S,MATCH([1]TBMapping!$C856,'[1]TrialBalance (YTD)'!G:G,0),MATCH([1]TBMapping!J$3,'[1]TrialBalance (YTD)'!$G$7:$Z$7,0)),0)</f>
        <v>0</v>
      </c>
      <c r="K854" s="5" t="e">
        <f>SUMIF('[1]TrialBalance (Quarter)'!$A:$A,B854,'[1]TrialBalance (Quarter)'!$B:$B)</f>
        <v>#VALUE!</v>
      </c>
      <c r="L854" s="5">
        <f>IFERROR(INDEX('[1]TrialBalance (Quarter)'!$A:$L,MATCH([1]TBMapping!$C856,'[1]TrialBalance (Quarter)'!A:A,0),MATCH([1]TBMapping!M$3,'[1]TrialBalance (Quarter)'!$7:$7,0)),0)</f>
        <v>0</v>
      </c>
      <c r="M854" s="5">
        <f>IFERROR(INDEX('[1]TrialBalance (Quarter)'!$A:$L,MATCH([1]TBMapping!$C856,'[1]TrialBalance (Quarter)'!A:A,0),MATCH([1]TBMapping!N$3,'[1]TrialBalance (Quarter)'!$7:$7,0)),0)</f>
        <v>0</v>
      </c>
      <c r="N854" s="5">
        <f>IFERROR(INDEX('[1]TrialBalance (Quarter)'!$A:$L,MATCH([1]TBMapping!$C856,'[1]TrialBalance (Quarter)'!A:A,0),MATCH([1]TBMapping!O$3,'[1]TrialBalance (Quarter)'!$7:$7,0)),0)</f>
        <v>0</v>
      </c>
    </row>
    <row r="855" spans="1:14">
      <c r="A855" s="2">
        <v>16</v>
      </c>
      <c r="B855" s="3">
        <v>351010</v>
      </c>
      <c r="C855" s="10" t="s">
        <v>668</v>
      </c>
      <c r="D855" s="10" t="s">
        <v>11</v>
      </c>
      <c r="E855" s="10"/>
      <c r="F855" s="5" t="e">
        <f>IF(DataExtraction="Manual",SUMIF('[1]TrialBalance (YTD)'!$C:$C,B855,'[1]TrialBalance (YTD)'!$E:$E),SUMIF('[1]TrialBalance (YTD)'!$G:$G,B855,'[1]TrialBalance (YTD)'!$I:$I))</f>
        <v>#VALUE!</v>
      </c>
      <c r="G855" s="5">
        <f>IFERROR(INDEX('[1]TrialBalance (YTD)'!$G:$S,MATCH([1]TBMapping!$C857,'[1]TrialBalance (YTD)'!G:G,0),MATCH([1]TBMapping!H$3,'[1]TrialBalance (YTD)'!$G$7:$Z$7,0)),0)</f>
        <v>0</v>
      </c>
      <c r="H855" s="5" t="e">
        <f>SUMIF('[1]TrialBalance (YTD)'!G:G,B855,'[1]TrialBalance (YTD)'!H:H)</f>
        <v>#VALUE!</v>
      </c>
      <c r="I855" s="5">
        <f>IFERROR(INDEX('[1]TrialBalance (YTD)'!$G:$S,MATCH([1]TBMapping!$C857,'[1]TrialBalance (YTD)'!G:G,0),MATCH([1]TBMapping!J$3,'[1]TrialBalance (YTD)'!$G$7:$Z$7,0)),0)</f>
        <v>0</v>
      </c>
      <c r="K855" s="5" t="e">
        <f>SUMIF('[1]TrialBalance (Quarter)'!$A:$A,B855,'[1]TrialBalance (Quarter)'!$B:$B)</f>
        <v>#VALUE!</v>
      </c>
      <c r="L855" s="5">
        <f>IFERROR(INDEX('[1]TrialBalance (Quarter)'!$A:$L,MATCH([1]TBMapping!$C857,'[1]TrialBalance (Quarter)'!A:A,0),MATCH([1]TBMapping!M$3,'[1]TrialBalance (Quarter)'!$7:$7,0)),0)</f>
        <v>0</v>
      </c>
      <c r="M855" s="5">
        <f>IFERROR(INDEX('[1]TrialBalance (Quarter)'!$A:$L,MATCH([1]TBMapping!$C857,'[1]TrialBalance (Quarter)'!A:A,0),MATCH([1]TBMapping!N$3,'[1]TrialBalance (Quarter)'!$7:$7,0)),0)</f>
        <v>0</v>
      </c>
      <c r="N855" s="5">
        <f>IFERROR(INDEX('[1]TrialBalance (Quarter)'!$A:$L,MATCH([1]TBMapping!$C857,'[1]TrialBalance (Quarter)'!A:A,0),MATCH([1]TBMapping!O$3,'[1]TrialBalance (Quarter)'!$7:$7,0)),0)</f>
        <v>0</v>
      </c>
    </row>
    <row r="856" spans="1:14">
      <c r="A856" s="2">
        <v>16</v>
      </c>
      <c r="B856" s="3">
        <v>351020</v>
      </c>
      <c r="C856" s="11" t="s">
        <v>669</v>
      </c>
      <c r="D856" s="11" t="s">
        <v>11</v>
      </c>
      <c r="E856" s="11"/>
      <c r="F856" s="5" t="e">
        <f>IF(DataExtraction="Manual",SUMIF('[1]TrialBalance (YTD)'!$C:$C,B856,'[1]TrialBalance (YTD)'!$E:$E),SUMIF('[1]TrialBalance (YTD)'!$G:$G,B856,'[1]TrialBalance (YTD)'!$I:$I))</f>
        <v>#VALUE!</v>
      </c>
      <c r="G856" s="5">
        <f>IFERROR(INDEX('[1]TrialBalance (YTD)'!$G:$S,MATCH([1]TBMapping!$C858,'[1]TrialBalance (YTD)'!G:G,0),MATCH([1]TBMapping!H$3,'[1]TrialBalance (YTD)'!$G$7:$Z$7,0)),0)</f>
        <v>0</v>
      </c>
      <c r="H856" s="5" t="e">
        <f>SUMIF('[1]TrialBalance (YTD)'!G:G,B856,'[1]TrialBalance (YTD)'!H:H)</f>
        <v>#VALUE!</v>
      </c>
      <c r="I856" s="5">
        <f>IFERROR(INDEX('[1]TrialBalance (YTD)'!$G:$S,MATCH([1]TBMapping!$C858,'[1]TrialBalance (YTD)'!G:G,0),MATCH([1]TBMapping!J$3,'[1]TrialBalance (YTD)'!$G$7:$Z$7,0)),0)</f>
        <v>0</v>
      </c>
      <c r="K856" s="5" t="e">
        <f>SUMIF('[1]TrialBalance (Quarter)'!$A:$A,B856,'[1]TrialBalance (Quarter)'!$B:$B)</f>
        <v>#VALUE!</v>
      </c>
      <c r="L856" s="5">
        <f>IFERROR(INDEX('[1]TrialBalance (Quarter)'!$A:$L,MATCH([1]TBMapping!$C858,'[1]TrialBalance (Quarter)'!A:A,0),MATCH([1]TBMapping!M$3,'[1]TrialBalance (Quarter)'!$7:$7,0)),0)</f>
        <v>0</v>
      </c>
      <c r="M856" s="5">
        <f>IFERROR(INDEX('[1]TrialBalance (Quarter)'!$A:$L,MATCH([1]TBMapping!$C858,'[1]TrialBalance (Quarter)'!A:A,0),MATCH([1]TBMapping!N$3,'[1]TrialBalance (Quarter)'!$7:$7,0)),0)</f>
        <v>0</v>
      </c>
      <c r="N856" s="5">
        <f>IFERROR(INDEX('[1]TrialBalance (Quarter)'!$A:$L,MATCH([1]TBMapping!$C858,'[1]TrialBalance (Quarter)'!A:A,0),MATCH([1]TBMapping!O$3,'[1]TrialBalance (Quarter)'!$7:$7,0)),0)</f>
        <v>0</v>
      </c>
    </row>
    <row r="857" spans="1:14">
      <c r="A857" s="2">
        <v>16</v>
      </c>
      <c r="B857" s="3">
        <v>351030</v>
      </c>
      <c r="C857" s="10" t="s">
        <v>670</v>
      </c>
      <c r="D857" s="10" t="s">
        <v>11</v>
      </c>
      <c r="E857" s="10"/>
      <c r="F857" s="5" t="e">
        <f>IF(DataExtraction="Manual",SUMIF('[1]TrialBalance (YTD)'!$C:$C,B857,'[1]TrialBalance (YTD)'!$E:$E),SUMIF('[1]TrialBalance (YTD)'!$G:$G,B857,'[1]TrialBalance (YTD)'!$I:$I))</f>
        <v>#VALUE!</v>
      </c>
      <c r="G857" s="5">
        <f>IFERROR(INDEX('[1]TrialBalance (YTD)'!$G:$S,MATCH([1]TBMapping!$C859,'[1]TrialBalance (YTD)'!G:G,0),MATCH([1]TBMapping!H$3,'[1]TrialBalance (YTD)'!$G$7:$Z$7,0)),0)</f>
        <v>0</v>
      </c>
      <c r="H857" s="5" t="e">
        <f>SUMIF('[1]TrialBalance (YTD)'!G:G,B857,'[1]TrialBalance (YTD)'!H:H)</f>
        <v>#VALUE!</v>
      </c>
      <c r="I857" s="5">
        <f>IFERROR(INDEX('[1]TrialBalance (YTD)'!$G:$S,MATCH([1]TBMapping!$C859,'[1]TrialBalance (YTD)'!G:G,0),MATCH([1]TBMapping!J$3,'[1]TrialBalance (YTD)'!$G$7:$Z$7,0)),0)</f>
        <v>0</v>
      </c>
      <c r="K857" s="5" t="e">
        <f>SUMIF('[1]TrialBalance (Quarter)'!$A:$A,B857,'[1]TrialBalance (Quarter)'!$B:$B)</f>
        <v>#VALUE!</v>
      </c>
      <c r="L857" s="5">
        <f>IFERROR(INDEX('[1]TrialBalance (Quarter)'!$A:$L,MATCH([1]TBMapping!$C859,'[1]TrialBalance (Quarter)'!A:A,0),MATCH([1]TBMapping!M$3,'[1]TrialBalance (Quarter)'!$7:$7,0)),0)</f>
        <v>0</v>
      </c>
      <c r="M857" s="5">
        <f>IFERROR(INDEX('[1]TrialBalance (Quarter)'!$A:$L,MATCH([1]TBMapping!$C859,'[1]TrialBalance (Quarter)'!A:A,0),MATCH([1]TBMapping!N$3,'[1]TrialBalance (Quarter)'!$7:$7,0)),0)</f>
        <v>0</v>
      </c>
      <c r="N857" s="5">
        <f>IFERROR(INDEX('[1]TrialBalance (Quarter)'!$A:$L,MATCH([1]TBMapping!$C859,'[1]TrialBalance (Quarter)'!A:A,0),MATCH([1]TBMapping!O$3,'[1]TrialBalance (Quarter)'!$7:$7,0)),0)</f>
        <v>0</v>
      </c>
    </row>
    <row r="858" spans="1:14">
      <c r="B858" s="3">
        <v>352000</v>
      </c>
      <c r="C858" s="11" t="s">
        <v>671</v>
      </c>
      <c r="D858" s="11" t="s">
        <v>11</v>
      </c>
      <c r="E858" s="11"/>
      <c r="F858" s="5" t="e">
        <f>IF(DataExtraction="Manual",SUMIF('[1]TrialBalance (YTD)'!$C:$C,B858,'[1]TrialBalance (YTD)'!$E:$E),SUMIF('[1]TrialBalance (YTD)'!$G:$G,B858,'[1]TrialBalance (YTD)'!$I:$I))</f>
        <v>#VALUE!</v>
      </c>
      <c r="G858" s="5">
        <f>IFERROR(INDEX('[1]TrialBalance (YTD)'!$G:$S,MATCH([1]TBMapping!$C860,'[1]TrialBalance (YTD)'!G:G,0),MATCH([1]TBMapping!H$3,'[1]TrialBalance (YTD)'!$G$7:$Z$7,0)),0)</f>
        <v>0</v>
      </c>
      <c r="H858" s="5" t="e">
        <f>SUMIF('[1]TrialBalance (YTD)'!G:G,B858,'[1]TrialBalance (YTD)'!H:H)</f>
        <v>#VALUE!</v>
      </c>
      <c r="I858" s="5">
        <f>IFERROR(INDEX('[1]TrialBalance (YTD)'!$G:$S,MATCH([1]TBMapping!$C860,'[1]TrialBalance (YTD)'!G:G,0),MATCH([1]TBMapping!J$3,'[1]TrialBalance (YTD)'!$G$7:$Z$7,0)),0)</f>
        <v>0</v>
      </c>
      <c r="K858" s="5" t="e">
        <f>SUMIF('[1]TrialBalance (Quarter)'!$A:$A,B858,'[1]TrialBalance (Quarter)'!$B:$B)</f>
        <v>#VALUE!</v>
      </c>
      <c r="L858" s="5">
        <f>IFERROR(INDEX('[1]TrialBalance (Quarter)'!$A:$L,MATCH([1]TBMapping!$C860,'[1]TrialBalance (Quarter)'!A:A,0),MATCH([1]TBMapping!M$3,'[1]TrialBalance (Quarter)'!$7:$7,0)),0)</f>
        <v>0</v>
      </c>
      <c r="M858" s="5">
        <f>IFERROR(INDEX('[1]TrialBalance (Quarter)'!$A:$L,MATCH([1]TBMapping!$C860,'[1]TrialBalance (Quarter)'!A:A,0),MATCH([1]TBMapping!N$3,'[1]TrialBalance (Quarter)'!$7:$7,0)),0)</f>
        <v>0</v>
      </c>
      <c r="N858" s="5">
        <f>IFERROR(INDEX('[1]TrialBalance (Quarter)'!$A:$L,MATCH([1]TBMapping!$C860,'[1]TrialBalance (Quarter)'!A:A,0),MATCH([1]TBMapping!O$3,'[1]TrialBalance (Quarter)'!$7:$7,0)),0)</f>
        <v>0</v>
      </c>
    </row>
    <row r="859" spans="1:14">
      <c r="A859" s="2">
        <v>16</v>
      </c>
      <c r="B859" s="3">
        <v>353000</v>
      </c>
      <c r="C859" s="10" t="s">
        <v>672</v>
      </c>
      <c r="D859" s="10" t="s">
        <v>11</v>
      </c>
      <c r="E859" s="10"/>
      <c r="F859" s="5" t="e">
        <f>IF(DataExtraction="Manual",SUMIF('[1]TrialBalance (YTD)'!$C:$C,B859,'[1]TrialBalance (YTD)'!$E:$E),SUMIF('[1]TrialBalance (YTD)'!$G:$G,B859,'[1]TrialBalance (YTD)'!$I:$I))</f>
        <v>#VALUE!</v>
      </c>
      <c r="G859" s="5">
        <f>IFERROR(INDEX('[1]TrialBalance (YTD)'!$G:$S,MATCH([1]TBMapping!$C861,'[1]TrialBalance (YTD)'!G:G,0),MATCH([1]TBMapping!H$3,'[1]TrialBalance (YTD)'!$G$7:$Z$7,0)),0)</f>
        <v>0</v>
      </c>
      <c r="H859" s="5" t="e">
        <f>SUMIF('[1]TrialBalance (YTD)'!G:G,B859,'[1]TrialBalance (YTD)'!H:H)</f>
        <v>#VALUE!</v>
      </c>
      <c r="I859" s="5">
        <f>IFERROR(INDEX('[1]TrialBalance (YTD)'!$G:$S,MATCH([1]TBMapping!$C861,'[1]TrialBalance (YTD)'!G:G,0),MATCH([1]TBMapping!J$3,'[1]TrialBalance (YTD)'!$G$7:$Z$7,0)),0)</f>
        <v>0</v>
      </c>
      <c r="K859" s="5" t="e">
        <f>SUMIF('[1]TrialBalance (Quarter)'!$A:$A,B859,'[1]TrialBalance (Quarter)'!$B:$B)</f>
        <v>#VALUE!</v>
      </c>
      <c r="L859" s="5">
        <f>IFERROR(INDEX('[1]TrialBalance (Quarter)'!$A:$L,MATCH([1]TBMapping!$C861,'[1]TrialBalance (Quarter)'!A:A,0),MATCH([1]TBMapping!M$3,'[1]TrialBalance (Quarter)'!$7:$7,0)),0)</f>
        <v>0</v>
      </c>
      <c r="M859" s="5">
        <f>IFERROR(INDEX('[1]TrialBalance (Quarter)'!$A:$L,MATCH([1]TBMapping!$C861,'[1]TrialBalance (Quarter)'!A:A,0),MATCH([1]TBMapping!N$3,'[1]TrialBalance (Quarter)'!$7:$7,0)),0)</f>
        <v>0</v>
      </c>
      <c r="N859" s="5">
        <f>IFERROR(INDEX('[1]TrialBalance (Quarter)'!$A:$L,MATCH([1]TBMapping!$C861,'[1]TrialBalance (Quarter)'!A:A,0),MATCH([1]TBMapping!O$3,'[1]TrialBalance (Quarter)'!$7:$7,0)),0)</f>
        <v>0</v>
      </c>
    </row>
    <row r="860" spans="1:14">
      <c r="A860" s="2">
        <v>16</v>
      </c>
      <c r="B860" s="3">
        <v>353340</v>
      </c>
      <c r="C860" s="11" t="s">
        <v>673</v>
      </c>
      <c r="D860" s="11" t="s">
        <v>11</v>
      </c>
      <c r="E860" s="11"/>
      <c r="F860" s="5" t="e">
        <f>IF(DataExtraction="Manual",SUMIF('[1]TrialBalance (YTD)'!$C:$C,B860,'[1]TrialBalance (YTD)'!$E:$E),SUMIF('[1]TrialBalance (YTD)'!$G:$G,B860,'[1]TrialBalance (YTD)'!$I:$I))</f>
        <v>#VALUE!</v>
      </c>
      <c r="G860" s="5">
        <f>IFERROR(INDEX('[1]TrialBalance (YTD)'!$G:$S,MATCH([1]TBMapping!$C862,'[1]TrialBalance (YTD)'!G:G,0),MATCH([1]TBMapping!H$3,'[1]TrialBalance (YTD)'!$G$7:$Z$7,0)),0)</f>
        <v>0</v>
      </c>
      <c r="H860" s="5" t="e">
        <f>SUMIF('[1]TrialBalance (YTD)'!G:G,B860,'[1]TrialBalance (YTD)'!H:H)</f>
        <v>#VALUE!</v>
      </c>
      <c r="I860" s="5">
        <f>IFERROR(INDEX('[1]TrialBalance (YTD)'!$G:$S,MATCH([1]TBMapping!$C862,'[1]TrialBalance (YTD)'!G:G,0),MATCH([1]TBMapping!J$3,'[1]TrialBalance (YTD)'!$G$7:$Z$7,0)),0)</f>
        <v>0</v>
      </c>
      <c r="K860" s="5" t="e">
        <f>SUMIF('[1]TrialBalance (Quarter)'!$A:$A,B860,'[1]TrialBalance (Quarter)'!$B:$B)</f>
        <v>#VALUE!</v>
      </c>
      <c r="L860" s="5">
        <f>IFERROR(INDEX('[1]TrialBalance (Quarter)'!$A:$L,MATCH([1]TBMapping!$C862,'[1]TrialBalance (Quarter)'!A:A,0),MATCH([1]TBMapping!M$3,'[1]TrialBalance (Quarter)'!$7:$7,0)),0)</f>
        <v>0</v>
      </c>
      <c r="M860" s="5">
        <f>IFERROR(INDEX('[1]TrialBalance (Quarter)'!$A:$L,MATCH([1]TBMapping!$C862,'[1]TrialBalance (Quarter)'!A:A,0),MATCH([1]TBMapping!N$3,'[1]TrialBalance (Quarter)'!$7:$7,0)),0)</f>
        <v>0</v>
      </c>
      <c r="N860" s="5">
        <f>IFERROR(INDEX('[1]TrialBalance (Quarter)'!$A:$L,MATCH([1]TBMapping!$C862,'[1]TrialBalance (Quarter)'!A:A,0),MATCH([1]TBMapping!O$3,'[1]TrialBalance (Quarter)'!$7:$7,0)),0)</f>
        <v>0</v>
      </c>
    </row>
    <row r="861" spans="1:14">
      <c r="A861" s="2">
        <v>16</v>
      </c>
      <c r="B861" s="3">
        <v>353350</v>
      </c>
      <c r="C861" s="10" t="s">
        <v>674</v>
      </c>
      <c r="D861" s="10" t="s">
        <v>11</v>
      </c>
      <c r="E861" s="10"/>
      <c r="F861" s="5" t="e">
        <f>IF(DataExtraction="Manual",SUMIF('[1]TrialBalance (YTD)'!$C:$C,B861,'[1]TrialBalance (YTD)'!$E:$E),SUMIF('[1]TrialBalance (YTD)'!$G:$G,B861,'[1]TrialBalance (YTD)'!$I:$I))</f>
        <v>#VALUE!</v>
      </c>
      <c r="G861" s="5">
        <f>IFERROR(INDEX('[1]TrialBalance (YTD)'!$G:$S,MATCH([1]TBMapping!$C863,'[1]TrialBalance (YTD)'!G:G,0),MATCH([1]TBMapping!H$3,'[1]TrialBalance (YTD)'!$G$7:$Z$7,0)),0)</f>
        <v>0</v>
      </c>
      <c r="H861" s="5" t="e">
        <f>SUMIF('[1]TrialBalance (YTD)'!G:G,B861,'[1]TrialBalance (YTD)'!H:H)</f>
        <v>#VALUE!</v>
      </c>
      <c r="I861" s="5">
        <f>IFERROR(INDEX('[1]TrialBalance (YTD)'!$G:$S,MATCH([1]TBMapping!$C863,'[1]TrialBalance (YTD)'!G:G,0),MATCH([1]TBMapping!J$3,'[1]TrialBalance (YTD)'!$G$7:$Z$7,0)),0)</f>
        <v>0</v>
      </c>
      <c r="K861" s="5" t="e">
        <f>SUMIF('[1]TrialBalance (Quarter)'!$A:$A,B861,'[1]TrialBalance (Quarter)'!$B:$B)</f>
        <v>#VALUE!</v>
      </c>
      <c r="L861" s="5">
        <f>IFERROR(INDEX('[1]TrialBalance (Quarter)'!$A:$L,MATCH([1]TBMapping!$C863,'[1]TrialBalance (Quarter)'!A:A,0),MATCH([1]TBMapping!M$3,'[1]TrialBalance (Quarter)'!$7:$7,0)),0)</f>
        <v>0</v>
      </c>
      <c r="M861" s="5">
        <f>IFERROR(INDEX('[1]TrialBalance (Quarter)'!$A:$L,MATCH([1]TBMapping!$C863,'[1]TrialBalance (Quarter)'!A:A,0),MATCH([1]TBMapping!N$3,'[1]TrialBalance (Quarter)'!$7:$7,0)),0)</f>
        <v>0</v>
      </c>
      <c r="N861" s="5">
        <f>IFERROR(INDEX('[1]TrialBalance (Quarter)'!$A:$L,MATCH([1]TBMapping!$C863,'[1]TrialBalance (Quarter)'!A:A,0),MATCH([1]TBMapping!O$3,'[1]TrialBalance (Quarter)'!$7:$7,0)),0)</f>
        <v>0</v>
      </c>
    </row>
    <row r="862" spans="1:14">
      <c r="B862" s="3">
        <v>354000</v>
      </c>
      <c r="C862" s="11" t="s">
        <v>671</v>
      </c>
      <c r="D862" s="11" t="s">
        <v>11</v>
      </c>
      <c r="E862" s="11"/>
      <c r="F862" s="5" t="e">
        <f>IF(DataExtraction="Manual",SUMIF('[1]TrialBalance (YTD)'!$C:$C,B862,'[1]TrialBalance (YTD)'!$E:$E),SUMIF('[1]TrialBalance (YTD)'!$G:$G,B862,'[1]TrialBalance (YTD)'!$I:$I))</f>
        <v>#VALUE!</v>
      </c>
      <c r="G862" s="5">
        <f>IFERROR(INDEX('[1]TrialBalance (YTD)'!$G:$S,MATCH([1]TBMapping!$C864,'[1]TrialBalance (YTD)'!G:G,0),MATCH([1]TBMapping!H$3,'[1]TrialBalance (YTD)'!$G$7:$Z$7,0)),0)</f>
        <v>0</v>
      </c>
      <c r="H862" s="5" t="e">
        <f>SUMIF('[1]TrialBalance (YTD)'!G:G,B862,'[1]TrialBalance (YTD)'!H:H)</f>
        <v>#VALUE!</v>
      </c>
      <c r="I862" s="5">
        <f>IFERROR(INDEX('[1]TrialBalance (YTD)'!$G:$S,MATCH([1]TBMapping!$C864,'[1]TrialBalance (YTD)'!G:G,0),MATCH([1]TBMapping!J$3,'[1]TrialBalance (YTD)'!$G$7:$Z$7,0)),0)</f>
        <v>0</v>
      </c>
      <c r="K862" s="5" t="e">
        <f>SUMIF('[1]TrialBalance (Quarter)'!$A:$A,B862,'[1]TrialBalance (Quarter)'!$B:$B)</f>
        <v>#VALUE!</v>
      </c>
      <c r="L862" s="5">
        <f>IFERROR(INDEX('[1]TrialBalance (Quarter)'!$A:$L,MATCH([1]TBMapping!$C864,'[1]TrialBalance (Quarter)'!A:A,0),MATCH([1]TBMapping!M$3,'[1]TrialBalance (Quarter)'!$7:$7,0)),0)</f>
        <v>0</v>
      </c>
      <c r="M862" s="5">
        <f>IFERROR(INDEX('[1]TrialBalance (Quarter)'!$A:$L,MATCH([1]TBMapping!$C864,'[1]TrialBalance (Quarter)'!A:A,0),MATCH([1]TBMapping!N$3,'[1]TrialBalance (Quarter)'!$7:$7,0)),0)</f>
        <v>0</v>
      </c>
      <c r="N862" s="5">
        <f>IFERROR(INDEX('[1]TrialBalance (Quarter)'!$A:$L,MATCH([1]TBMapping!$C864,'[1]TrialBalance (Quarter)'!A:A,0),MATCH([1]TBMapping!O$3,'[1]TrialBalance (Quarter)'!$7:$7,0)),0)</f>
        <v>0</v>
      </c>
    </row>
    <row r="863" spans="1:14">
      <c r="B863" s="3">
        <v>354100</v>
      </c>
      <c r="C863" s="10" t="s">
        <v>671</v>
      </c>
      <c r="D863" s="10" t="s">
        <v>11</v>
      </c>
      <c r="E863" s="10"/>
      <c r="F863" s="5" t="e">
        <f>IF(DataExtraction="Manual",SUMIF('[1]TrialBalance (YTD)'!$C:$C,B863,'[1]TrialBalance (YTD)'!$E:$E),SUMIF('[1]TrialBalance (YTD)'!$G:$G,B863,'[1]TrialBalance (YTD)'!$I:$I))</f>
        <v>#VALUE!</v>
      </c>
      <c r="G863" s="5">
        <f>IFERROR(INDEX('[1]TrialBalance (YTD)'!$G:$S,MATCH([1]TBMapping!$C865,'[1]TrialBalance (YTD)'!G:G,0),MATCH([1]TBMapping!H$3,'[1]TrialBalance (YTD)'!$G$7:$Z$7,0)),0)</f>
        <v>0</v>
      </c>
      <c r="H863" s="5" t="e">
        <f>SUMIF('[1]TrialBalance (YTD)'!G:G,B863,'[1]TrialBalance (YTD)'!H:H)</f>
        <v>#VALUE!</v>
      </c>
      <c r="I863" s="5">
        <f>IFERROR(INDEX('[1]TrialBalance (YTD)'!$G:$S,MATCH([1]TBMapping!$C865,'[1]TrialBalance (YTD)'!G:G,0),MATCH([1]TBMapping!J$3,'[1]TrialBalance (YTD)'!$G$7:$Z$7,0)),0)</f>
        <v>0</v>
      </c>
      <c r="K863" s="5" t="e">
        <f>SUMIF('[1]TrialBalance (Quarter)'!$A:$A,B863,'[1]TrialBalance (Quarter)'!$B:$B)</f>
        <v>#VALUE!</v>
      </c>
      <c r="L863" s="5">
        <f>IFERROR(INDEX('[1]TrialBalance (Quarter)'!$A:$L,MATCH([1]TBMapping!$C865,'[1]TrialBalance (Quarter)'!A:A,0),MATCH([1]TBMapping!M$3,'[1]TrialBalance (Quarter)'!$7:$7,0)),0)</f>
        <v>0</v>
      </c>
      <c r="M863" s="5">
        <f>IFERROR(INDEX('[1]TrialBalance (Quarter)'!$A:$L,MATCH([1]TBMapping!$C865,'[1]TrialBalance (Quarter)'!A:A,0),MATCH([1]TBMapping!N$3,'[1]TrialBalance (Quarter)'!$7:$7,0)),0)</f>
        <v>0</v>
      </c>
      <c r="N863" s="5">
        <f>IFERROR(INDEX('[1]TrialBalance (Quarter)'!$A:$L,MATCH([1]TBMapping!$C865,'[1]TrialBalance (Quarter)'!A:A,0),MATCH([1]TBMapping!O$3,'[1]TrialBalance (Quarter)'!$7:$7,0)),0)</f>
        <v>0</v>
      </c>
    </row>
    <row r="864" spans="1:14">
      <c r="A864" s="2">
        <v>16</v>
      </c>
      <c r="B864" s="3">
        <v>354500</v>
      </c>
      <c r="C864" s="11" t="s">
        <v>675</v>
      </c>
      <c r="D864" s="11" t="s">
        <v>11</v>
      </c>
      <c r="E864" s="11"/>
      <c r="F864" s="5" t="e">
        <f>IF(DataExtraction="Manual",SUMIF('[1]TrialBalance (YTD)'!$C:$C,B864,'[1]TrialBalance (YTD)'!$E:$E),SUMIF('[1]TrialBalance (YTD)'!$G:$G,B864,'[1]TrialBalance (YTD)'!$I:$I))</f>
        <v>#VALUE!</v>
      </c>
      <c r="G864" s="5">
        <f>IFERROR(INDEX('[1]TrialBalance (YTD)'!$G:$S,MATCH([1]TBMapping!$C866,'[1]TrialBalance (YTD)'!G:G,0),MATCH([1]TBMapping!H$3,'[1]TrialBalance (YTD)'!$G$7:$Z$7,0)),0)</f>
        <v>0</v>
      </c>
      <c r="H864" s="5" t="e">
        <f>SUMIF('[1]TrialBalance (YTD)'!G:G,B864,'[1]TrialBalance (YTD)'!H:H)</f>
        <v>#VALUE!</v>
      </c>
      <c r="I864" s="5">
        <f>IFERROR(INDEX('[1]TrialBalance (YTD)'!$G:$S,MATCH([1]TBMapping!$C866,'[1]TrialBalance (YTD)'!G:G,0),MATCH([1]TBMapping!J$3,'[1]TrialBalance (YTD)'!$G$7:$Z$7,0)),0)</f>
        <v>2677190.23</v>
      </c>
      <c r="K864" s="5" t="e">
        <f>SUMIF('[1]TrialBalance (Quarter)'!$A:$A,B864,'[1]TrialBalance (Quarter)'!$B:$B)</f>
        <v>#VALUE!</v>
      </c>
      <c r="L864" s="5">
        <f>IFERROR(INDEX('[1]TrialBalance (Quarter)'!$A:$L,MATCH([1]TBMapping!$C866,'[1]TrialBalance (Quarter)'!A:A,0),MATCH([1]TBMapping!M$3,'[1]TrialBalance (Quarter)'!$7:$7,0)),0)</f>
        <v>0</v>
      </c>
      <c r="M864" s="5">
        <f>IFERROR(INDEX('[1]TrialBalance (Quarter)'!$A:$L,MATCH([1]TBMapping!$C866,'[1]TrialBalance (Quarter)'!A:A,0),MATCH([1]TBMapping!N$3,'[1]TrialBalance (Quarter)'!$7:$7,0)),0)</f>
        <v>-2110681.5499999998</v>
      </c>
      <c r="N864" s="5">
        <f>IFERROR(INDEX('[1]TrialBalance (Quarter)'!$A:$L,MATCH([1]TBMapping!$C866,'[1]TrialBalance (Quarter)'!A:A,0),MATCH([1]TBMapping!O$3,'[1]TrialBalance (Quarter)'!$7:$7,0)),0)</f>
        <v>128250</v>
      </c>
    </row>
    <row r="865" spans="1:14">
      <c r="A865" s="2">
        <v>16</v>
      </c>
      <c r="B865" s="3">
        <v>354510</v>
      </c>
      <c r="C865" s="10" t="s">
        <v>676</v>
      </c>
      <c r="D865" s="10" t="s">
        <v>11</v>
      </c>
      <c r="E865" s="10"/>
      <c r="F865" s="5" t="e">
        <f>IF(DataExtraction="Manual",SUMIF('[1]TrialBalance (YTD)'!$C:$C,B865,'[1]TrialBalance (YTD)'!$E:$E),SUMIF('[1]TrialBalance (YTD)'!$G:$G,B865,'[1]TrialBalance (YTD)'!$I:$I))</f>
        <v>#VALUE!</v>
      </c>
      <c r="G865" s="5">
        <f>IFERROR(INDEX('[1]TrialBalance (YTD)'!$G:$S,MATCH([1]TBMapping!$C867,'[1]TrialBalance (YTD)'!G:G,0),MATCH([1]TBMapping!H$3,'[1]TrialBalance (YTD)'!$G$7:$Z$7,0)),0)</f>
        <v>0</v>
      </c>
      <c r="H865" s="5" t="e">
        <f>SUMIF('[1]TrialBalance (YTD)'!G:G,B865,'[1]TrialBalance (YTD)'!H:H)</f>
        <v>#VALUE!</v>
      </c>
      <c r="I865" s="5">
        <f>IFERROR(INDEX('[1]TrialBalance (YTD)'!$G:$S,MATCH([1]TBMapping!$C867,'[1]TrialBalance (YTD)'!G:G,0),MATCH([1]TBMapping!J$3,'[1]TrialBalance (YTD)'!$G$7:$Z$7,0)),0)</f>
        <v>0</v>
      </c>
      <c r="K865" s="5" t="e">
        <f>SUMIF('[1]TrialBalance (Quarter)'!$A:$A,B865,'[1]TrialBalance (Quarter)'!$B:$B)</f>
        <v>#VALUE!</v>
      </c>
      <c r="L865" s="5">
        <f>IFERROR(INDEX('[1]TrialBalance (Quarter)'!$A:$L,MATCH([1]TBMapping!$C867,'[1]TrialBalance (Quarter)'!A:A,0),MATCH([1]TBMapping!M$3,'[1]TrialBalance (Quarter)'!$7:$7,0)),0)</f>
        <v>0</v>
      </c>
      <c r="M865" s="5">
        <f>IFERROR(INDEX('[1]TrialBalance (Quarter)'!$A:$L,MATCH([1]TBMapping!$C867,'[1]TrialBalance (Quarter)'!A:A,0),MATCH([1]TBMapping!N$3,'[1]TrialBalance (Quarter)'!$7:$7,0)),0)</f>
        <v>0</v>
      </c>
      <c r="N865" s="5">
        <f>IFERROR(INDEX('[1]TrialBalance (Quarter)'!$A:$L,MATCH([1]TBMapping!$C867,'[1]TrialBalance (Quarter)'!A:A,0),MATCH([1]TBMapping!O$3,'[1]TrialBalance (Quarter)'!$7:$7,0)),0)</f>
        <v>0</v>
      </c>
    </row>
    <row r="866" spans="1:14">
      <c r="A866" s="2">
        <v>16</v>
      </c>
      <c r="B866" s="3">
        <v>354600</v>
      </c>
      <c r="C866" s="11" t="s">
        <v>677</v>
      </c>
      <c r="D866" s="11" t="s">
        <v>11</v>
      </c>
      <c r="E866" s="11"/>
      <c r="F866" s="5" t="e">
        <f>IF(DataExtraction="Manual",SUMIF('[1]TrialBalance (YTD)'!$C:$C,B866,'[1]TrialBalance (YTD)'!$E:$E),SUMIF('[1]TrialBalance (YTD)'!$G:$G,B866,'[1]TrialBalance (YTD)'!$I:$I))</f>
        <v>#VALUE!</v>
      </c>
      <c r="G866" s="5">
        <f>IFERROR(INDEX('[1]TrialBalance (YTD)'!$G:$S,MATCH([1]TBMapping!$C868,'[1]TrialBalance (YTD)'!G:G,0),MATCH([1]TBMapping!H$3,'[1]TrialBalance (YTD)'!$G$7:$Z$7,0)),0)</f>
        <v>0</v>
      </c>
      <c r="H866" s="5" t="e">
        <f>SUMIF('[1]TrialBalance (YTD)'!G:G,B866,'[1]TrialBalance (YTD)'!H:H)</f>
        <v>#VALUE!</v>
      </c>
      <c r="I866" s="5">
        <f>IFERROR(INDEX('[1]TrialBalance (YTD)'!$G:$S,MATCH([1]TBMapping!$C868,'[1]TrialBalance (YTD)'!G:G,0),MATCH([1]TBMapping!J$3,'[1]TrialBalance (YTD)'!$G$7:$Z$7,0)),0)</f>
        <v>0</v>
      </c>
      <c r="K866" s="5" t="e">
        <f>SUMIF('[1]TrialBalance (Quarter)'!$A:$A,B866,'[1]TrialBalance (Quarter)'!$B:$B)</f>
        <v>#VALUE!</v>
      </c>
      <c r="L866" s="5">
        <f>IFERROR(INDEX('[1]TrialBalance (Quarter)'!$A:$L,MATCH([1]TBMapping!$C868,'[1]TrialBalance (Quarter)'!A:A,0),MATCH([1]TBMapping!M$3,'[1]TrialBalance (Quarter)'!$7:$7,0)),0)</f>
        <v>0</v>
      </c>
      <c r="M866" s="5">
        <f>IFERROR(INDEX('[1]TrialBalance (Quarter)'!$A:$L,MATCH([1]TBMapping!$C868,'[1]TrialBalance (Quarter)'!A:A,0),MATCH([1]TBMapping!N$3,'[1]TrialBalance (Quarter)'!$7:$7,0)),0)</f>
        <v>0</v>
      </c>
      <c r="N866" s="5">
        <f>IFERROR(INDEX('[1]TrialBalance (Quarter)'!$A:$L,MATCH([1]TBMapping!$C868,'[1]TrialBalance (Quarter)'!A:A,0),MATCH([1]TBMapping!O$3,'[1]TrialBalance (Quarter)'!$7:$7,0)),0)</f>
        <v>0</v>
      </c>
    </row>
    <row r="867" spans="1:14">
      <c r="B867" s="3">
        <v>359999</v>
      </c>
      <c r="C867" s="10" t="s">
        <v>678</v>
      </c>
      <c r="D867" s="10" t="s">
        <v>16</v>
      </c>
      <c r="E867" s="10"/>
      <c r="F867" s="5" t="e">
        <f>IF(DataExtraction="Manual",SUMIF('[1]TrialBalance (YTD)'!$C:$C,B867,'[1]TrialBalance (YTD)'!$E:$E),SUMIF('[1]TrialBalance (YTD)'!$G:$G,B867,'[1]TrialBalance (YTD)'!$I:$I))</f>
        <v>#VALUE!</v>
      </c>
      <c r="G867" s="5">
        <f>IFERROR(INDEX('[1]TrialBalance (YTD)'!$G:$S,MATCH([1]TBMapping!$C869,'[1]TrialBalance (YTD)'!G:G,0),MATCH([1]TBMapping!H$3,'[1]TrialBalance (YTD)'!$G$7:$Z$7,0)),0)</f>
        <v>0</v>
      </c>
      <c r="H867" s="5" t="e">
        <f>SUMIF('[1]TrialBalance (YTD)'!G:G,B867,'[1]TrialBalance (YTD)'!H:H)</f>
        <v>#VALUE!</v>
      </c>
      <c r="I867" s="5">
        <f>IFERROR(INDEX('[1]TrialBalance (YTD)'!$G:$S,MATCH([1]TBMapping!$C869,'[1]TrialBalance (YTD)'!G:G,0),MATCH([1]TBMapping!J$3,'[1]TrialBalance (YTD)'!$G$7:$Z$7,0)),0)</f>
        <v>0</v>
      </c>
      <c r="K867" s="5" t="e">
        <f>SUMIF('[1]TrialBalance (Quarter)'!$A:$A,B867,'[1]TrialBalance (Quarter)'!$B:$B)</f>
        <v>#VALUE!</v>
      </c>
      <c r="L867" s="5">
        <f>IFERROR(INDEX('[1]TrialBalance (Quarter)'!$A:$L,MATCH([1]TBMapping!$C869,'[1]TrialBalance (Quarter)'!A:A,0),MATCH([1]TBMapping!M$3,'[1]TrialBalance (Quarter)'!$7:$7,0)),0)</f>
        <v>0</v>
      </c>
      <c r="M867" s="5">
        <f>IFERROR(INDEX('[1]TrialBalance (Quarter)'!$A:$L,MATCH([1]TBMapping!$C869,'[1]TrialBalance (Quarter)'!A:A,0),MATCH([1]TBMapping!N$3,'[1]TrialBalance (Quarter)'!$7:$7,0)),0)</f>
        <v>0</v>
      </c>
      <c r="N867" s="5">
        <f>IFERROR(INDEX('[1]TrialBalance (Quarter)'!$A:$L,MATCH([1]TBMapping!$C869,'[1]TrialBalance (Quarter)'!A:A,0),MATCH([1]TBMapping!O$3,'[1]TrialBalance (Quarter)'!$7:$7,0)),0)</f>
        <v>0</v>
      </c>
    </row>
    <row r="868" spans="1:14">
      <c r="A868" s="2">
        <v>17</v>
      </c>
      <c r="B868" s="3">
        <v>360000</v>
      </c>
      <c r="C868" s="11" t="s">
        <v>679</v>
      </c>
      <c r="D868" s="11" t="s">
        <v>5</v>
      </c>
      <c r="E868" s="11"/>
      <c r="F868" s="5" t="e">
        <f>IF(DataExtraction="Manual",SUMIF('[1]TrialBalance (YTD)'!$C:$C,B868,'[1]TrialBalance (YTD)'!$E:$E),SUMIF('[1]TrialBalance (YTD)'!$G:$G,B868,'[1]TrialBalance (YTD)'!$I:$I))</f>
        <v>#VALUE!</v>
      </c>
      <c r="G868" s="5">
        <f>IFERROR(INDEX('[1]TrialBalance (YTD)'!$G:$S,MATCH([1]TBMapping!$C870,'[1]TrialBalance (YTD)'!G:G,0),MATCH([1]TBMapping!H$3,'[1]TrialBalance (YTD)'!$G$7:$Z$7,0)),0)</f>
        <v>0</v>
      </c>
      <c r="H868" s="5" t="e">
        <f>SUMIF('[1]TrialBalance (YTD)'!G:G,B868,'[1]TrialBalance (YTD)'!H:H)</f>
        <v>#VALUE!</v>
      </c>
      <c r="I868" s="5">
        <f>IFERROR(INDEX('[1]TrialBalance (YTD)'!$G:$S,MATCH([1]TBMapping!$C870,'[1]TrialBalance (YTD)'!G:G,0),MATCH([1]TBMapping!J$3,'[1]TrialBalance (YTD)'!$G$7:$Z$7,0)),0)</f>
        <v>0</v>
      </c>
      <c r="K868" s="5" t="e">
        <f>SUMIF('[1]TrialBalance (Quarter)'!$A:$A,B868,'[1]TrialBalance (Quarter)'!$B:$B)</f>
        <v>#VALUE!</v>
      </c>
      <c r="L868" s="5">
        <f>IFERROR(INDEX('[1]TrialBalance (Quarter)'!$A:$L,MATCH([1]TBMapping!$C870,'[1]TrialBalance (Quarter)'!A:A,0),MATCH([1]TBMapping!M$3,'[1]TrialBalance (Quarter)'!$7:$7,0)),0)</f>
        <v>0</v>
      </c>
      <c r="M868" s="5">
        <f>IFERROR(INDEX('[1]TrialBalance (Quarter)'!$A:$L,MATCH([1]TBMapping!$C870,'[1]TrialBalance (Quarter)'!A:A,0),MATCH([1]TBMapping!N$3,'[1]TrialBalance (Quarter)'!$7:$7,0)),0)</f>
        <v>0</v>
      </c>
      <c r="N868" s="5">
        <f>IFERROR(INDEX('[1]TrialBalance (Quarter)'!$A:$L,MATCH([1]TBMapping!$C870,'[1]TrialBalance (Quarter)'!A:A,0),MATCH([1]TBMapping!O$3,'[1]TrialBalance (Quarter)'!$7:$7,0)),0)</f>
        <v>0</v>
      </c>
    </row>
    <row r="869" spans="1:14">
      <c r="A869" s="2">
        <v>17</v>
      </c>
      <c r="B869" s="3">
        <v>361000</v>
      </c>
      <c r="C869" s="10" t="s">
        <v>680</v>
      </c>
      <c r="D869" s="10" t="s">
        <v>11</v>
      </c>
      <c r="E869" s="10"/>
      <c r="F869" s="5" t="e">
        <f>IF(DataExtraction="Manual",SUMIF('[1]TrialBalance (YTD)'!$C:$C,B869,'[1]TrialBalance (YTD)'!$E:$E),SUMIF('[1]TrialBalance (YTD)'!$G:$G,B869,'[1]TrialBalance (YTD)'!$I:$I))</f>
        <v>#VALUE!</v>
      </c>
      <c r="G869" s="5">
        <f>IFERROR(INDEX('[1]TrialBalance (YTD)'!$G:$S,MATCH([1]TBMapping!$C871,'[1]TrialBalance (YTD)'!G:G,0),MATCH([1]TBMapping!H$3,'[1]TrialBalance (YTD)'!$G$7:$Z$7,0)),0)</f>
        <v>0</v>
      </c>
      <c r="H869" s="5" t="e">
        <f>SUMIF('[1]TrialBalance (YTD)'!G:G,B869,'[1]TrialBalance (YTD)'!H:H)</f>
        <v>#VALUE!</v>
      </c>
      <c r="I869" s="5">
        <f>IFERROR(INDEX('[1]TrialBalance (YTD)'!$G:$S,MATCH([1]TBMapping!$C871,'[1]TrialBalance (YTD)'!G:G,0),MATCH([1]TBMapping!J$3,'[1]TrialBalance (YTD)'!$G$7:$Z$7,0)),0)</f>
        <v>0</v>
      </c>
      <c r="K869" s="5" t="e">
        <f>SUMIF('[1]TrialBalance (Quarter)'!$A:$A,B869,'[1]TrialBalance (Quarter)'!$B:$B)</f>
        <v>#VALUE!</v>
      </c>
      <c r="L869" s="5">
        <f>IFERROR(INDEX('[1]TrialBalance (Quarter)'!$A:$L,MATCH([1]TBMapping!$C871,'[1]TrialBalance (Quarter)'!A:A,0),MATCH([1]TBMapping!M$3,'[1]TrialBalance (Quarter)'!$7:$7,0)),0)</f>
        <v>0</v>
      </c>
      <c r="M869" s="5">
        <f>IFERROR(INDEX('[1]TrialBalance (Quarter)'!$A:$L,MATCH([1]TBMapping!$C871,'[1]TrialBalance (Quarter)'!A:A,0),MATCH([1]TBMapping!N$3,'[1]TrialBalance (Quarter)'!$7:$7,0)),0)</f>
        <v>0</v>
      </c>
      <c r="N869" s="5">
        <f>IFERROR(INDEX('[1]TrialBalance (Quarter)'!$A:$L,MATCH([1]TBMapping!$C871,'[1]TrialBalance (Quarter)'!A:A,0),MATCH([1]TBMapping!O$3,'[1]TrialBalance (Quarter)'!$7:$7,0)),0)</f>
        <v>0</v>
      </c>
    </row>
    <row r="870" spans="1:14">
      <c r="A870" s="2">
        <v>17</v>
      </c>
      <c r="B870" s="3">
        <v>361100</v>
      </c>
      <c r="C870" s="11" t="s">
        <v>681</v>
      </c>
      <c r="D870" s="11" t="s">
        <v>11</v>
      </c>
      <c r="E870" s="11"/>
      <c r="F870" s="5" t="e">
        <f>IF(DataExtraction="Manual",SUMIF('[1]TrialBalance (YTD)'!$C:$C,B870,'[1]TrialBalance (YTD)'!$E:$E),SUMIF('[1]TrialBalance (YTD)'!$G:$G,B870,'[1]TrialBalance (YTD)'!$I:$I))</f>
        <v>#VALUE!</v>
      </c>
      <c r="G870" s="5">
        <f>IFERROR(INDEX('[1]TrialBalance (YTD)'!$G:$S,MATCH([1]TBMapping!$C872,'[1]TrialBalance (YTD)'!G:G,0),MATCH([1]TBMapping!H$3,'[1]TrialBalance (YTD)'!$G$7:$Z$7,0)),0)</f>
        <v>0</v>
      </c>
      <c r="H870" s="5" t="e">
        <f>SUMIF('[1]TrialBalance (YTD)'!G:G,B870,'[1]TrialBalance (YTD)'!H:H)</f>
        <v>#VALUE!</v>
      </c>
      <c r="I870" s="5">
        <f>IFERROR(INDEX('[1]TrialBalance (YTD)'!$G:$S,MATCH([1]TBMapping!$C872,'[1]TrialBalance (YTD)'!G:G,0),MATCH([1]TBMapping!J$3,'[1]TrialBalance (YTD)'!$G$7:$Z$7,0)),0)</f>
        <v>0</v>
      </c>
      <c r="K870" s="5" t="e">
        <f>SUMIF('[1]TrialBalance (Quarter)'!$A:$A,B870,'[1]TrialBalance (Quarter)'!$B:$B)</f>
        <v>#VALUE!</v>
      </c>
      <c r="L870" s="5">
        <f>IFERROR(INDEX('[1]TrialBalance (Quarter)'!$A:$L,MATCH([1]TBMapping!$C872,'[1]TrialBalance (Quarter)'!A:A,0),MATCH([1]TBMapping!M$3,'[1]TrialBalance (Quarter)'!$7:$7,0)),0)</f>
        <v>0</v>
      </c>
      <c r="M870" s="5">
        <f>IFERROR(INDEX('[1]TrialBalance (Quarter)'!$A:$L,MATCH([1]TBMapping!$C872,'[1]TrialBalance (Quarter)'!A:A,0),MATCH([1]TBMapping!N$3,'[1]TrialBalance (Quarter)'!$7:$7,0)),0)</f>
        <v>0</v>
      </c>
      <c r="N870" s="5">
        <f>IFERROR(INDEX('[1]TrialBalance (Quarter)'!$A:$L,MATCH([1]TBMapping!$C872,'[1]TrialBalance (Quarter)'!A:A,0),MATCH([1]TBMapping!O$3,'[1]TrialBalance (Quarter)'!$7:$7,0)),0)</f>
        <v>0</v>
      </c>
    </row>
    <row r="871" spans="1:14">
      <c r="A871" s="2">
        <v>17</v>
      </c>
      <c r="B871" s="3">
        <v>361200</v>
      </c>
      <c r="C871" s="10" t="s">
        <v>682</v>
      </c>
      <c r="D871" s="10" t="s">
        <v>11</v>
      </c>
      <c r="E871" s="10"/>
      <c r="F871" s="5" t="e">
        <f>IF(DataExtraction="Manual",SUMIF('[1]TrialBalance (YTD)'!$C:$C,B871,'[1]TrialBalance (YTD)'!$E:$E),SUMIF('[1]TrialBalance (YTD)'!$G:$G,B871,'[1]TrialBalance (YTD)'!$I:$I))</f>
        <v>#VALUE!</v>
      </c>
      <c r="G871" s="5">
        <f>IFERROR(INDEX('[1]TrialBalance (YTD)'!$G:$S,MATCH([1]TBMapping!$C873,'[1]TrialBalance (YTD)'!G:G,0),MATCH([1]TBMapping!H$3,'[1]TrialBalance (YTD)'!$G$7:$Z$7,0)),0)</f>
        <v>0</v>
      </c>
      <c r="H871" s="5" t="e">
        <f>SUMIF('[1]TrialBalance (YTD)'!G:G,B871,'[1]TrialBalance (YTD)'!H:H)</f>
        <v>#VALUE!</v>
      </c>
      <c r="I871" s="5">
        <f>IFERROR(INDEX('[1]TrialBalance (YTD)'!$G:$S,MATCH([1]TBMapping!$C873,'[1]TrialBalance (YTD)'!G:G,0),MATCH([1]TBMapping!J$3,'[1]TrialBalance (YTD)'!$G$7:$Z$7,0)),0)</f>
        <v>177536.2</v>
      </c>
      <c r="K871" s="5" t="e">
        <f>SUMIF('[1]TrialBalance (Quarter)'!$A:$A,B871,'[1]TrialBalance (Quarter)'!$B:$B)</f>
        <v>#VALUE!</v>
      </c>
      <c r="L871" s="5">
        <f>IFERROR(INDEX('[1]TrialBalance (Quarter)'!$A:$L,MATCH([1]TBMapping!$C873,'[1]TrialBalance (Quarter)'!A:A,0),MATCH([1]TBMapping!M$3,'[1]TrialBalance (Quarter)'!$7:$7,0)),0)</f>
        <v>0</v>
      </c>
      <c r="M871" s="5">
        <f>IFERROR(INDEX('[1]TrialBalance (Quarter)'!$A:$L,MATCH([1]TBMapping!$C873,'[1]TrialBalance (Quarter)'!A:A,0),MATCH([1]TBMapping!N$3,'[1]TrialBalance (Quarter)'!$7:$7,0)),0)</f>
        <v>-64768.08</v>
      </c>
      <c r="N871" s="5">
        <f>IFERROR(INDEX('[1]TrialBalance (Quarter)'!$A:$L,MATCH([1]TBMapping!$C873,'[1]TrialBalance (Quarter)'!A:A,0),MATCH([1]TBMapping!O$3,'[1]TrialBalance (Quarter)'!$7:$7,0)),0)</f>
        <v>-64768.08</v>
      </c>
    </row>
    <row r="872" spans="1:14">
      <c r="A872" s="2">
        <v>17</v>
      </c>
      <c r="B872" s="3">
        <v>361300</v>
      </c>
      <c r="C872" s="11" t="s">
        <v>683</v>
      </c>
      <c r="D872" s="11" t="s">
        <v>11</v>
      </c>
      <c r="E872" s="11"/>
      <c r="F872" s="5" t="e">
        <f>IF(DataExtraction="Manual",SUMIF('[1]TrialBalance (YTD)'!$C:$C,B872,'[1]TrialBalance (YTD)'!$E:$E),SUMIF('[1]TrialBalance (YTD)'!$G:$G,B872,'[1]TrialBalance (YTD)'!$I:$I))</f>
        <v>#VALUE!</v>
      </c>
      <c r="G872" s="5">
        <f>IFERROR(INDEX('[1]TrialBalance (YTD)'!$G:$S,MATCH([1]TBMapping!$C874,'[1]TrialBalance (YTD)'!G:G,0),MATCH([1]TBMapping!H$3,'[1]TrialBalance (YTD)'!$G$7:$Z$7,0)),0)</f>
        <v>0</v>
      </c>
      <c r="H872" s="5" t="e">
        <f>SUMIF('[1]TrialBalance (YTD)'!G:G,B872,'[1]TrialBalance (YTD)'!H:H)</f>
        <v>#VALUE!</v>
      </c>
      <c r="I872" s="5">
        <f>IFERROR(INDEX('[1]TrialBalance (YTD)'!$G:$S,MATCH([1]TBMapping!$C874,'[1]TrialBalance (YTD)'!G:G,0),MATCH([1]TBMapping!J$3,'[1]TrialBalance (YTD)'!$G$7:$Z$7,0)),0)</f>
        <v>0</v>
      </c>
      <c r="K872" s="5" t="e">
        <f>SUMIF('[1]TrialBalance (Quarter)'!$A:$A,B872,'[1]TrialBalance (Quarter)'!$B:$B)</f>
        <v>#VALUE!</v>
      </c>
      <c r="L872" s="5">
        <f>IFERROR(INDEX('[1]TrialBalance (Quarter)'!$A:$L,MATCH([1]TBMapping!$C874,'[1]TrialBalance (Quarter)'!A:A,0),MATCH([1]TBMapping!M$3,'[1]TrialBalance (Quarter)'!$7:$7,0)),0)</f>
        <v>0</v>
      </c>
      <c r="M872" s="5">
        <f>IFERROR(INDEX('[1]TrialBalance (Quarter)'!$A:$L,MATCH([1]TBMapping!$C874,'[1]TrialBalance (Quarter)'!A:A,0),MATCH([1]TBMapping!N$3,'[1]TrialBalance (Quarter)'!$7:$7,0)),0)</f>
        <v>0</v>
      </c>
      <c r="N872" s="5">
        <f>IFERROR(INDEX('[1]TrialBalance (Quarter)'!$A:$L,MATCH([1]TBMapping!$C874,'[1]TrialBalance (Quarter)'!A:A,0),MATCH([1]TBMapping!O$3,'[1]TrialBalance (Quarter)'!$7:$7,0)),0)</f>
        <v>0</v>
      </c>
    </row>
    <row r="873" spans="1:14">
      <c r="A873" s="2">
        <v>17</v>
      </c>
      <c r="B873" s="3">
        <v>361400</v>
      </c>
      <c r="C873" s="10" t="s">
        <v>684</v>
      </c>
      <c r="D873" s="10" t="s">
        <v>11</v>
      </c>
      <c r="E873" s="10"/>
      <c r="F873" s="5" t="e">
        <f>IF(DataExtraction="Manual",SUMIF('[1]TrialBalance (YTD)'!$C:$C,B873,'[1]TrialBalance (YTD)'!$E:$E),SUMIF('[1]TrialBalance (YTD)'!$G:$G,B873,'[1]TrialBalance (YTD)'!$I:$I))</f>
        <v>#VALUE!</v>
      </c>
      <c r="G873" s="5">
        <f>IFERROR(INDEX('[1]TrialBalance (YTD)'!$G:$S,MATCH([1]TBMapping!$C875,'[1]TrialBalance (YTD)'!G:G,0),MATCH([1]TBMapping!H$3,'[1]TrialBalance (YTD)'!$G$7:$Z$7,0)),0)</f>
        <v>0</v>
      </c>
      <c r="H873" s="5" t="e">
        <f>SUMIF('[1]TrialBalance (YTD)'!G:G,B873,'[1]TrialBalance (YTD)'!H:H)</f>
        <v>#VALUE!</v>
      </c>
      <c r="I873" s="5">
        <f>IFERROR(INDEX('[1]TrialBalance (YTD)'!$G:$S,MATCH([1]TBMapping!$C875,'[1]TrialBalance (YTD)'!G:G,0),MATCH([1]TBMapping!J$3,'[1]TrialBalance (YTD)'!$G$7:$Z$7,0)),0)</f>
        <v>0</v>
      </c>
      <c r="K873" s="5" t="e">
        <f>SUMIF('[1]TrialBalance (Quarter)'!$A:$A,B873,'[1]TrialBalance (Quarter)'!$B:$B)</f>
        <v>#VALUE!</v>
      </c>
      <c r="L873" s="5">
        <f>IFERROR(INDEX('[1]TrialBalance (Quarter)'!$A:$L,MATCH([1]TBMapping!$C875,'[1]TrialBalance (Quarter)'!A:A,0),MATCH([1]TBMapping!M$3,'[1]TrialBalance (Quarter)'!$7:$7,0)),0)</f>
        <v>0</v>
      </c>
      <c r="M873" s="5">
        <f>IFERROR(INDEX('[1]TrialBalance (Quarter)'!$A:$L,MATCH([1]TBMapping!$C875,'[1]TrialBalance (Quarter)'!A:A,0),MATCH([1]TBMapping!N$3,'[1]TrialBalance (Quarter)'!$7:$7,0)),0)</f>
        <v>0</v>
      </c>
      <c r="N873" s="5">
        <f>IFERROR(INDEX('[1]TrialBalance (Quarter)'!$A:$L,MATCH([1]TBMapping!$C875,'[1]TrialBalance (Quarter)'!A:A,0),MATCH([1]TBMapping!O$3,'[1]TrialBalance (Quarter)'!$7:$7,0)),0)</f>
        <v>0</v>
      </c>
    </row>
    <row r="874" spans="1:14">
      <c r="A874" s="2">
        <v>17</v>
      </c>
      <c r="B874" s="3">
        <v>362000</v>
      </c>
      <c r="C874" s="11" t="s">
        <v>685</v>
      </c>
      <c r="D874" s="11" t="s">
        <v>11</v>
      </c>
      <c r="E874" s="11"/>
      <c r="F874" s="5" t="e">
        <f>IF(DataExtraction="Manual",SUMIF('[1]TrialBalance (YTD)'!$C:$C,B874,'[1]TrialBalance (YTD)'!$E:$E),SUMIF('[1]TrialBalance (YTD)'!$G:$G,B874,'[1]TrialBalance (YTD)'!$I:$I))</f>
        <v>#VALUE!</v>
      </c>
      <c r="G874" s="5">
        <f>IFERROR(INDEX('[1]TrialBalance (YTD)'!$G:$S,MATCH([1]TBMapping!$C876,'[1]TrialBalance (YTD)'!G:G,0),MATCH([1]TBMapping!H$3,'[1]TrialBalance (YTD)'!$G$7:$Z$7,0)),0)</f>
        <v>0</v>
      </c>
      <c r="H874" s="5" t="e">
        <f>SUMIF('[1]TrialBalance (YTD)'!G:G,B874,'[1]TrialBalance (YTD)'!H:H)</f>
        <v>#VALUE!</v>
      </c>
      <c r="I874" s="5">
        <f>IFERROR(INDEX('[1]TrialBalance (YTD)'!$G:$S,MATCH([1]TBMapping!$C876,'[1]TrialBalance (YTD)'!G:G,0),MATCH([1]TBMapping!J$3,'[1]TrialBalance (YTD)'!$G$7:$Z$7,0)),0)</f>
        <v>0</v>
      </c>
      <c r="K874" s="5" t="e">
        <f>SUMIF('[1]TrialBalance (Quarter)'!$A:$A,B874,'[1]TrialBalance (Quarter)'!$B:$B)</f>
        <v>#VALUE!</v>
      </c>
      <c r="L874" s="5">
        <f>IFERROR(INDEX('[1]TrialBalance (Quarter)'!$A:$L,MATCH([1]TBMapping!$C876,'[1]TrialBalance (Quarter)'!A:A,0),MATCH([1]TBMapping!M$3,'[1]TrialBalance (Quarter)'!$7:$7,0)),0)</f>
        <v>0</v>
      </c>
      <c r="M874" s="5">
        <f>IFERROR(INDEX('[1]TrialBalance (Quarter)'!$A:$L,MATCH([1]TBMapping!$C876,'[1]TrialBalance (Quarter)'!A:A,0),MATCH([1]TBMapping!N$3,'[1]TrialBalance (Quarter)'!$7:$7,0)),0)</f>
        <v>0</v>
      </c>
      <c r="N874" s="5">
        <f>IFERROR(INDEX('[1]TrialBalance (Quarter)'!$A:$L,MATCH([1]TBMapping!$C876,'[1]TrialBalance (Quarter)'!A:A,0),MATCH([1]TBMapping!O$3,'[1]TrialBalance (Quarter)'!$7:$7,0)),0)</f>
        <v>0</v>
      </c>
    </row>
    <row r="875" spans="1:14">
      <c r="B875" s="3">
        <v>363566</v>
      </c>
      <c r="C875" s="10" t="s">
        <v>686</v>
      </c>
      <c r="D875" s="10" t="s">
        <v>11</v>
      </c>
      <c r="E875" s="10"/>
      <c r="F875" s="5" t="e">
        <f>IF(DataExtraction="Manual",SUMIF('[1]TrialBalance (YTD)'!$C:$C,B875,'[1]TrialBalance (YTD)'!$E:$E),SUMIF('[1]TrialBalance (YTD)'!$G:$G,B875,'[1]TrialBalance (YTD)'!$I:$I))</f>
        <v>#VALUE!</v>
      </c>
      <c r="G875" s="5">
        <f>IFERROR(INDEX('[1]TrialBalance (YTD)'!$G:$S,MATCH([1]TBMapping!$C877,'[1]TrialBalance (YTD)'!G:G,0),MATCH([1]TBMapping!H$3,'[1]TrialBalance (YTD)'!$G$7:$Z$7,0)),0)</f>
        <v>0</v>
      </c>
      <c r="H875" s="5" t="e">
        <f>SUMIF('[1]TrialBalance (YTD)'!G:G,B875,'[1]TrialBalance (YTD)'!H:H)</f>
        <v>#VALUE!</v>
      </c>
      <c r="I875" s="5">
        <f>IFERROR(INDEX('[1]TrialBalance (YTD)'!$G:$S,MATCH([1]TBMapping!$C877,'[1]TrialBalance (YTD)'!G:G,0),MATCH([1]TBMapping!J$3,'[1]TrialBalance (YTD)'!$G$7:$Z$7,0)),0)</f>
        <v>0</v>
      </c>
      <c r="K875" s="5" t="e">
        <f>SUMIF('[1]TrialBalance (Quarter)'!$A:$A,B875,'[1]TrialBalance (Quarter)'!$B:$B)</f>
        <v>#VALUE!</v>
      </c>
      <c r="L875" s="5">
        <f>IFERROR(INDEX('[1]TrialBalance (Quarter)'!$A:$L,MATCH([1]TBMapping!$C877,'[1]TrialBalance (Quarter)'!A:A,0),MATCH([1]TBMapping!M$3,'[1]TrialBalance (Quarter)'!$7:$7,0)),0)</f>
        <v>0</v>
      </c>
      <c r="M875" s="5">
        <f>IFERROR(INDEX('[1]TrialBalance (Quarter)'!$A:$L,MATCH([1]TBMapping!$C877,'[1]TrialBalance (Quarter)'!A:A,0),MATCH([1]TBMapping!N$3,'[1]TrialBalance (Quarter)'!$7:$7,0)),0)</f>
        <v>0</v>
      </c>
      <c r="N875" s="5">
        <f>IFERROR(INDEX('[1]TrialBalance (Quarter)'!$A:$L,MATCH([1]TBMapping!$C877,'[1]TrialBalance (Quarter)'!A:A,0),MATCH([1]TBMapping!O$3,'[1]TrialBalance (Quarter)'!$7:$7,0)),0)</f>
        <v>0</v>
      </c>
    </row>
    <row r="876" spans="1:14">
      <c r="B876" s="3">
        <v>369999</v>
      </c>
      <c r="C876" s="11" t="s">
        <v>687</v>
      </c>
      <c r="D876" s="11" t="s">
        <v>16</v>
      </c>
      <c r="E876" s="11"/>
      <c r="F876" s="5" t="e">
        <f>IF(DataExtraction="Manual",SUMIF('[1]TrialBalance (YTD)'!$C:$C,B876,'[1]TrialBalance (YTD)'!$E:$E),SUMIF('[1]TrialBalance (YTD)'!$G:$G,B876,'[1]TrialBalance (YTD)'!$I:$I))</f>
        <v>#VALUE!</v>
      </c>
      <c r="G876" s="5">
        <f>IFERROR(INDEX('[1]TrialBalance (YTD)'!$G:$S,MATCH([1]TBMapping!$C878,'[1]TrialBalance (YTD)'!G:G,0),MATCH([1]TBMapping!H$3,'[1]TrialBalance (YTD)'!$G$7:$Z$7,0)),0)</f>
        <v>0</v>
      </c>
      <c r="H876" s="5" t="e">
        <f>SUMIF('[1]TrialBalance (YTD)'!G:G,B876,'[1]TrialBalance (YTD)'!H:H)</f>
        <v>#VALUE!</v>
      </c>
      <c r="I876" s="5">
        <f>IFERROR(INDEX('[1]TrialBalance (YTD)'!$G:$S,MATCH([1]TBMapping!$C878,'[1]TrialBalance (YTD)'!G:G,0),MATCH([1]TBMapping!J$3,'[1]TrialBalance (YTD)'!$G$7:$Z$7,0)),0)</f>
        <v>0</v>
      </c>
      <c r="K876" s="5" t="e">
        <f>SUMIF('[1]TrialBalance (Quarter)'!$A:$A,B876,'[1]TrialBalance (Quarter)'!$B:$B)</f>
        <v>#VALUE!</v>
      </c>
      <c r="L876" s="5">
        <f>IFERROR(INDEX('[1]TrialBalance (Quarter)'!$A:$L,MATCH([1]TBMapping!$C878,'[1]TrialBalance (Quarter)'!A:A,0),MATCH([1]TBMapping!M$3,'[1]TrialBalance (Quarter)'!$7:$7,0)),0)</f>
        <v>0</v>
      </c>
      <c r="M876" s="5">
        <f>IFERROR(INDEX('[1]TrialBalance (Quarter)'!$A:$L,MATCH([1]TBMapping!$C878,'[1]TrialBalance (Quarter)'!A:A,0),MATCH([1]TBMapping!N$3,'[1]TrialBalance (Quarter)'!$7:$7,0)),0)</f>
        <v>0</v>
      </c>
      <c r="N876" s="5">
        <f>IFERROR(INDEX('[1]TrialBalance (Quarter)'!$A:$L,MATCH([1]TBMapping!$C878,'[1]TrialBalance (Quarter)'!A:A,0),MATCH([1]TBMapping!O$3,'[1]TrialBalance (Quarter)'!$7:$7,0)),0)</f>
        <v>0</v>
      </c>
    </row>
    <row r="877" spans="1:14">
      <c r="B877" s="3">
        <v>389999</v>
      </c>
      <c r="C877" s="11" t="s">
        <v>688</v>
      </c>
      <c r="D877" s="11" t="s">
        <v>16</v>
      </c>
      <c r="E877" s="11"/>
      <c r="F877" s="5" t="e">
        <f>IF(DataExtraction="Manual",SUMIF('[1]TrialBalance (YTD)'!$C:$C,B877,'[1]TrialBalance (YTD)'!$E:$E),SUMIF('[1]TrialBalance (YTD)'!$G:$G,B877,'[1]TrialBalance (YTD)'!$I:$I))</f>
        <v>#VALUE!</v>
      </c>
      <c r="G877" s="5">
        <f>IFERROR(INDEX('[1]TrialBalance (YTD)'!$G:$S,MATCH([1]TBMapping!$C879,'[1]TrialBalance (YTD)'!G:G,0),MATCH([1]TBMapping!H$3,'[1]TrialBalance (YTD)'!$G$7:$Z$7,0)),0)</f>
        <v>0</v>
      </c>
      <c r="H877" s="5" t="e">
        <f>SUMIF('[1]TrialBalance (YTD)'!G:G,B877,'[1]TrialBalance (YTD)'!H:H)</f>
        <v>#VALUE!</v>
      </c>
      <c r="I877" s="5">
        <f>IFERROR(INDEX('[1]TrialBalance (YTD)'!$G:$S,MATCH([1]TBMapping!$C879,'[1]TrialBalance (YTD)'!G:G,0),MATCH([1]TBMapping!J$3,'[1]TrialBalance (YTD)'!$G$7:$Z$7,0)),0)</f>
        <v>0</v>
      </c>
      <c r="K877" s="5" t="e">
        <f>SUMIF('[1]TrialBalance (Quarter)'!$A:$A,B877,'[1]TrialBalance (Quarter)'!$B:$B)</f>
        <v>#VALUE!</v>
      </c>
      <c r="L877" s="5">
        <f>IFERROR(INDEX('[1]TrialBalance (Quarter)'!$A:$L,MATCH([1]TBMapping!$C879,'[1]TrialBalance (Quarter)'!A:A,0),MATCH([1]TBMapping!M$3,'[1]TrialBalance (Quarter)'!$7:$7,0)),0)</f>
        <v>0</v>
      </c>
      <c r="M877" s="5">
        <f>IFERROR(INDEX('[1]TrialBalance (Quarter)'!$A:$L,MATCH([1]TBMapping!$C879,'[1]TrialBalance (Quarter)'!A:A,0),MATCH([1]TBMapping!N$3,'[1]TrialBalance (Quarter)'!$7:$7,0)),0)</f>
        <v>0</v>
      </c>
      <c r="N877" s="5">
        <f>IFERROR(INDEX('[1]TrialBalance (Quarter)'!$A:$L,MATCH([1]TBMapping!$C879,'[1]TrialBalance (Quarter)'!A:A,0),MATCH([1]TBMapping!O$3,'[1]TrialBalance (Quarter)'!$7:$7,0)),0)</f>
        <v>0</v>
      </c>
    </row>
    <row r="878" spans="1:14">
      <c r="B878" s="3">
        <v>390000</v>
      </c>
      <c r="C878" s="10" t="s">
        <v>689</v>
      </c>
      <c r="D878" s="10" t="s">
        <v>5</v>
      </c>
      <c r="E878" s="10"/>
      <c r="F878" s="5" t="e">
        <f>IF(DataExtraction="Manual",SUMIF('[1]TrialBalance (YTD)'!$C:$C,B878,'[1]TrialBalance (YTD)'!$E:$E),SUMIF('[1]TrialBalance (YTD)'!$G:$G,B878,'[1]TrialBalance (YTD)'!$I:$I))</f>
        <v>#VALUE!</v>
      </c>
      <c r="G878" s="5">
        <f>IFERROR(INDEX('[1]TrialBalance (YTD)'!$G:$S,MATCH([1]TBMapping!$C880,'[1]TrialBalance (YTD)'!G:G,0),MATCH([1]TBMapping!H$3,'[1]TrialBalance (YTD)'!$G$7:$Z$7,0)),0)</f>
        <v>0</v>
      </c>
      <c r="H878" s="5" t="e">
        <f>SUMIF('[1]TrialBalance (YTD)'!G:G,B878,'[1]TrialBalance (YTD)'!H:H)</f>
        <v>#VALUE!</v>
      </c>
      <c r="I878" s="5">
        <f>IFERROR(INDEX('[1]TrialBalance (YTD)'!$G:$S,MATCH([1]TBMapping!$C880,'[1]TrialBalance (YTD)'!G:G,0),MATCH([1]TBMapping!J$3,'[1]TrialBalance (YTD)'!$G$7:$Z$7,0)),0)</f>
        <v>0</v>
      </c>
      <c r="K878" s="5" t="e">
        <f>SUMIF('[1]TrialBalance (Quarter)'!$A:$A,B878,'[1]TrialBalance (Quarter)'!$B:$B)</f>
        <v>#VALUE!</v>
      </c>
      <c r="L878" s="5">
        <f>IFERROR(INDEX('[1]TrialBalance (Quarter)'!$A:$L,MATCH([1]TBMapping!$C880,'[1]TrialBalance (Quarter)'!A:A,0),MATCH([1]TBMapping!M$3,'[1]TrialBalance (Quarter)'!$7:$7,0)),0)</f>
        <v>0</v>
      </c>
      <c r="M878" s="5">
        <f>IFERROR(INDEX('[1]TrialBalance (Quarter)'!$A:$L,MATCH([1]TBMapping!$C880,'[1]TrialBalance (Quarter)'!A:A,0),MATCH([1]TBMapping!N$3,'[1]TrialBalance (Quarter)'!$7:$7,0)),0)</f>
        <v>0</v>
      </c>
      <c r="N878" s="5">
        <f>IFERROR(INDEX('[1]TrialBalance (Quarter)'!$A:$L,MATCH([1]TBMapping!$C880,'[1]TrialBalance (Quarter)'!A:A,0),MATCH([1]TBMapping!O$3,'[1]TrialBalance (Quarter)'!$7:$7,0)),0)</f>
        <v>0</v>
      </c>
    </row>
    <row r="879" spans="1:14">
      <c r="B879" s="3">
        <v>391000</v>
      </c>
      <c r="C879" s="11" t="s">
        <v>690</v>
      </c>
      <c r="D879" s="11" t="s">
        <v>5</v>
      </c>
      <c r="E879" s="11"/>
      <c r="F879" s="5" t="e">
        <f>IF(DataExtraction="Manual",SUMIF('[1]TrialBalance (YTD)'!$C:$C,B879,'[1]TrialBalance (YTD)'!$E:$E),SUMIF('[1]TrialBalance (YTD)'!$G:$G,B879,'[1]TrialBalance (YTD)'!$I:$I))</f>
        <v>#VALUE!</v>
      </c>
      <c r="G879" s="5">
        <f>IFERROR(INDEX('[1]TrialBalance (YTD)'!$G:$S,MATCH([1]TBMapping!$C881,'[1]TrialBalance (YTD)'!G:G,0),MATCH([1]TBMapping!H$3,'[1]TrialBalance (YTD)'!$G$7:$Z$7,0)),0)</f>
        <v>0</v>
      </c>
      <c r="H879" s="5" t="e">
        <f>SUMIF('[1]TrialBalance (YTD)'!G:G,B879,'[1]TrialBalance (YTD)'!H:H)</f>
        <v>#VALUE!</v>
      </c>
      <c r="I879" s="5">
        <f>IFERROR(INDEX('[1]TrialBalance (YTD)'!$G:$S,MATCH([1]TBMapping!$C881,'[1]TrialBalance (YTD)'!G:G,0),MATCH([1]TBMapping!J$3,'[1]TrialBalance (YTD)'!$G$7:$Z$7,0)),0)</f>
        <v>0</v>
      </c>
      <c r="K879" s="5" t="e">
        <f>SUMIF('[1]TrialBalance (Quarter)'!$A:$A,B879,'[1]TrialBalance (Quarter)'!$B:$B)</f>
        <v>#VALUE!</v>
      </c>
      <c r="L879" s="5">
        <f>IFERROR(INDEX('[1]TrialBalance (Quarter)'!$A:$L,MATCH([1]TBMapping!$C881,'[1]TrialBalance (Quarter)'!A:A,0),MATCH([1]TBMapping!M$3,'[1]TrialBalance (Quarter)'!$7:$7,0)),0)</f>
        <v>0</v>
      </c>
      <c r="M879" s="5">
        <f>IFERROR(INDEX('[1]TrialBalance (Quarter)'!$A:$L,MATCH([1]TBMapping!$C881,'[1]TrialBalance (Quarter)'!A:A,0),MATCH([1]TBMapping!N$3,'[1]TrialBalance (Quarter)'!$7:$7,0)),0)</f>
        <v>0</v>
      </c>
      <c r="N879" s="5">
        <f>IFERROR(INDEX('[1]TrialBalance (Quarter)'!$A:$L,MATCH([1]TBMapping!$C881,'[1]TrialBalance (Quarter)'!A:A,0),MATCH([1]TBMapping!O$3,'[1]TrialBalance (Quarter)'!$7:$7,0)),0)</f>
        <v>0</v>
      </c>
    </row>
    <row r="880" spans="1:14">
      <c r="B880" s="3">
        <v>391999</v>
      </c>
      <c r="C880" s="10" t="s">
        <v>691</v>
      </c>
      <c r="D880" s="10" t="s">
        <v>16</v>
      </c>
      <c r="E880" s="10"/>
      <c r="F880" s="5" t="e">
        <f>IF(DataExtraction="Manual",SUMIF('[1]TrialBalance (YTD)'!$C:$C,B880,'[1]TrialBalance (YTD)'!$E:$E),SUMIF('[1]TrialBalance (YTD)'!$G:$G,B880,'[1]TrialBalance (YTD)'!$I:$I))</f>
        <v>#VALUE!</v>
      </c>
      <c r="G880" s="5">
        <f>IFERROR(INDEX('[1]TrialBalance (YTD)'!$G:$S,MATCH([1]TBMapping!$C882,'[1]TrialBalance (YTD)'!G:G,0),MATCH([1]TBMapping!H$3,'[1]TrialBalance (YTD)'!$G$7:$Z$7,0)),0)</f>
        <v>0</v>
      </c>
      <c r="H880" s="5" t="e">
        <f>SUMIF('[1]TrialBalance (YTD)'!G:G,B880,'[1]TrialBalance (YTD)'!H:H)</f>
        <v>#VALUE!</v>
      </c>
      <c r="I880" s="5">
        <f>IFERROR(INDEX('[1]TrialBalance (YTD)'!$G:$S,MATCH([1]TBMapping!$C882,'[1]TrialBalance (YTD)'!G:G,0),MATCH([1]TBMapping!J$3,'[1]TrialBalance (YTD)'!$G$7:$Z$7,0)),0)</f>
        <v>0</v>
      </c>
      <c r="K880" s="5" t="e">
        <f>SUMIF('[1]TrialBalance (Quarter)'!$A:$A,B880,'[1]TrialBalance (Quarter)'!$B:$B)</f>
        <v>#VALUE!</v>
      </c>
      <c r="L880" s="5">
        <f>IFERROR(INDEX('[1]TrialBalance (Quarter)'!$A:$L,MATCH([1]TBMapping!$C882,'[1]TrialBalance (Quarter)'!A:A,0),MATCH([1]TBMapping!M$3,'[1]TrialBalance (Quarter)'!$7:$7,0)),0)</f>
        <v>0</v>
      </c>
      <c r="M880" s="5">
        <f>IFERROR(INDEX('[1]TrialBalance (Quarter)'!$A:$L,MATCH([1]TBMapping!$C882,'[1]TrialBalance (Quarter)'!A:A,0),MATCH([1]TBMapping!N$3,'[1]TrialBalance (Quarter)'!$7:$7,0)),0)</f>
        <v>0</v>
      </c>
      <c r="N880" s="5">
        <f>IFERROR(INDEX('[1]TrialBalance (Quarter)'!$A:$L,MATCH([1]TBMapping!$C882,'[1]TrialBalance (Quarter)'!A:A,0),MATCH([1]TBMapping!O$3,'[1]TrialBalance (Quarter)'!$7:$7,0)),0)</f>
        <v>0</v>
      </c>
    </row>
    <row r="881" spans="1:14">
      <c r="B881" s="3">
        <v>392000</v>
      </c>
      <c r="C881" s="11" t="s">
        <v>692</v>
      </c>
      <c r="D881" s="11" t="s">
        <v>5</v>
      </c>
      <c r="E881" s="11"/>
      <c r="F881" s="5" t="e">
        <f>IF(DataExtraction="Manual",SUMIF('[1]TrialBalance (YTD)'!$C:$C,B881,'[1]TrialBalance (YTD)'!$E:$E),SUMIF('[1]TrialBalance (YTD)'!$G:$G,B881,'[1]TrialBalance (YTD)'!$I:$I))</f>
        <v>#VALUE!</v>
      </c>
      <c r="G881" s="5">
        <f>IFERROR(INDEX('[1]TrialBalance (YTD)'!$G:$S,MATCH([1]TBMapping!$C883,'[1]TrialBalance (YTD)'!G:G,0),MATCH([1]TBMapping!H$3,'[1]TrialBalance (YTD)'!$G$7:$Z$7,0)),0)</f>
        <v>0</v>
      </c>
      <c r="H881" s="5" t="e">
        <f>SUMIF('[1]TrialBalance (YTD)'!G:G,B881,'[1]TrialBalance (YTD)'!H:H)</f>
        <v>#VALUE!</v>
      </c>
      <c r="I881" s="5">
        <f>IFERROR(INDEX('[1]TrialBalance (YTD)'!$G:$S,MATCH([1]TBMapping!$C883,'[1]TrialBalance (YTD)'!G:G,0),MATCH([1]TBMapping!J$3,'[1]TrialBalance (YTD)'!$G$7:$Z$7,0)),0)</f>
        <v>0</v>
      </c>
      <c r="K881" s="5" t="e">
        <f>SUMIF('[1]TrialBalance (Quarter)'!$A:$A,B881,'[1]TrialBalance (Quarter)'!$B:$B)</f>
        <v>#VALUE!</v>
      </c>
      <c r="L881" s="5">
        <f>IFERROR(INDEX('[1]TrialBalance (Quarter)'!$A:$L,MATCH([1]TBMapping!$C883,'[1]TrialBalance (Quarter)'!A:A,0),MATCH([1]TBMapping!M$3,'[1]TrialBalance (Quarter)'!$7:$7,0)),0)</f>
        <v>0</v>
      </c>
      <c r="M881" s="5">
        <f>IFERROR(INDEX('[1]TrialBalance (Quarter)'!$A:$L,MATCH([1]TBMapping!$C883,'[1]TrialBalance (Quarter)'!A:A,0),MATCH([1]TBMapping!N$3,'[1]TrialBalance (Quarter)'!$7:$7,0)),0)</f>
        <v>0</v>
      </c>
      <c r="N881" s="5">
        <f>IFERROR(INDEX('[1]TrialBalance (Quarter)'!$A:$L,MATCH([1]TBMapping!$C883,'[1]TrialBalance (Quarter)'!A:A,0),MATCH([1]TBMapping!O$3,'[1]TrialBalance (Quarter)'!$7:$7,0)),0)</f>
        <v>0</v>
      </c>
    </row>
    <row r="882" spans="1:14">
      <c r="A882" s="2">
        <v>19</v>
      </c>
      <c r="B882" s="3">
        <v>392001</v>
      </c>
      <c r="C882" s="10" t="s">
        <v>693</v>
      </c>
      <c r="D882" s="10" t="s">
        <v>11</v>
      </c>
      <c r="E882" s="10"/>
      <c r="F882" s="5" t="e">
        <f>IF(DataExtraction="Manual",SUMIF('[1]TrialBalance (YTD)'!$C:$C,B882,'[1]TrialBalance (YTD)'!$E:$E),SUMIF('[1]TrialBalance (YTD)'!$G:$G,B882,'[1]TrialBalance (YTD)'!$I:$I))</f>
        <v>#VALUE!</v>
      </c>
      <c r="G882" s="5">
        <f>IFERROR(INDEX('[1]TrialBalance (YTD)'!$G:$S,MATCH([1]TBMapping!$C884,'[1]TrialBalance (YTD)'!G:G,0),MATCH([1]TBMapping!H$3,'[1]TrialBalance (YTD)'!$G$7:$Z$7,0)),0)</f>
        <v>0</v>
      </c>
      <c r="H882" s="5" t="e">
        <f>SUMIF('[1]TrialBalance (YTD)'!G:G,B882,'[1]TrialBalance (YTD)'!H:H)</f>
        <v>#VALUE!</v>
      </c>
      <c r="I882" s="5">
        <f>IFERROR(INDEX('[1]TrialBalance (YTD)'!$G:$S,MATCH([1]TBMapping!$C884,'[1]TrialBalance (YTD)'!G:G,0),MATCH([1]TBMapping!J$3,'[1]TrialBalance (YTD)'!$G$7:$Z$7,0)),0)</f>
        <v>0</v>
      </c>
      <c r="K882" s="5" t="e">
        <f>SUMIF('[1]TrialBalance (Quarter)'!$A:$A,B882,'[1]TrialBalance (Quarter)'!$B:$B)</f>
        <v>#VALUE!</v>
      </c>
      <c r="L882" s="5">
        <f>IFERROR(INDEX('[1]TrialBalance (Quarter)'!$A:$L,MATCH([1]TBMapping!$C884,'[1]TrialBalance (Quarter)'!A:A,0),MATCH([1]TBMapping!M$3,'[1]TrialBalance (Quarter)'!$7:$7,0)),0)</f>
        <v>0</v>
      </c>
      <c r="M882" s="5">
        <f>IFERROR(INDEX('[1]TrialBalance (Quarter)'!$A:$L,MATCH([1]TBMapping!$C884,'[1]TrialBalance (Quarter)'!A:A,0),MATCH([1]TBMapping!N$3,'[1]TrialBalance (Quarter)'!$7:$7,0)),0)</f>
        <v>0</v>
      </c>
      <c r="N882" s="5">
        <f>IFERROR(INDEX('[1]TrialBalance (Quarter)'!$A:$L,MATCH([1]TBMapping!$C884,'[1]TrialBalance (Quarter)'!A:A,0),MATCH([1]TBMapping!O$3,'[1]TrialBalance (Quarter)'!$7:$7,0)),0)</f>
        <v>0</v>
      </c>
    </row>
    <row r="883" spans="1:14">
      <c r="A883" s="2">
        <v>19</v>
      </c>
      <c r="B883" s="3">
        <v>392002</v>
      </c>
      <c r="C883" s="11" t="s">
        <v>694</v>
      </c>
      <c r="D883" s="11" t="s">
        <v>11</v>
      </c>
      <c r="E883" s="11"/>
      <c r="F883" s="5" t="e">
        <f>IF(DataExtraction="Manual",SUMIF('[1]TrialBalance (YTD)'!$C:$C,B883,'[1]TrialBalance (YTD)'!$E:$E),SUMIF('[1]TrialBalance (YTD)'!$G:$G,B883,'[1]TrialBalance (YTD)'!$I:$I))</f>
        <v>#VALUE!</v>
      </c>
      <c r="G883" s="5">
        <f>IFERROR(INDEX('[1]TrialBalance (YTD)'!$G:$S,MATCH([1]TBMapping!$C885,'[1]TrialBalance (YTD)'!G:G,0),MATCH([1]TBMapping!H$3,'[1]TrialBalance (YTD)'!$G$7:$Z$7,0)),0)</f>
        <v>0</v>
      </c>
      <c r="H883" s="5" t="e">
        <f>SUMIF('[1]TrialBalance (YTD)'!G:G,B883,'[1]TrialBalance (YTD)'!H:H)</f>
        <v>#VALUE!</v>
      </c>
      <c r="I883" s="5">
        <f>IFERROR(INDEX('[1]TrialBalance (YTD)'!$G:$S,MATCH([1]TBMapping!$C885,'[1]TrialBalance (YTD)'!G:G,0),MATCH([1]TBMapping!J$3,'[1]TrialBalance (YTD)'!$G$7:$Z$7,0)),0)</f>
        <v>0</v>
      </c>
      <c r="K883" s="5" t="e">
        <f>SUMIF('[1]TrialBalance (Quarter)'!$A:$A,B883,'[1]TrialBalance (Quarter)'!$B:$B)</f>
        <v>#VALUE!</v>
      </c>
      <c r="L883" s="5">
        <f>IFERROR(INDEX('[1]TrialBalance (Quarter)'!$A:$L,MATCH([1]TBMapping!$C885,'[1]TrialBalance (Quarter)'!A:A,0),MATCH([1]TBMapping!M$3,'[1]TrialBalance (Quarter)'!$7:$7,0)),0)</f>
        <v>0</v>
      </c>
      <c r="M883" s="5">
        <f>IFERROR(INDEX('[1]TrialBalance (Quarter)'!$A:$L,MATCH([1]TBMapping!$C885,'[1]TrialBalance (Quarter)'!A:A,0),MATCH([1]TBMapping!N$3,'[1]TrialBalance (Quarter)'!$7:$7,0)),0)</f>
        <v>0</v>
      </c>
      <c r="N883" s="5">
        <f>IFERROR(INDEX('[1]TrialBalance (Quarter)'!$A:$L,MATCH([1]TBMapping!$C885,'[1]TrialBalance (Quarter)'!A:A,0),MATCH([1]TBMapping!O$3,'[1]TrialBalance (Quarter)'!$7:$7,0)),0)</f>
        <v>0</v>
      </c>
    </row>
    <row r="884" spans="1:14">
      <c r="A884" s="2">
        <v>19</v>
      </c>
      <c r="B884" s="3">
        <v>392003</v>
      </c>
      <c r="C884" s="10" t="s">
        <v>695</v>
      </c>
      <c r="D884" s="10" t="s">
        <v>11</v>
      </c>
      <c r="E884" s="10"/>
      <c r="F884" s="5" t="e">
        <f>IF(DataExtraction="Manual",SUMIF('[1]TrialBalance (YTD)'!$C:$C,B884,'[1]TrialBalance (YTD)'!$E:$E),SUMIF('[1]TrialBalance (YTD)'!$G:$G,B884,'[1]TrialBalance (YTD)'!$I:$I))</f>
        <v>#VALUE!</v>
      </c>
      <c r="G884" s="5">
        <f>IFERROR(INDEX('[1]TrialBalance (YTD)'!$G:$S,MATCH([1]TBMapping!$C886,'[1]TrialBalance (YTD)'!G:G,0),MATCH([1]TBMapping!H$3,'[1]TrialBalance (YTD)'!$G$7:$Z$7,0)),0)</f>
        <v>0</v>
      </c>
      <c r="H884" s="5" t="e">
        <f>SUMIF('[1]TrialBalance (YTD)'!G:G,B884,'[1]TrialBalance (YTD)'!H:H)</f>
        <v>#VALUE!</v>
      </c>
      <c r="I884" s="5">
        <f>IFERROR(INDEX('[1]TrialBalance (YTD)'!$G:$S,MATCH([1]TBMapping!$C886,'[1]TrialBalance (YTD)'!G:G,0),MATCH([1]TBMapping!J$3,'[1]TrialBalance (YTD)'!$G$7:$Z$7,0)),0)</f>
        <v>0</v>
      </c>
      <c r="K884" s="5" t="e">
        <f>SUMIF('[1]TrialBalance (Quarter)'!$A:$A,B884,'[1]TrialBalance (Quarter)'!$B:$B)</f>
        <v>#VALUE!</v>
      </c>
      <c r="L884" s="5">
        <f>IFERROR(INDEX('[1]TrialBalance (Quarter)'!$A:$L,MATCH([1]TBMapping!$C886,'[1]TrialBalance (Quarter)'!A:A,0),MATCH([1]TBMapping!M$3,'[1]TrialBalance (Quarter)'!$7:$7,0)),0)</f>
        <v>0</v>
      </c>
      <c r="M884" s="5">
        <f>IFERROR(INDEX('[1]TrialBalance (Quarter)'!$A:$L,MATCH([1]TBMapping!$C886,'[1]TrialBalance (Quarter)'!A:A,0),MATCH([1]TBMapping!N$3,'[1]TrialBalance (Quarter)'!$7:$7,0)),0)</f>
        <v>0</v>
      </c>
      <c r="N884" s="5">
        <f>IFERROR(INDEX('[1]TrialBalance (Quarter)'!$A:$L,MATCH([1]TBMapping!$C886,'[1]TrialBalance (Quarter)'!A:A,0),MATCH([1]TBMapping!O$3,'[1]TrialBalance (Quarter)'!$7:$7,0)),0)</f>
        <v>0</v>
      </c>
    </row>
    <row r="885" spans="1:14">
      <c r="A885" s="2">
        <v>19</v>
      </c>
      <c r="B885" s="3">
        <v>392004</v>
      </c>
      <c r="C885" s="11" t="s">
        <v>696</v>
      </c>
      <c r="D885" s="11" t="s">
        <v>11</v>
      </c>
      <c r="E885" s="11"/>
      <c r="F885" s="5" t="e">
        <f>IF(DataExtraction="Manual",SUMIF('[1]TrialBalance (YTD)'!$C:$C,B885,'[1]TrialBalance (YTD)'!$E:$E),SUMIF('[1]TrialBalance (YTD)'!$G:$G,B885,'[1]TrialBalance (YTD)'!$I:$I))</f>
        <v>#VALUE!</v>
      </c>
      <c r="G885" s="5">
        <f>IFERROR(INDEX('[1]TrialBalance (YTD)'!$G:$S,MATCH([1]TBMapping!$C887,'[1]TrialBalance (YTD)'!G:G,0),MATCH([1]TBMapping!H$3,'[1]TrialBalance (YTD)'!$G$7:$Z$7,0)),0)</f>
        <v>0</v>
      </c>
      <c r="H885" s="5" t="e">
        <f>SUMIF('[1]TrialBalance (YTD)'!G:G,B885,'[1]TrialBalance (YTD)'!H:H)</f>
        <v>#VALUE!</v>
      </c>
      <c r="I885" s="5">
        <f>IFERROR(INDEX('[1]TrialBalance (YTD)'!$G:$S,MATCH([1]TBMapping!$C887,'[1]TrialBalance (YTD)'!G:G,0),MATCH([1]TBMapping!J$3,'[1]TrialBalance (YTD)'!$G$7:$Z$7,0)),0)</f>
        <v>0</v>
      </c>
      <c r="K885" s="5" t="e">
        <f>SUMIF('[1]TrialBalance (Quarter)'!$A:$A,B885,'[1]TrialBalance (Quarter)'!$B:$B)</f>
        <v>#VALUE!</v>
      </c>
      <c r="L885" s="5">
        <f>IFERROR(INDEX('[1]TrialBalance (Quarter)'!$A:$L,MATCH([1]TBMapping!$C887,'[1]TrialBalance (Quarter)'!A:A,0),MATCH([1]TBMapping!M$3,'[1]TrialBalance (Quarter)'!$7:$7,0)),0)</f>
        <v>0</v>
      </c>
      <c r="M885" s="5">
        <f>IFERROR(INDEX('[1]TrialBalance (Quarter)'!$A:$L,MATCH([1]TBMapping!$C887,'[1]TrialBalance (Quarter)'!A:A,0),MATCH([1]TBMapping!N$3,'[1]TrialBalance (Quarter)'!$7:$7,0)),0)</f>
        <v>0</v>
      </c>
      <c r="N885" s="5">
        <f>IFERROR(INDEX('[1]TrialBalance (Quarter)'!$A:$L,MATCH([1]TBMapping!$C887,'[1]TrialBalance (Quarter)'!A:A,0),MATCH([1]TBMapping!O$3,'[1]TrialBalance (Quarter)'!$7:$7,0)),0)</f>
        <v>0</v>
      </c>
    </row>
    <row r="886" spans="1:14">
      <c r="A886" s="2">
        <v>19</v>
      </c>
      <c r="B886" s="3">
        <v>392005</v>
      </c>
      <c r="C886" s="10" t="s">
        <v>697</v>
      </c>
      <c r="D886" s="10" t="s">
        <v>11</v>
      </c>
      <c r="E886" s="10"/>
      <c r="F886" s="5" t="e">
        <f>IF(DataExtraction="Manual",SUMIF('[1]TrialBalance (YTD)'!$C:$C,B886,'[1]TrialBalance (YTD)'!$E:$E),SUMIF('[1]TrialBalance (YTD)'!$G:$G,B886,'[1]TrialBalance (YTD)'!$I:$I))</f>
        <v>#VALUE!</v>
      </c>
      <c r="G886" s="5">
        <f>IFERROR(INDEX('[1]TrialBalance (YTD)'!$G:$S,MATCH([1]TBMapping!$C888,'[1]TrialBalance (YTD)'!G:G,0),MATCH([1]TBMapping!H$3,'[1]TrialBalance (YTD)'!$G$7:$Z$7,0)),0)</f>
        <v>0</v>
      </c>
      <c r="H886" s="5" t="e">
        <f>SUMIF('[1]TrialBalance (YTD)'!G:G,B886,'[1]TrialBalance (YTD)'!H:H)</f>
        <v>#VALUE!</v>
      </c>
      <c r="I886" s="5">
        <f>IFERROR(INDEX('[1]TrialBalance (YTD)'!$G:$S,MATCH([1]TBMapping!$C888,'[1]TrialBalance (YTD)'!G:G,0),MATCH([1]TBMapping!J$3,'[1]TrialBalance (YTD)'!$G$7:$Z$7,0)),0)</f>
        <v>0</v>
      </c>
      <c r="K886" s="5" t="e">
        <f>SUMIF('[1]TrialBalance (Quarter)'!$A:$A,B886,'[1]TrialBalance (Quarter)'!$B:$B)</f>
        <v>#VALUE!</v>
      </c>
      <c r="L886" s="5">
        <f>IFERROR(INDEX('[1]TrialBalance (Quarter)'!$A:$L,MATCH([1]TBMapping!$C888,'[1]TrialBalance (Quarter)'!A:A,0),MATCH([1]TBMapping!M$3,'[1]TrialBalance (Quarter)'!$7:$7,0)),0)</f>
        <v>0</v>
      </c>
      <c r="M886" s="5">
        <f>IFERROR(INDEX('[1]TrialBalance (Quarter)'!$A:$L,MATCH([1]TBMapping!$C888,'[1]TrialBalance (Quarter)'!A:A,0),MATCH([1]TBMapping!N$3,'[1]TrialBalance (Quarter)'!$7:$7,0)),0)</f>
        <v>0</v>
      </c>
      <c r="N886" s="5">
        <f>IFERROR(INDEX('[1]TrialBalance (Quarter)'!$A:$L,MATCH([1]TBMapping!$C888,'[1]TrialBalance (Quarter)'!A:A,0),MATCH([1]TBMapping!O$3,'[1]TrialBalance (Quarter)'!$7:$7,0)),0)</f>
        <v>0</v>
      </c>
    </row>
    <row r="887" spans="1:14">
      <c r="A887" s="2">
        <v>19</v>
      </c>
      <c r="B887" s="3">
        <v>392014</v>
      </c>
      <c r="C887" s="11" t="s">
        <v>698</v>
      </c>
      <c r="D887" s="11" t="s">
        <v>11</v>
      </c>
      <c r="E887" s="11"/>
      <c r="F887" s="5" t="e">
        <f>IF(DataExtraction="Manual",SUMIF('[1]TrialBalance (YTD)'!$C:$C,B887,'[1]TrialBalance (YTD)'!$E:$E),SUMIF('[1]TrialBalance (YTD)'!$G:$G,B887,'[1]TrialBalance (YTD)'!$I:$I))</f>
        <v>#VALUE!</v>
      </c>
      <c r="G887" s="5">
        <f>IFERROR(INDEX('[1]TrialBalance (YTD)'!$G:$S,MATCH([1]TBMapping!$C889,'[1]TrialBalance (YTD)'!G:G,0),MATCH([1]TBMapping!H$3,'[1]TrialBalance (YTD)'!$G$7:$Z$7,0)),0)</f>
        <v>0</v>
      </c>
      <c r="H887" s="5" t="e">
        <f>SUMIF('[1]TrialBalance (YTD)'!G:G,B887,'[1]TrialBalance (YTD)'!H:H)</f>
        <v>#VALUE!</v>
      </c>
      <c r="I887" s="5">
        <f>IFERROR(INDEX('[1]TrialBalance (YTD)'!$G:$S,MATCH([1]TBMapping!$C889,'[1]TrialBalance (YTD)'!G:G,0),MATCH([1]TBMapping!J$3,'[1]TrialBalance (YTD)'!$G$7:$Z$7,0)),0)</f>
        <v>0</v>
      </c>
      <c r="K887" s="5" t="e">
        <f>SUMIF('[1]TrialBalance (Quarter)'!$A:$A,B887,'[1]TrialBalance (Quarter)'!$B:$B)</f>
        <v>#VALUE!</v>
      </c>
      <c r="L887" s="5">
        <f>IFERROR(INDEX('[1]TrialBalance (Quarter)'!$A:$L,MATCH([1]TBMapping!$C889,'[1]TrialBalance (Quarter)'!A:A,0),MATCH([1]TBMapping!M$3,'[1]TrialBalance (Quarter)'!$7:$7,0)),0)</f>
        <v>0</v>
      </c>
      <c r="M887" s="5">
        <f>IFERROR(INDEX('[1]TrialBalance (Quarter)'!$A:$L,MATCH([1]TBMapping!$C889,'[1]TrialBalance (Quarter)'!A:A,0),MATCH([1]TBMapping!N$3,'[1]TrialBalance (Quarter)'!$7:$7,0)),0)</f>
        <v>0</v>
      </c>
      <c r="N887" s="5">
        <f>IFERROR(INDEX('[1]TrialBalance (Quarter)'!$A:$L,MATCH([1]TBMapping!$C889,'[1]TrialBalance (Quarter)'!A:A,0),MATCH([1]TBMapping!O$3,'[1]TrialBalance (Quarter)'!$7:$7,0)),0)</f>
        <v>0</v>
      </c>
    </row>
    <row r="888" spans="1:14">
      <c r="A888" s="2">
        <v>19</v>
      </c>
      <c r="B888" s="3">
        <v>392015</v>
      </c>
      <c r="C888" s="10" t="s">
        <v>699</v>
      </c>
      <c r="D888" s="10" t="s">
        <v>11</v>
      </c>
      <c r="E888" s="10"/>
      <c r="F888" s="5" t="e">
        <f>IF(DataExtraction="Manual",SUMIF('[1]TrialBalance (YTD)'!$C:$C,B888,'[1]TrialBalance (YTD)'!$E:$E),SUMIF('[1]TrialBalance (YTD)'!$G:$G,B888,'[1]TrialBalance (YTD)'!$I:$I))</f>
        <v>#VALUE!</v>
      </c>
      <c r="G888" s="5">
        <f>IFERROR(INDEX('[1]TrialBalance (YTD)'!$G:$S,MATCH([1]TBMapping!$C890,'[1]TrialBalance (YTD)'!G:G,0),MATCH([1]TBMapping!H$3,'[1]TrialBalance (YTD)'!$G$7:$Z$7,0)),0)</f>
        <v>0</v>
      </c>
      <c r="H888" s="5" t="e">
        <f>SUMIF('[1]TrialBalance (YTD)'!G:G,B888,'[1]TrialBalance (YTD)'!H:H)</f>
        <v>#VALUE!</v>
      </c>
      <c r="I888" s="5">
        <f>IFERROR(INDEX('[1]TrialBalance (YTD)'!$G:$S,MATCH([1]TBMapping!$C890,'[1]TrialBalance (YTD)'!G:G,0),MATCH([1]TBMapping!J$3,'[1]TrialBalance (YTD)'!$G$7:$Z$7,0)),0)</f>
        <v>0</v>
      </c>
      <c r="K888" s="5" t="e">
        <f>SUMIF('[1]TrialBalance (Quarter)'!$A:$A,B888,'[1]TrialBalance (Quarter)'!$B:$B)</f>
        <v>#VALUE!</v>
      </c>
      <c r="L888" s="5">
        <f>IFERROR(INDEX('[1]TrialBalance (Quarter)'!$A:$L,MATCH([1]TBMapping!$C890,'[1]TrialBalance (Quarter)'!A:A,0),MATCH([1]TBMapping!M$3,'[1]TrialBalance (Quarter)'!$7:$7,0)),0)</f>
        <v>0</v>
      </c>
      <c r="M888" s="5">
        <f>IFERROR(INDEX('[1]TrialBalance (Quarter)'!$A:$L,MATCH([1]TBMapping!$C890,'[1]TrialBalance (Quarter)'!A:A,0),MATCH([1]TBMapping!N$3,'[1]TrialBalance (Quarter)'!$7:$7,0)),0)</f>
        <v>0</v>
      </c>
      <c r="N888" s="5">
        <f>IFERROR(INDEX('[1]TrialBalance (Quarter)'!$A:$L,MATCH([1]TBMapping!$C890,'[1]TrialBalance (Quarter)'!A:A,0),MATCH([1]TBMapping!O$3,'[1]TrialBalance (Quarter)'!$7:$7,0)),0)</f>
        <v>0</v>
      </c>
    </row>
    <row r="889" spans="1:14">
      <c r="A889" s="2">
        <v>19</v>
      </c>
      <c r="B889" s="3">
        <v>392016</v>
      </c>
      <c r="C889" s="11" t="s">
        <v>700</v>
      </c>
      <c r="D889" s="11" t="s">
        <v>11</v>
      </c>
      <c r="E889" s="11"/>
      <c r="F889" s="5" t="e">
        <f>IF(DataExtraction="Manual",SUMIF('[1]TrialBalance (YTD)'!$C:$C,B889,'[1]TrialBalance (YTD)'!$E:$E),SUMIF('[1]TrialBalance (YTD)'!$G:$G,B889,'[1]TrialBalance (YTD)'!$I:$I))</f>
        <v>#VALUE!</v>
      </c>
      <c r="G889" s="5">
        <f>IFERROR(INDEX('[1]TrialBalance (YTD)'!$G:$S,MATCH([1]TBMapping!$C891,'[1]TrialBalance (YTD)'!G:G,0),MATCH([1]TBMapping!H$3,'[1]TrialBalance (YTD)'!$G$7:$Z$7,0)),0)</f>
        <v>0</v>
      </c>
      <c r="H889" s="5" t="e">
        <f>SUMIF('[1]TrialBalance (YTD)'!G:G,B889,'[1]TrialBalance (YTD)'!H:H)</f>
        <v>#VALUE!</v>
      </c>
      <c r="I889" s="5">
        <f>IFERROR(INDEX('[1]TrialBalance (YTD)'!$G:$S,MATCH([1]TBMapping!$C891,'[1]TrialBalance (YTD)'!G:G,0),MATCH([1]TBMapping!J$3,'[1]TrialBalance (YTD)'!$G$7:$Z$7,0)),0)</f>
        <v>0</v>
      </c>
      <c r="K889" s="5" t="e">
        <f>SUMIF('[1]TrialBalance (Quarter)'!$A:$A,B889,'[1]TrialBalance (Quarter)'!$B:$B)</f>
        <v>#VALUE!</v>
      </c>
      <c r="L889" s="5">
        <f>IFERROR(INDEX('[1]TrialBalance (Quarter)'!$A:$L,MATCH([1]TBMapping!$C891,'[1]TrialBalance (Quarter)'!A:A,0),MATCH([1]TBMapping!M$3,'[1]TrialBalance (Quarter)'!$7:$7,0)),0)</f>
        <v>0</v>
      </c>
      <c r="M889" s="5">
        <f>IFERROR(INDEX('[1]TrialBalance (Quarter)'!$A:$L,MATCH([1]TBMapping!$C891,'[1]TrialBalance (Quarter)'!A:A,0),MATCH([1]TBMapping!N$3,'[1]TrialBalance (Quarter)'!$7:$7,0)),0)</f>
        <v>0</v>
      </c>
      <c r="N889" s="5">
        <f>IFERROR(INDEX('[1]TrialBalance (Quarter)'!$A:$L,MATCH([1]TBMapping!$C891,'[1]TrialBalance (Quarter)'!A:A,0),MATCH([1]TBMapping!O$3,'[1]TrialBalance (Quarter)'!$7:$7,0)),0)</f>
        <v>0</v>
      </c>
    </row>
    <row r="890" spans="1:14">
      <c r="A890" s="2">
        <v>19</v>
      </c>
      <c r="B890" s="3">
        <v>392017</v>
      </c>
      <c r="C890" s="10" t="s">
        <v>701</v>
      </c>
      <c r="D890" s="10" t="s">
        <v>11</v>
      </c>
      <c r="E890" s="10"/>
      <c r="F890" s="5" t="e">
        <f>IF(DataExtraction="Manual",SUMIF('[1]TrialBalance (YTD)'!$C:$C,B890,'[1]TrialBalance (YTD)'!$E:$E),SUMIF('[1]TrialBalance (YTD)'!$G:$G,B890,'[1]TrialBalance (YTD)'!$I:$I))</f>
        <v>#VALUE!</v>
      </c>
      <c r="G890" s="5">
        <f>IFERROR(INDEX('[1]TrialBalance (YTD)'!$G:$S,MATCH([1]TBMapping!$C892,'[1]TrialBalance (YTD)'!G:G,0),MATCH([1]TBMapping!H$3,'[1]TrialBalance (YTD)'!$G$7:$Z$7,0)),0)</f>
        <v>0</v>
      </c>
      <c r="H890" s="5" t="e">
        <f>SUMIF('[1]TrialBalance (YTD)'!G:G,B890,'[1]TrialBalance (YTD)'!H:H)</f>
        <v>#VALUE!</v>
      </c>
      <c r="I890" s="5">
        <f>IFERROR(INDEX('[1]TrialBalance (YTD)'!$G:$S,MATCH([1]TBMapping!$C892,'[1]TrialBalance (YTD)'!G:G,0),MATCH([1]TBMapping!J$3,'[1]TrialBalance (YTD)'!$G$7:$Z$7,0)),0)</f>
        <v>0</v>
      </c>
      <c r="K890" s="5" t="e">
        <f>SUMIF('[1]TrialBalance (Quarter)'!$A:$A,B890,'[1]TrialBalance (Quarter)'!$B:$B)</f>
        <v>#VALUE!</v>
      </c>
      <c r="L890" s="5">
        <f>IFERROR(INDEX('[1]TrialBalance (Quarter)'!$A:$L,MATCH([1]TBMapping!$C892,'[1]TrialBalance (Quarter)'!A:A,0),MATCH([1]TBMapping!M$3,'[1]TrialBalance (Quarter)'!$7:$7,0)),0)</f>
        <v>0</v>
      </c>
      <c r="M890" s="5">
        <f>IFERROR(INDEX('[1]TrialBalance (Quarter)'!$A:$L,MATCH([1]TBMapping!$C892,'[1]TrialBalance (Quarter)'!A:A,0),MATCH([1]TBMapping!N$3,'[1]TrialBalance (Quarter)'!$7:$7,0)),0)</f>
        <v>0</v>
      </c>
      <c r="N890" s="5">
        <f>IFERROR(INDEX('[1]TrialBalance (Quarter)'!$A:$L,MATCH([1]TBMapping!$C892,'[1]TrialBalance (Quarter)'!A:A,0),MATCH([1]TBMapping!O$3,'[1]TrialBalance (Quarter)'!$7:$7,0)),0)</f>
        <v>0</v>
      </c>
    </row>
    <row r="891" spans="1:14">
      <c r="A891" s="2">
        <v>19</v>
      </c>
      <c r="B891" s="3">
        <v>392021</v>
      </c>
      <c r="C891" s="11" t="s">
        <v>702</v>
      </c>
      <c r="D891" s="11" t="s">
        <v>11</v>
      </c>
      <c r="E891" s="11"/>
      <c r="F891" s="5" t="e">
        <f>IF(DataExtraction="Manual",SUMIF('[1]TrialBalance (YTD)'!$C:$C,B891,'[1]TrialBalance (YTD)'!$E:$E),SUMIF('[1]TrialBalance (YTD)'!$G:$G,B891,'[1]TrialBalance (YTD)'!$I:$I))</f>
        <v>#VALUE!</v>
      </c>
      <c r="G891" s="5">
        <f>IFERROR(INDEX('[1]TrialBalance (YTD)'!$G:$S,MATCH([1]TBMapping!$C893,'[1]TrialBalance (YTD)'!G:G,0),MATCH([1]TBMapping!H$3,'[1]TrialBalance (YTD)'!$G$7:$Z$7,0)),0)</f>
        <v>0</v>
      </c>
      <c r="H891" s="5" t="e">
        <f>SUMIF('[1]TrialBalance (YTD)'!G:G,B891,'[1]TrialBalance (YTD)'!H:H)</f>
        <v>#VALUE!</v>
      </c>
      <c r="I891" s="5">
        <f>IFERROR(INDEX('[1]TrialBalance (YTD)'!$G:$S,MATCH([1]TBMapping!$C893,'[1]TrialBalance (YTD)'!G:G,0),MATCH([1]TBMapping!J$3,'[1]TrialBalance (YTD)'!$G$7:$Z$7,0)),0)</f>
        <v>0</v>
      </c>
      <c r="K891" s="5" t="e">
        <f>SUMIF('[1]TrialBalance (Quarter)'!$A:$A,B891,'[1]TrialBalance (Quarter)'!$B:$B)</f>
        <v>#VALUE!</v>
      </c>
      <c r="L891" s="5">
        <f>IFERROR(INDEX('[1]TrialBalance (Quarter)'!$A:$L,MATCH([1]TBMapping!$C893,'[1]TrialBalance (Quarter)'!A:A,0),MATCH([1]TBMapping!M$3,'[1]TrialBalance (Quarter)'!$7:$7,0)),0)</f>
        <v>0</v>
      </c>
      <c r="M891" s="5">
        <f>IFERROR(INDEX('[1]TrialBalance (Quarter)'!$A:$L,MATCH([1]TBMapping!$C893,'[1]TrialBalance (Quarter)'!A:A,0),MATCH([1]TBMapping!N$3,'[1]TrialBalance (Quarter)'!$7:$7,0)),0)</f>
        <v>0</v>
      </c>
      <c r="N891" s="5">
        <f>IFERROR(INDEX('[1]TrialBalance (Quarter)'!$A:$L,MATCH([1]TBMapping!$C893,'[1]TrialBalance (Quarter)'!A:A,0),MATCH([1]TBMapping!O$3,'[1]TrialBalance (Quarter)'!$7:$7,0)),0)</f>
        <v>0</v>
      </c>
    </row>
    <row r="892" spans="1:14">
      <c r="A892" s="2">
        <v>19</v>
      </c>
      <c r="B892" s="3">
        <v>392022</v>
      </c>
      <c r="C892" s="10" t="s">
        <v>703</v>
      </c>
      <c r="D892" s="10" t="s">
        <v>11</v>
      </c>
      <c r="E892" s="10"/>
      <c r="F892" s="5" t="e">
        <f>IF(DataExtraction="Manual",SUMIF('[1]TrialBalance (YTD)'!$C:$C,B892,'[1]TrialBalance (YTD)'!$E:$E),SUMIF('[1]TrialBalance (YTD)'!$G:$G,B892,'[1]TrialBalance (YTD)'!$I:$I))</f>
        <v>#VALUE!</v>
      </c>
      <c r="G892" s="5">
        <f>IFERROR(INDEX('[1]TrialBalance (YTD)'!$G:$S,MATCH([1]TBMapping!$C894,'[1]TrialBalance (YTD)'!G:G,0),MATCH([1]TBMapping!H$3,'[1]TrialBalance (YTD)'!$G$7:$Z$7,0)),0)</f>
        <v>0</v>
      </c>
      <c r="H892" s="5" t="e">
        <f>SUMIF('[1]TrialBalance (YTD)'!G:G,B892,'[1]TrialBalance (YTD)'!H:H)</f>
        <v>#VALUE!</v>
      </c>
      <c r="I892" s="5">
        <f>IFERROR(INDEX('[1]TrialBalance (YTD)'!$G:$S,MATCH([1]TBMapping!$C894,'[1]TrialBalance (YTD)'!G:G,0),MATCH([1]TBMapping!J$3,'[1]TrialBalance (YTD)'!$G$7:$Z$7,0)),0)</f>
        <v>0</v>
      </c>
      <c r="K892" s="5" t="e">
        <f>SUMIF('[1]TrialBalance (Quarter)'!$A:$A,B892,'[1]TrialBalance (Quarter)'!$B:$B)</f>
        <v>#VALUE!</v>
      </c>
      <c r="L892" s="5">
        <f>IFERROR(INDEX('[1]TrialBalance (Quarter)'!$A:$L,MATCH([1]TBMapping!$C894,'[1]TrialBalance (Quarter)'!A:A,0),MATCH([1]TBMapping!M$3,'[1]TrialBalance (Quarter)'!$7:$7,0)),0)</f>
        <v>0</v>
      </c>
      <c r="M892" s="5">
        <f>IFERROR(INDEX('[1]TrialBalance (Quarter)'!$A:$L,MATCH([1]TBMapping!$C894,'[1]TrialBalance (Quarter)'!A:A,0),MATCH([1]TBMapping!N$3,'[1]TrialBalance (Quarter)'!$7:$7,0)),0)</f>
        <v>0</v>
      </c>
      <c r="N892" s="5">
        <f>IFERROR(INDEX('[1]TrialBalance (Quarter)'!$A:$L,MATCH([1]TBMapping!$C894,'[1]TrialBalance (Quarter)'!A:A,0),MATCH([1]TBMapping!O$3,'[1]TrialBalance (Quarter)'!$7:$7,0)),0)</f>
        <v>0</v>
      </c>
    </row>
    <row r="893" spans="1:14">
      <c r="A893" s="2">
        <v>19</v>
      </c>
      <c r="B893" s="3">
        <v>392023</v>
      </c>
      <c r="C893" s="11" t="s">
        <v>704</v>
      </c>
      <c r="D893" s="11" t="s">
        <v>11</v>
      </c>
      <c r="E893" s="11"/>
      <c r="F893" s="5" t="e">
        <f>IF(DataExtraction="Manual",SUMIF('[1]TrialBalance (YTD)'!$C:$C,B893,'[1]TrialBalance (YTD)'!$E:$E),SUMIF('[1]TrialBalance (YTD)'!$G:$G,B893,'[1]TrialBalance (YTD)'!$I:$I))</f>
        <v>#VALUE!</v>
      </c>
      <c r="G893" s="5">
        <f>IFERROR(INDEX('[1]TrialBalance (YTD)'!$G:$S,MATCH([1]TBMapping!$C895,'[1]TrialBalance (YTD)'!G:G,0),MATCH([1]TBMapping!H$3,'[1]TrialBalance (YTD)'!$G$7:$Z$7,0)),0)</f>
        <v>0</v>
      </c>
      <c r="H893" s="5" t="e">
        <f>SUMIF('[1]TrialBalance (YTD)'!G:G,B893,'[1]TrialBalance (YTD)'!H:H)</f>
        <v>#VALUE!</v>
      </c>
      <c r="I893" s="5">
        <f>IFERROR(INDEX('[1]TrialBalance (YTD)'!$G:$S,MATCH([1]TBMapping!$C895,'[1]TrialBalance (YTD)'!G:G,0),MATCH([1]TBMapping!J$3,'[1]TrialBalance (YTD)'!$G$7:$Z$7,0)),0)</f>
        <v>0</v>
      </c>
      <c r="K893" s="5" t="e">
        <f>SUMIF('[1]TrialBalance (Quarter)'!$A:$A,B893,'[1]TrialBalance (Quarter)'!$B:$B)</f>
        <v>#VALUE!</v>
      </c>
      <c r="L893" s="5">
        <f>IFERROR(INDEX('[1]TrialBalance (Quarter)'!$A:$L,MATCH([1]TBMapping!$C895,'[1]TrialBalance (Quarter)'!A:A,0),MATCH([1]TBMapping!M$3,'[1]TrialBalance (Quarter)'!$7:$7,0)),0)</f>
        <v>0</v>
      </c>
      <c r="M893" s="5">
        <f>IFERROR(INDEX('[1]TrialBalance (Quarter)'!$A:$L,MATCH([1]TBMapping!$C895,'[1]TrialBalance (Quarter)'!A:A,0),MATCH([1]TBMapping!N$3,'[1]TrialBalance (Quarter)'!$7:$7,0)),0)</f>
        <v>0</v>
      </c>
      <c r="N893" s="5">
        <f>IFERROR(INDEX('[1]TrialBalance (Quarter)'!$A:$L,MATCH([1]TBMapping!$C895,'[1]TrialBalance (Quarter)'!A:A,0),MATCH([1]TBMapping!O$3,'[1]TrialBalance (Quarter)'!$7:$7,0)),0)</f>
        <v>0</v>
      </c>
    </row>
    <row r="894" spans="1:14">
      <c r="A894" s="2">
        <v>19</v>
      </c>
      <c r="B894" s="3">
        <v>392024</v>
      </c>
      <c r="C894" s="10" t="s">
        <v>705</v>
      </c>
      <c r="D894" s="10" t="s">
        <v>11</v>
      </c>
      <c r="E894" s="10"/>
      <c r="F894" s="5" t="e">
        <f>IF(DataExtraction="Manual",SUMIF('[1]TrialBalance (YTD)'!$C:$C,B894,'[1]TrialBalance (YTD)'!$E:$E),SUMIF('[1]TrialBalance (YTD)'!$G:$G,B894,'[1]TrialBalance (YTD)'!$I:$I))</f>
        <v>#VALUE!</v>
      </c>
      <c r="G894" s="5">
        <f>IFERROR(INDEX('[1]TrialBalance (YTD)'!$G:$S,MATCH([1]TBMapping!$C896,'[1]TrialBalance (YTD)'!G:G,0),MATCH([1]TBMapping!H$3,'[1]TrialBalance (YTD)'!$G$7:$Z$7,0)),0)</f>
        <v>0</v>
      </c>
      <c r="H894" s="5" t="e">
        <f>SUMIF('[1]TrialBalance (YTD)'!G:G,B894,'[1]TrialBalance (YTD)'!H:H)</f>
        <v>#VALUE!</v>
      </c>
      <c r="I894" s="5">
        <f>IFERROR(INDEX('[1]TrialBalance (YTD)'!$G:$S,MATCH([1]TBMapping!$C896,'[1]TrialBalance (YTD)'!G:G,0),MATCH([1]TBMapping!J$3,'[1]TrialBalance (YTD)'!$G$7:$Z$7,0)),0)</f>
        <v>0</v>
      </c>
      <c r="K894" s="5" t="e">
        <f>SUMIF('[1]TrialBalance (Quarter)'!$A:$A,B894,'[1]TrialBalance (Quarter)'!$B:$B)</f>
        <v>#VALUE!</v>
      </c>
      <c r="L894" s="5">
        <f>IFERROR(INDEX('[1]TrialBalance (Quarter)'!$A:$L,MATCH([1]TBMapping!$C896,'[1]TrialBalance (Quarter)'!A:A,0),MATCH([1]TBMapping!M$3,'[1]TrialBalance (Quarter)'!$7:$7,0)),0)</f>
        <v>0</v>
      </c>
      <c r="M894" s="5">
        <f>IFERROR(INDEX('[1]TrialBalance (Quarter)'!$A:$L,MATCH([1]TBMapping!$C896,'[1]TrialBalance (Quarter)'!A:A,0),MATCH([1]TBMapping!N$3,'[1]TrialBalance (Quarter)'!$7:$7,0)),0)</f>
        <v>0</v>
      </c>
      <c r="N894" s="5">
        <f>IFERROR(INDEX('[1]TrialBalance (Quarter)'!$A:$L,MATCH([1]TBMapping!$C896,'[1]TrialBalance (Quarter)'!A:A,0),MATCH([1]TBMapping!O$3,'[1]TrialBalance (Quarter)'!$7:$7,0)),0)</f>
        <v>0</v>
      </c>
    </row>
    <row r="895" spans="1:14">
      <c r="A895" s="2">
        <v>19</v>
      </c>
      <c r="B895" s="3">
        <v>392025</v>
      </c>
      <c r="C895" s="11" t="s">
        <v>706</v>
      </c>
      <c r="D895" s="11" t="s">
        <v>11</v>
      </c>
      <c r="E895" s="11"/>
      <c r="F895" s="5" t="e">
        <f>IF(DataExtraction="Manual",SUMIF('[1]TrialBalance (YTD)'!$C:$C,B895,'[1]TrialBalance (YTD)'!$E:$E),SUMIF('[1]TrialBalance (YTD)'!$G:$G,B895,'[1]TrialBalance (YTD)'!$I:$I))</f>
        <v>#VALUE!</v>
      </c>
      <c r="G895" s="5">
        <f>IFERROR(INDEX('[1]TrialBalance (YTD)'!$G:$S,MATCH([1]TBMapping!$C897,'[1]TrialBalance (YTD)'!G:G,0),MATCH([1]TBMapping!H$3,'[1]TrialBalance (YTD)'!$G$7:$Z$7,0)),0)</f>
        <v>0</v>
      </c>
      <c r="H895" s="5" t="e">
        <f>SUMIF('[1]TrialBalance (YTD)'!G:G,B895,'[1]TrialBalance (YTD)'!H:H)</f>
        <v>#VALUE!</v>
      </c>
      <c r="I895" s="5">
        <f>IFERROR(INDEX('[1]TrialBalance (YTD)'!$G:$S,MATCH([1]TBMapping!$C897,'[1]TrialBalance (YTD)'!G:G,0),MATCH([1]TBMapping!J$3,'[1]TrialBalance (YTD)'!$G$7:$Z$7,0)),0)</f>
        <v>0</v>
      </c>
      <c r="K895" s="5" t="e">
        <f>SUMIF('[1]TrialBalance (Quarter)'!$A:$A,B895,'[1]TrialBalance (Quarter)'!$B:$B)</f>
        <v>#VALUE!</v>
      </c>
      <c r="L895" s="5">
        <f>IFERROR(INDEX('[1]TrialBalance (Quarter)'!$A:$L,MATCH([1]TBMapping!$C897,'[1]TrialBalance (Quarter)'!A:A,0),MATCH([1]TBMapping!M$3,'[1]TrialBalance (Quarter)'!$7:$7,0)),0)</f>
        <v>0</v>
      </c>
      <c r="M895" s="5">
        <f>IFERROR(INDEX('[1]TrialBalance (Quarter)'!$A:$L,MATCH([1]TBMapping!$C897,'[1]TrialBalance (Quarter)'!A:A,0),MATCH([1]TBMapping!N$3,'[1]TrialBalance (Quarter)'!$7:$7,0)),0)</f>
        <v>0</v>
      </c>
      <c r="N895" s="5">
        <f>IFERROR(INDEX('[1]TrialBalance (Quarter)'!$A:$L,MATCH([1]TBMapping!$C897,'[1]TrialBalance (Quarter)'!A:A,0),MATCH([1]TBMapping!O$3,'[1]TrialBalance (Quarter)'!$7:$7,0)),0)</f>
        <v>0</v>
      </c>
    </row>
    <row r="896" spans="1:14">
      <c r="A896" s="2">
        <v>19</v>
      </c>
      <c r="B896" s="3">
        <v>392026</v>
      </c>
      <c r="C896" s="10" t="s">
        <v>707</v>
      </c>
      <c r="D896" s="10" t="s">
        <v>11</v>
      </c>
      <c r="E896" s="10"/>
      <c r="F896" s="5" t="e">
        <f>IF(DataExtraction="Manual",SUMIF('[1]TrialBalance (YTD)'!$C:$C,B896,'[1]TrialBalance (YTD)'!$E:$E),SUMIF('[1]TrialBalance (YTD)'!$G:$G,B896,'[1]TrialBalance (YTD)'!$I:$I))</f>
        <v>#VALUE!</v>
      </c>
      <c r="G896" s="5">
        <f>IFERROR(INDEX('[1]TrialBalance (YTD)'!$G:$S,MATCH([1]TBMapping!$C898,'[1]TrialBalance (YTD)'!G:G,0),MATCH([1]TBMapping!H$3,'[1]TrialBalance (YTD)'!$G$7:$Z$7,0)),0)</f>
        <v>0</v>
      </c>
      <c r="H896" s="5" t="e">
        <f>SUMIF('[1]TrialBalance (YTD)'!G:G,B896,'[1]TrialBalance (YTD)'!H:H)</f>
        <v>#VALUE!</v>
      </c>
      <c r="I896" s="5">
        <f>IFERROR(INDEX('[1]TrialBalance (YTD)'!$G:$S,MATCH([1]TBMapping!$C898,'[1]TrialBalance (YTD)'!G:G,0),MATCH([1]TBMapping!J$3,'[1]TrialBalance (YTD)'!$G$7:$Z$7,0)),0)</f>
        <v>0</v>
      </c>
      <c r="K896" s="5" t="e">
        <f>SUMIF('[1]TrialBalance (Quarter)'!$A:$A,B896,'[1]TrialBalance (Quarter)'!$B:$B)</f>
        <v>#VALUE!</v>
      </c>
      <c r="L896" s="5">
        <f>IFERROR(INDEX('[1]TrialBalance (Quarter)'!$A:$L,MATCH([1]TBMapping!$C898,'[1]TrialBalance (Quarter)'!A:A,0),MATCH([1]TBMapping!M$3,'[1]TrialBalance (Quarter)'!$7:$7,0)),0)</f>
        <v>0</v>
      </c>
      <c r="M896" s="5">
        <f>IFERROR(INDEX('[1]TrialBalance (Quarter)'!$A:$L,MATCH([1]TBMapping!$C898,'[1]TrialBalance (Quarter)'!A:A,0),MATCH([1]TBMapping!N$3,'[1]TrialBalance (Quarter)'!$7:$7,0)),0)</f>
        <v>0</v>
      </c>
      <c r="N896" s="5">
        <f>IFERROR(INDEX('[1]TrialBalance (Quarter)'!$A:$L,MATCH([1]TBMapping!$C898,'[1]TrialBalance (Quarter)'!A:A,0),MATCH([1]TBMapping!O$3,'[1]TrialBalance (Quarter)'!$7:$7,0)),0)</f>
        <v>0</v>
      </c>
    </row>
    <row r="897" spans="1:14">
      <c r="A897" s="2">
        <v>19</v>
      </c>
      <c r="B897" s="3">
        <v>392027</v>
      </c>
      <c r="C897" s="11" t="s">
        <v>708</v>
      </c>
      <c r="D897" s="11" t="s">
        <v>11</v>
      </c>
      <c r="E897" s="11"/>
      <c r="F897" s="5" t="e">
        <f>IF(DataExtraction="Manual",SUMIF('[1]TrialBalance (YTD)'!$C:$C,B897,'[1]TrialBalance (YTD)'!$E:$E),SUMIF('[1]TrialBalance (YTD)'!$G:$G,B897,'[1]TrialBalance (YTD)'!$I:$I))</f>
        <v>#VALUE!</v>
      </c>
      <c r="G897" s="5">
        <f>IFERROR(INDEX('[1]TrialBalance (YTD)'!$G:$S,MATCH([1]TBMapping!$C899,'[1]TrialBalance (YTD)'!G:G,0),MATCH([1]TBMapping!H$3,'[1]TrialBalance (YTD)'!$G$7:$Z$7,0)),0)</f>
        <v>0</v>
      </c>
      <c r="H897" s="5" t="e">
        <f>SUMIF('[1]TrialBalance (YTD)'!G:G,B897,'[1]TrialBalance (YTD)'!H:H)</f>
        <v>#VALUE!</v>
      </c>
      <c r="I897" s="5">
        <f>IFERROR(INDEX('[1]TrialBalance (YTD)'!$G:$S,MATCH([1]TBMapping!$C899,'[1]TrialBalance (YTD)'!G:G,0),MATCH([1]TBMapping!J$3,'[1]TrialBalance (YTD)'!$G$7:$Z$7,0)),0)</f>
        <v>0</v>
      </c>
      <c r="K897" s="5" t="e">
        <f>SUMIF('[1]TrialBalance (Quarter)'!$A:$A,B897,'[1]TrialBalance (Quarter)'!$B:$B)</f>
        <v>#VALUE!</v>
      </c>
      <c r="L897" s="5">
        <f>IFERROR(INDEX('[1]TrialBalance (Quarter)'!$A:$L,MATCH([1]TBMapping!$C899,'[1]TrialBalance (Quarter)'!A:A,0),MATCH([1]TBMapping!M$3,'[1]TrialBalance (Quarter)'!$7:$7,0)),0)</f>
        <v>0</v>
      </c>
      <c r="M897" s="5">
        <f>IFERROR(INDEX('[1]TrialBalance (Quarter)'!$A:$L,MATCH([1]TBMapping!$C899,'[1]TrialBalance (Quarter)'!A:A,0),MATCH([1]TBMapping!N$3,'[1]TrialBalance (Quarter)'!$7:$7,0)),0)</f>
        <v>0</v>
      </c>
      <c r="N897" s="5">
        <f>IFERROR(INDEX('[1]TrialBalance (Quarter)'!$A:$L,MATCH([1]TBMapping!$C899,'[1]TrialBalance (Quarter)'!A:A,0),MATCH([1]TBMapping!O$3,'[1]TrialBalance (Quarter)'!$7:$7,0)),0)</f>
        <v>0</v>
      </c>
    </row>
    <row r="898" spans="1:14">
      <c r="A898" s="2">
        <v>19</v>
      </c>
      <c r="B898" s="3">
        <v>392028</v>
      </c>
      <c r="C898" s="10" t="s">
        <v>709</v>
      </c>
      <c r="D898" s="10" t="s">
        <v>11</v>
      </c>
      <c r="E898" s="10"/>
      <c r="F898" s="5" t="e">
        <f>IF(DataExtraction="Manual",SUMIF('[1]TrialBalance (YTD)'!$C:$C,B898,'[1]TrialBalance (YTD)'!$E:$E),SUMIF('[1]TrialBalance (YTD)'!$G:$G,B898,'[1]TrialBalance (YTD)'!$I:$I))</f>
        <v>#VALUE!</v>
      </c>
      <c r="G898" s="5">
        <f>IFERROR(INDEX('[1]TrialBalance (YTD)'!$G:$S,MATCH([1]TBMapping!$C900,'[1]TrialBalance (YTD)'!G:G,0),MATCH([1]TBMapping!H$3,'[1]TrialBalance (YTD)'!$G$7:$Z$7,0)),0)</f>
        <v>0</v>
      </c>
      <c r="H898" s="5" t="e">
        <f>SUMIF('[1]TrialBalance (YTD)'!G:G,B898,'[1]TrialBalance (YTD)'!H:H)</f>
        <v>#VALUE!</v>
      </c>
      <c r="I898" s="5">
        <f>IFERROR(INDEX('[1]TrialBalance (YTD)'!$G:$S,MATCH([1]TBMapping!$C900,'[1]TrialBalance (YTD)'!G:G,0),MATCH([1]TBMapping!J$3,'[1]TrialBalance (YTD)'!$G$7:$Z$7,0)),0)</f>
        <v>0</v>
      </c>
      <c r="K898" s="5" t="e">
        <f>SUMIF('[1]TrialBalance (Quarter)'!$A:$A,B898,'[1]TrialBalance (Quarter)'!$B:$B)</f>
        <v>#VALUE!</v>
      </c>
      <c r="L898" s="5">
        <f>IFERROR(INDEX('[1]TrialBalance (Quarter)'!$A:$L,MATCH([1]TBMapping!$C900,'[1]TrialBalance (Quarter)'!A:A,0),MATCH([1]TBMapping!M$3,'[1]TrialBalance (Quarter)'!$7:$7,0)),0)</f>
        <v>0</v>
      </c>
      <c r="M898" s="5">
        <f>IFERROR(INDEX('[1]TrialBalance (Quarter)'!$A:$L,MATCH([1]TBMapping!$C900,'[1]TrialBalance (Quarter)'!A:A,0),MATCH([1]TBMapping!N$3,'[1]TrialBalance (Quarter)'!$7:$7,0)),0)</f>
        <v>0</v>
      </c>
      <c r="N898" s="5">
        <f>IFERROR(INDEX('[1]TrialBalance (Quarter)'!$A:$L,MATCH([1]TBMapping!$C900,'[1]TrialBalance (Quarter)'!A:A,0),MATCH([1]TBMapping!O$3,'[1]TrialBalance (Quarter)'!$7:$7,0)),0)</f>
        <v>0</v>
      </c>
    </row>
    <row r="899" spans="1:14">
      <c r="A899" s="2">
        <v>19</v>
      </c>
      <c r="B899" s="3">
        <v>392030</v>
      </c>
      <c r="C899" s="11" t="s">
        <v>710</v>
      </c>
      <c r="D899" s="11" t="s">
        <v>11</v>
      </c>
      <c r="E899" s="11"/>
      <c r="F899" s="5" t="e">
        <f>IF(DataExtraction="Manual",SUMIF('[1]TrialBalance (YTD)'!$C:$C,B899,'[1]TrialBalance (YTD)'!$E:$E),SUMIF('[1]TrialBalance (YTD)'!$G:$G,B899,'[1]TrialBalance (YTD)'!$I:$I))</f>
        <v>#VALUE!</v>
      </c>
      <c r="G899" s="5">
        <f>IFERROR(INDEX('[1]TrialBalance (YTD)'!$G:$S,MATCH([1]TBMapping!$C901,'[1]TrialBalance (YTD)'!G:G,0),MATCH([1]TBMapping!H$3,'[1]TrialBalance (YTD)'!$G$7:$Z$7,0)),0)</f>
        <v>0</v>
      </c>
      <c r="H899" s="5" t="e">
        <f>SUMIF('[1]TrialBalance (YTD)'!G:G,B899,'[1]TrialBalance (YTD)'!H:H)</f>
        <v>#VALUE!</v>
      </c>
      <c r="I899" s="5">
        <f>IFERROR(INDEX('[1]TrialBalance (YTD)'!$G:$S,MATCH([1]TBMapping!$C901,'[1]TrialBalance (YTD)'!G:G,0),MATCH([1]TBMapping!J$3,'[1]TrialBalance (YTD)'!$G$7:$Z$7,0)),0)</f>
        <v>0</v>
      </c>
      <c r="K899" s="5" t="e">
        <f>SUMIF('[1]TrialBalance (Quarter)'!$A:$A,B899,'[1]TrialBalance (Quarter)'!$B:$B)</f>
        <v>#VALUE!</v>
      </c>
      <c r="L899" s="5">
        <f>IFERROR(INDEX('[1]TrialBalance (Quarter)'!$A:$L,MATCH([1]TBMapping!$C901,'[1]TrialBalance (Quarter)'!A:A,0),MATCH([1]TBMapping!M$3,'[1]TrialBalance (Quarter)'!$7:$7,0)),0)</f>
        <v>0</v>
      </c>
      <c r="M899" s="5">
        <f>IFERROR(INDEX('[1]TrialBalance (Quarter)'!$A:$L,MATCH([1]TBMapping!$C901,'[1]TrialBalance (Quarter)'!A:A,0),MATCH([1]TBMapping!N$3,'[1]TrialBalance (Quarter)'!$7:$7,0)),0)</f>
        <v>0</v>
      </c>
      <c r="N899" s="5">
        <f>IFERROR(INDEX('[1]TrialBalance (Quarter)'!$A:$L,MATCH([1]TBMapping!$C901,'[1]TrialBalance (Quarter)'!A:A,0),MATCH([1]TBMapping!O$3,'[1]TrialBalance (Quarter)'!$7:$7,0)),0)</f>
        <v>0</v>
      </c>
    </row>
    <row r="900" spans="1:14">
      <c r="A900" s="2">
        <v>19</v>
      </c>
      <c r="B900" s="3">
        <v>392035</v>
      </c>
      <c r="C900" s="10" t="s">
        <v>711</v>
      </c>
      <c r="D900" s="10" t="s">
        <v>11</v>
      </c>
      <c r="E900" s="10"/>
      <c r="F900" s="5" t="e">
        <f>IF(DataExtraction="Manual",SUMIF('[1]TrialBalance (YTD)'!$C:$C,B900,'[1]TrialBalance (YTD)'!$E:$E),SUMIF('[1]TrialBalance (YTD)'!$G:$G,B900,'[1]TrialBalance (YTD)'!$I:$I))</f>
        <v>#VALUE!</v>
      </c>
      <c r="G900" s="5">
        <f>IFERROR(INDEX('[1]TrialBalance (YTD)'!$G:$S,MATCH([1]TBMapping!$C902,'[1]TrialBalance (YTD)'!G:G,0),MATCH([1]TBMapping!H$3,'[1]TrialBalance (YTD)'!$G$7:$Z$7,0)),0)</f>
        <v>0</v>
      </c>
      <c r="H900" s="5" t="e">
        <f>SUMIF('[1]TrialBalance (YTD)'!G:G,B900,'[1]TrialBalance (YTD)'!H:H)</f>
        <v>#VALUE!</v>
      </c>
      <c r="I900" s="5">
        <f>IFERROR(INDEX('[1]TrialBalance (YTD)'!$G:$S,MATCH([1]TBMapping!$C902,'[1]TrialBalance (YTD)'!G:G,0),MATCH([1]TBMapping!J$3,'[1]TrialBalance (YTD)'!$G$7:$Z$7,0)),0)</f>
        <v>0</v>
      </c>
      <c r="K900" s="5" t="e">
        <f>SUMIF('[1]TrialBalance (Quarter)'!$A:$A,B900,'[1]TrialBalance (Quarter)'!$B:$B)</f>
        <v>#VALUE!</v>
      </c>
      <c r="L900" s="5">
        <f>IFERROR(INDEX('[1]TrialBalance (Quarter)'!$A:$L,MATCH([1]TBMapping!$C902,'[1]TrialBalance (Quarter)'!A:A,0),MATCH([1]TBMapping!M$3,'[1]TrialBalance (Quarter)'!$7:$7,0)),0)</f>
        <v>0</v>
      </c>
      <c r="M900" s="5">
        <f>IFERROR(INDEX('[1]TrialBalance (Quarter)'!$A:$L,MATCH([1]TBMapping!$C902,'[1]TrialBalance (Quarter)'!A:A,0),MATCH([1]TBMapping!N$3,'[1]TrialBalance (Quarter)'!$7:$7,0)),0)</f>
        <v>0</v>
      </c>
      <c r="N900" s="5">
        <f>IFERROR(INDEX('[1]TrialBalance (Quarter)'!$A:$L,MATCH([1]TBMapping!$C902,'[1]TrialBalance (Quarter)'!A:A,0),MATCH([1]TBMapping!O$3,'[1]TrialBalance (Quarter)'!$7:$7,0)),0)</f>
        <v>0</v>
      </c>
    </row>
    <row r="901" spans="1:14">
      <c r="A901" s="2">
        <v>19</v>
      </c>
      <c r="B901" s="3">
        <v>392040</v>
      </c>
      <c r="C901" s="11" t="s">
        <v>712</v>
      </c>
      <c r="D901" s="11" t="s">
        <v>11</v>
      </c>
      <c r="E901" s="11"/>
      <c r="F901" s="5" t="e">
        <f>IF(DataExtraction="Manual",SUMIF('[1]TrialBalance (YTD)'!$C:$C,B901,'[1]TrialBalance (YTD)'!$E:$E),SUMIF('[1]TrialBalance (YTD)'!$G:$G,B901,'[1]TrialBalance (YTD)'!$I:$I))</f>
        <v>#VALUE!</v>
      </c>
      <c r="G901" s="5">
        <f>IFERROR(INDEX('[1]TrialBalance (YTD)'!$G:$S,MATCH([1]TBMapping!$C903,'[1]TrialBalance (YTD)'!G:G,0),MATCH([1]TBMapping!H$3,'[1]TrialBalance (YTD)'!$G$7:$Z$7,0)),0)</f>
        <v>0</v>
      </c>
      <c r="H901" s="5" t="e">
        <f>SUMIF('[1]TrialBalance (YTD)'!G:G,B901,'[1]TrialBalance (YTD)'!H:H)</f>
        <v>#VALUE!</v>
      </c>
      <c r="I901" s="5">
        <f>IFERROR(INDEX('[1]TrialBalance (YTD)'!$G:$S,MATCH([1]TBMapping!$C903,'[1]TrialBalance (YTD)'!G:G,0),MATCH([1]TBMapping!J$3,'[1]TrialBalance (YTD)'!$G$7:$Z$7,0)),0)</f>
        <v>0</v>
      </c>
      <c r="K901" s="5" t="e">
        <f>SUMIF('[1]TrialBalance (Quarter)'!$A:$A,B901,'[1]TrialBalance (Quarter)'!$B:$B)</f>
        <v>#VALUE!</v>
      </c>
      <c r="L901" s="5">
        <f>IFERROR(INDEX('[1]TrialBalance (Quarter)'!$A:$L,MATCH([1]TBMapping!$C903,'[1]TrialBalance (Quarter)'!A:A,0),MATCH([1]TBMapping!M$3,'[1]TrialBalance (Quarter)'!$7:$7,0)),0)</f>
        <v>0</v>
      </c>
      <c r="M901" s="5">
        <f>IFERROR(INDEX('[1]TrialBalance (Quarter)'!$A:$L,MATCH([1]TBMapping!$C903,'[1]TrialBalance (Quarter)'!A:A,0),MATCH([1]TBMapping!N$3,'[1]TrialBalance (Quarter)'!$7:$7,0)),0)</f>
        <v>0</v>
      </c>
      <c r="N901" s="5">
        <f>IFERROR(INDEX('[1]TrialBalance (Quarter)'!$A:$L,MATCH([1]TBMapping!$C903,'[1]TrialBalance (Quarter)'!A:A,0),MATCH([1]TBMapping!O$3,'[1]TrialBalance (Quarter)'!$7:$7,0)),0)</f>
        <v>0</v>
      </c>
    </row>
    <row r="902" spans="1:14">
      <c r="A902" s="2">
        <v>19</v>
      </c>
      <c r="B902" s="3">
        <v>392045</v>
      </c>
      <c r="C902" s="10" t="s">
        <v>713</v>
      </c>
      <c r="D902" s="10" t="s">
        <v>11</v>
      </c>
      <c r="E902" s="10"/>
      <c r="F902" s="5" t="e">
        <f>IF(DataExtraction="Manual",SUMIF('[1]TrialBalance (YTD)'!$C:$C,B902,'[1]TrialBalance (YTD)'!$E:$E),SUMIF('[1]TrialBalance (YTD)'!$G:$G,B902,'[1]TrialBalance (YTD)'!$I:$I))</f>
        <v>#VALUE!</v>
      </c>
      <c r="G902" s="5">
        <f>IFERROR(INDEX('[1]TrialBalance (YTD)'!$G:$S,MATCH([1]TBMapping!$C904,'[1]TrialBalance (YTD)'!G:G,0),MATCH([1]TBMapping!H$3,'[1]TrialBalance (YTD)'!$G$7:$Z$7,0)),0)</f>
        <v>0</v>
      </c>
      <c r="H902" s="5" t="e">
        <f>SUMIF('[1]TrialBalance (YTD)'!G:G,B902,'[1]TrialBalance (YTD)'!H:H)</f>
        <v>#VALUE!</v>
      </c>
      <c r="I902" s="5">
        <f>IFERROR(INDEX('[1]TrialBalance (YTD)'!$G:$S,MATCH([1]TBMapping!$C904,'[1]TrialBalance (YTD)'!G:G,0),MATCH([1]TBMapping!J$3,'[1]TrialBalance (YTD)'!$G$7:$Z$7,0)),0)</f>
        <v>0</v>
      </c>
      <c r="K902" s="5" t="e">
        <f>SUMIF('[1]TrialBalance (Quarter)'!$A:$A,B902,'[1]TrialBalance (Quarter)'!$B:$B)</f>
        <v>#VALUE!</v>
      </c>
      <c r="L902" s="5">
        <f>IFERROR(INDEX('[1]TrialBalance (Quarter)'!$A:$L,MATCH([1]TBMapping!$C904,'[1]TrialBalance (Quarter)'!A:A,0),MATCH([1]TBMapping!M$3,'[1]TrialBalance (Quarter)'!$7:$7,0)),0)</f>
        <v>0</v>
      </c>
      <c r="M902" s="5">
        <f>IFERROR(INDEX('[1]TrialBalance (Quarter)'!$A:$L,MATCH([1]TBMapping!$C904,'[1]TrialBalance (Quarter)'!A:A,0),MATCH([1]TBMapping!N$3,'[1]TrialBalance (Quarter)'!$7:$7,0)),0)</f>
        <v>0</v>
      </c>
      <c r="N902" s="5">
        <f>IFERROR(INDEX('[1]TrialBalance (Quarter)'!$A:$L,MATCH([1]TBMapping!$C904,'[1]TrialBalance (Quarter)'!A:A,0),MATCH([1]TBMapping!O$3,'[1]TrialBalance (Quarter)'!$7:$7,0)),0)</f>
        <v>0</v>
      </c>
    </row>
    <row r="903" spans="1:14">
      <c r="A903" s="2">
        <v>19</v>
      </c>
      <c r="B903" s="3">
        <v>392046</v>
      </c>
      <c r="C903" s="11" t="s">
        <v>714</v>
      </c>
      <c r="D903" s="11" t="s">
        <v>11</v>
      </c>
      <c r="E903" s="11"/>
      <c r="F903" s="5" t="e">
        <f>IF(DataExtraction="Manual",SUMIF('[1]TrialBalance (YTD)'!$C:$C,B903,'[1]TrialBalance (YTD)'!$E:$E),SUMIF('[1]TrialBalance (YTD)'!$G:$G,B903,'[1]TrialBalance (YTD)'!$I:$I))</f>
        <v>#VALUE!</v>
      </c>
      <c r="G903" s="5">
        <f>IFERROR(INDEX('[1]TrialBalance (YTD)'!$G:$S,MATCH([1]TBMapping!$C905,'[1]TrialBalance (YTD)'!G:G,0),MATCH([1]TBMapping!H$3,'[1]TrialBalance (YTD)'!$G$7:$Z$7,0)),0)</f>
        <v>0</v>
      </c>
      <c r="H903" s="5" t="e">
        <f>SUMIF('[1]TrialBalance (YTD)'!G:G,B903,'[1]TrialBalance (YTD)'!H:H)</f>
        <v>#VALUE!</v>
      </c>
      <c r="I903" s="5">
        <f>IFERROR(INDEX('[1]TrialBalance (YTD)'!$G:$S,MATCH([1]TBMapping!$C905,'[1]TrialBalance (YTD)'!G:G,0),MATCH([1]TBMapping!J$3,'[1]TrialBalance (YTD)'!$G$7:$Z$7,0)),0)</f>
        <v>0</v>
      </c>
      <c r="K903" s="5" t="e">
        <f>SUMIF('[1]TrialBalance (Quarter)'!$A:$A,B903,'[1]TrialBalance (Quarter)'!$B:$B)</f>
        <v>#VALUE!</v>
      </c>
      <c r="L903" s="5">
        <f>IFERROR(INDEX('[1]TrialBalance (Quarter)'!$A:$L,MATCH([1]TBMapping!$C905,'[1]TrialBalance (Quarter)'!A:A,0),MATCH([1]TBMapping!M$3,'[1]TrialBalance (Quarter)'!$7:$7,0)),0)</f>
        <v>0</v>
      </c>
      <c r="M903" s="5">
        <f>IFERROR(INDEX('[1]TrialBalance (Quarter)'!$A:$L,MATCH([1]TBMapping!$C905,'[1]TrialBalance (Quarter)'!A:A,0),MATCH([1]TBMapping!N$3,'[1]TrialBalance (Quarter)'!$7:$7,0)),0)</f>
        <v>0</v>
      </c>
      <c r="N903" s="5">
        <f>IFERROR(INDEX('[1]TrialBalance (Quarter)'!$A:$L,MATCH([1]TBMapping!$C905,'[1]TrialBalance (Quarter)'!A:A,0),MATCH([1]TBMapping!O$3,'[1]TrialBalance (Quarter)'!$7:$7,0)),0)</f>
        <v>0</v>
      </c>
    </row>
    <row r="904" spans="1:14">
      <c r="A904" s="2">
        <v>19</v>
      </c>
      <c r="B904" s="3">
        <v>392047</v>
      </c>
      <c r="C904" s="10" t="s">
        <v>715</v>
      </c>
      <c r="D904" s="10" t="s">
        <v>11</v>
      </c>
      <c r="E904" s="10"/>
      <c r="F904" s="5" t="e">
        <f>IF(DataExtraction="Manual",SUMIF('[1]TrialBalance (YTD)'!$C:$C,B904,'[1]TrialBalance (YTD)'!$E:$E),SUMIF('[1]TrialBalance (YTD)'!$G:$G,B904,'[1]TrialBalance (YTD)'!$I:$I))</f>
        <v>#VALUE!</v>
      </c>
      <c r="G904" s="5">
        <f>IFERROR(INDEX('[1]TrialBalance (YTD)'!$G:$S,MATCH([1]TBMapping!$C906,'[1]TrialBalance (YTD)'!G:G,0),MATCH([1]TBMapping!H$3,'[1]TrialBalance (YTD)'!$G$7:$Z$7,0)),0)</f>
        <v>0</v>
      </c>
      <c r="H904" s="5" t="e">
        <f>SUMIF('[1]TrialBalance (YTD)'!G:G,B904,'[1]TrialBalance (YTD)'!H:H)</f>
        <v>#VALUE!</v>
      </c>
      <c r="I904" s="5">
        <f>IFERROR(INDEX('[1]TrialBalance (YTD)'!$G:$S,MATCH([1]TBMapping!$C906,'[1]TrialBalance (YTD)'!G:G,0),MATCH([1]TBMapping!J$3,'[1]TrialBalance (YTD)'!$G$7:$Z$7,0)),0)</f>
        <v>0</v>
      </c>
      <c r="K904" s="5" t="e">
        <f>SUMIF('[1]TrialBalance (Quarter)'!$A:$A,B904,'[1]TrialBalance (Quarter)'!$B:$B)</f>
        <v>#VALUE!</v>
      </c>
      <c r="L904" s="5">
        <f>IFERROR(INDEX('[1]TrialBalance (Quarter)'!$A:$L,MATCH([1]TBMapping!$C906,'[1]TrialBalance (Quarter)'!A:A,0),MATCH([1]TBMapping!M$3,'[1]TrialBalance (Quarter)'!$7:$7,0)),0)</f>
        <v>0</v>
      </c>
      <c r="M904" s="5">
        <f>IFERROR(INDEX('[1]TrialBalance (Quarter)'!$A:$L,MATCH([1]TBMapping!$C906,'[1]TrialBalance (Quarter)'!A:A,0),MATCH([1]TBMapping!N$3,'[1]TrialBalance (Quarter)'!$7:$7,0)),0)</f>
        <v>0</v>
      </c>
      <c r="N904" s="5">
        <f>IFERROR(INDEX('[1]TrialBalance (Quarter)'!$A:$L,MATCH([1]TBMapping!$C906,'[1]TrialBalance (Quarter)'!A:A,0),MATCH([1]TBMapping!O$3,'[1]TrialBalance (Quarter)'!$7:$7,0)),0)</f>
        <v>0</v>
      </c>
    </row>
    <row r="905" spans="1:14">
      <c r="A905" s="2">
        <v>19</v>
      </c>
      <c r="B905" s="3">
        <v>392048</v>
      </c>
      <c r="C905" s="11" t="s">
        <v>716</v>
      </c>
      <c r="D905" s="11" t="s">
        <v>11</v>
      </c>
      <c r="E905" s="11"/>
      <c r="F905" s="5" t="e">
        <f>IF(DataExtraction="Manual",SUMIF('[1]TrialBalance (YTD)'!$C:$C,B905,'[1]TrialBalance (YTD)'!$E:$E),SUMIF('[1]TrialBalance (YTD)'!$G:$G,B905,'[1]TrialBalance (YTD)'!$I:$I))</f>
        <v>#VALUE!</v>
      </c>
      <c r="G905" s="5">
        <f>IFERROR(INDEX('[1]TrialBalance (YTD)'!$G:$S,MATCH([1]TBMapping!$C907,'[1]TrialBalance (YTD)'!G:G,0),MATCH([1]TBMapping!H$3,'[1]TrialBalance (YTD)'!$G$7:$Z$7,0)),0)</f>
        <v>0</v>
      </c>
      <c r="H905" s="5" t="e">
        <f>SUMIF('[1]TrialBalance (YTD)'!G:G,B905,'[1]TrialBalance (YTD)'!H:H)</f>
        <v>#VALUE!</v>
      </c>
      <c r="I905" s="5">
        <f>IFERROR(INDEX('[1]TrialBalance (YTD)'!$G:$S,MATCH([1]TBMapping!$C907,'[1]TrialBalance (YTD)'!G:G,0),MATCH([1]TBMapping!J$3,'[1]TrialBalance (YTD)'!$G$7:$Z$7,0)),0)</f>
        <v>0</v>
      </c>
      <c r="K905" s="5" t="e">
        <f>SUMIF('[1]TrialBalance (Quarter)'!$A:$A,B905,'[1]TrialBalance (Quarter)'!$B:$B)</f>
        <v>#VALUE!</v>
      </c>
      <c r="L905" s="5">
        <f>IFERROR(INDEX('[1]TrialBalance (Quarter)'!$A:$L,MATCH([1]TBMapping!$C907,'[1]TrialBalance (Quarter)'!A:A,0),MATCH([1]TBMapping!M$3,'[1]TrialBalance (Quarter)'!$7:$7,0)),0)</f>
        <v>0</v>
      </c>
      <c r="M905" s="5">
        <f>IFERROR(INDEX('[1]TrialBalance (Quarter)'!$A:$L,MATCH([1]TBMapping!$C907,'[1]TrialBalance (Quarter)'!A:A,0),MATCH([1]TBMapping!N$3,'[1]TrialBalance (Quarter)'!$7:$7,0)),0)</f>
        <v>0</v>
      </c>
      <c r="N905" s="5">
        <f>IFERROR(INDEX('[1]TrialBalance (Quarter)'!$A:$L,MATCH([1]TBMapping!$C907,'[1]TrialBalance (Quarter)'!A:A,0),MATCH([1]TBMapping!O$3,'[1]TrialBalance (Quarter)'!$7:$7,0)),0)</f>
        <v>0</v>
      </c>
    </row>
    <row r="906" spans="1:14">
      <c r="A906" s="2">
        <v>19</v>
      </c>
      <c r="B906" s="3">
        <v>392049</v>
      </c>
      <c r="C906" s="10" t="s">
        <v>717</v>
      </c>
      <c r="D906" s="10" t="s">
        <v>11</v>
      </c>
      <c r="E906" s="10"/>
      <c r="F906" s="5" t="e">
        <f>IF(DataExtraction="Manual",SUMIF('[1]TrialBalance (YTD)'!$C:$C,B906,'[1]TrialBalance (YTD)'!$E:$E),SUMIF('[1]TrialBalance (YTD)'!$G:$G,B906,'[1]TrialBalance (YTD)'!$I:$I))</f>
        <v>#VALUE!</v>
      </c>
      <c r="G906" s="5">
        <f>IFERROR(INDEX('[1]TrialBalance (YTD)'!$G:$S,MATCH([1]TBMapping!$C908,'[1]TrialBalance (YTD)'!G:G,0),MATCH([1]TBMapping!H$3,'[1]TrialBalance (YTD)'!$G$7:$Z$7,0)),0)</f>
        <v>0</v>
      </c>
      <c r="H906" s="5" t="e">
        <f>SUMIF('[1]TrialBalance (YTD)'!G:G,B906,'[1]TrialBalance (YTD)'!H:H)</f>
        <v>#VALUE!</v>
      </c>
      <c r="I906" s="5">
        <f>IFERROR(INDEX('[1]TrialBalance (YTD)'!$G:$S,MATCH([1]TBMapping!$C908,'[1]TrialBalance (YTD)'!G:G,0),MATCH([1]TBMapping!J$3,'[1]TrialBalance (YTD)'!$G$7:$Z$7,0)),0)</f>
        <v>0</v>
      </c>
      <c r="K906" s="5" t="e">
        <f>SUMIF('[1]TrialBalance (Quarter)'!$A:$A,B906,'[1]TrialBalance (Quarter)'!$B:$B)</f>
        <v>#VALUE!</v>
      </c>
      <c r="L906" s="5">
        <f>IFERROR(INDEX('[1]TrialBalance (Quarter)'!$A:$L,MATCH([1]TBMapping!$C908,'[1]TrialBalance (Quarter)'!A:A,0),MATCH([1]TBMapping!M$3,'[1]TrialBalance (Quarter)'!$7:$7,0)),0)</f>
        <v>0</v>
      </c>
      <c r="M906" s="5">
        <f>IFERROR(INDEX('[1]TrialBalance (Quarter)'!$A:$L,MATCH([1]TBMapping!$C908,'[1]TrialBalance (Quarter)'!A:A,0),MATCH([1]TBMapping!N$3,'[1]TrialBalance (Quarter)'!$7:$7,0)),0)</f>
        <v>0</v>
      </c>
      <c r="N906" s="5">
        <f>IFERROR(INDEX('[1]TrialBalance (Quarter)'!$A:$L,MATCH([1]TBMapping!$C908,'[1]TrialBalance (Quarter)'!A:A,0),MATCH([1]TBMapping!O$3,'[1]TrialBalance (Quarter)'!$7:$7,0)),0)</f>
        <v>0</v>
      </c>
    </row>
    <row r="907" spans="1:14">
      <c r="A907" s="2">
        <v>19</v>
      </c>
      <c r="B907" s="3">
        <v>392050</v>
      </c>
      <c r="C907" s="11" t="s">
        <v>718</v>
      </c>
      <c r="D907" s="11" t="s">
        <v>11</v>
      </c>
      <c r="E907" s="11"/>
      <c r="F907" s="5" t="e">
        <f>IF(DataExtraction="Manual",SUMIF('[1]TrialBalance (YTD)'!$C:$C,B907,'[1]TrialBalance (YTD)'!$E:$E),SUMIF('[1]TrialBalance (YTD)'!$G:$G,B907,'[1]TrialBalance (YTD)'!$I:$I))</f>
        <v>#VALUE!</v>
      </c>
      <c r="G907" s="5">
        <f>IFERROR(INDEX('[1]TrialBalance (YTD)'!$G:$S,MATCH([1]TBMapping!$C909,'[1]TrialBalance (YTD)'!G:G,0),MATCH([1]TBMapping!H$3,'[1]TrialBalance (YTD)'!$G$7:$Z$7,0)),0)</f>
        <v>0</v>
      </c>
      <c r="H907" s="5" t="e">
        <f>SUMIF('[1]TrialBalance (YTD)'!G:G,B907,'[1]TrialBalance (YTD)'!H:H)</f>
        <v>#VALUE!</v>
      </c>
      <c r="I907" s="5">
        <f>IFERROR(INDEX('[1]TrialBalance (YTD)'!$G:$S,MATCH([1]TBMapping!$C909,'[1]TrialBalance (YTD)'!G:G,0),MATCH([1]TBMapping!J$3,'[1]TrialBalance (YTD)'!$G$7:$Z$7,0)),0)</f>
        <v>0</v>
      </c>
      <c r="K907" s="5" t="e">
        <f>SUMIF('[1]TrialBalance (Quarter)'!$A:$A,B907,'[1]TrialBalance (Quarter)'!$B:$B)</f>
        <v>#VALUE!</v>
      </c>
      <c r="L907" s="5">
        <f>IFERROR(INDEX('[1]TrialBalance (Quarter)'!$A:$L,MATCH([1]TBMapping!$C909,'[1]TrialBalance (Quarter)'!A:A,0),MATCH([1]TBMapping!M$3,'[1]TrialBalance (Quarter)'!$7:$7,0)),0)</f>
        <v>0</v>
      </c>
      <c r="M907" s="5">
        <f>IFERROR(INDEX('[1]TrialBalance (Quarter)'!$A:$L,MATCH([1]TBMapping!$C909,'[1]TrialBalance (Quarter)'!A:A,0),MATCH([1]TBMapping!N$3,'[1]TrialBalance (Quarter)'!$7:$7,0)),0)</f>
        <v>0</v>
      </c>
      <c r="N907" s="5">
        <f>IFERROR(INDEX('[1]TrialBalance (Quarter)'!$A:$L,MATCH([1]TBMapping!$C909,'[1]TrialBalance (Quarter)'!A:A,0),MATCH([1]TBMapping!O$3,'[1]TrialBalance (Quarter)'!$7:$7,0)),0)</f>
        <v>0</v>
      </c>
    </row>
    <row r="908" spans="1:14">
      <c r="A908" s="2">
        <v>19</v>
      </c>
      <c r="B908" s="3">
        <v>392051</v>
      </c>
      <c r="C908" s="10" t="s">
        <v>719</v>
      </c>
      <c r="D908" s="10" t="s">
        <v>11</v>
      </c>
      <c r="E908" s="10"/>
      <c r="F908" s="5" t="e">
        <f>IF(DataExtraction="Manual",SUMIF('[1]TrialBalance (YTD)'!$C:$C,B908,'[1]TrialBalance (YTD)'!$E:$E),SUMIF('[1]TrialBalance (YTD)'!$G:$G,B908,'[1]TrialBalance (YTD)'!$I:$I))</f>
        <v>#VALUE!</v>
      </c>
      <c r="G908" s="5">
        <f>IFERROR(INDEX('[1]TrialBalance (YTD)'!$G:$S,MATCH([1]TBMapping!$C910,'[1]TrialBalance (YTD)'!G:G,0),MATCH([1]TBMapping!H$3,'[1]TrialBalance (YTD)'!$G$7:$Z$7,0)),0)</f>
        <v>0</v>
      </c>
      <c r="H908" s="5" t="e">
        <f>SUMIF('[1]TrialBalance (YTD)'!G:G,B908,'[1]TrialBalance (YTD)'!H:H)</f>
        <v>#VALUE!</v>
      </c>
      <c r="I908" s="5">
        <f>IFERROR(INDEX('[1]TrialBalance (YTD)'!$G:$S,MATCH([1]TBMapping!$C910,'[1]TrialBalance (YTD)'!G:G,0),MATCH([1]TBMapping!J$3,'[1]TrialBalance (YTD)'!$G$7:$Z$7,0)),0)</f>
        <v>0</v>
      </c>
      <c r="K908" s="5" t="e">
        <f>SUMIF('[1]TrialBalance (Quarter)'!$A:$A,B908,'[1]TrialBalance (Quarter)'!$B:$B)</f>
        <v>#VALUE!</v>
      </c>
      <c r="L908" s="5">
        <f>IFERROR(INDEX('[1]TrialBalance (Quarter)'!$A:$L,MATCH([1]TBMapping!$C910,'[1]TrialBalance (Quarter)'!A:A,0),MATCH([1]TBMapping!M$3,'[1]TrialBalance (Quarter)'!$7:$7,0)),0)</f>
        <v>0</v>
      </c>
      <c r="M908" s="5">
        <f>IFERROR(INDEX('[1]TrialBalance (Quarter)'!$A:$L,MATCH([1]TBMapping!$C910,'[1]TrialBalance (Quarter)'!A:A,0),MATCH([1]TBMapping!N$3,'[1]TrialBalance (Quarter)'!$7:$7,0)),0)</f>
        <v>0</v>
      </c>
      <c r="N908" s="5">
        <f>IFERROR(INDEX('[1]TrialBalance (Quarter)'!$A:$L,MATCH([1]TBMapping!$C910,'[1]TrialBalance (Quarter)'!A:A,0),MATCH([1]TBMapping!O$3,'[1]TrialBalance (Quarter)'!$7:$7,0)),0)</f>
        <v>0</v>
      </c>
    </row>
    <row r="909" spans="1:14">
      <c r="A909" s="2">
        <v>19</v>
      </c>
      <c r="B909" s="3">
        <v>392052</v>
      </c>
      <c r="C909" s="11" t="s">
        <v>720</v>
      </c>
      <c r="D909" s="11" t="s">
        <v>11</v>
      </c>
      <c r="E909" s="11"/>
      <c r="F909" s="5" t="e">
        <f>IF(DataExtraction="Manual",SUMIF('[1]TrialBalance (YTD)'!$C:$C,B909,'[1]TrialBalance (YTD)'!$E:$E),SUMIF('[1]TrialBalance (YTD)'!$G:$G,B909,'[1]TrialBalance (YTD)'!$I:$I))</f>
        <v>#VALUE!</v>
      </c>
      <c r="G909" s="5">
        <f>IFERROR(INDEX('[1]TrialBalance (YTD)'!$G:$S,MATCH([1]TBMapping!$C911,'[1]TrialBalance (YTD)'!G:G,0),MATCH([1]TBMapping!H$3,'[1]TrialBalance (YTD)'!$G$7:$Z$7,0)),0)</f>
        <v>0</v>
      </c>
      <c r="H909" s="5" t="e">
        <f>SUMIF('[1]TrialBalance (YTD)'!G:G,B909,'[1]TrialBalance (YTD)'!H:H)</f>
        <v>#VALUE!</v>
      </c>
      <c r="I909" s="5">
        <f>IFERROR(INDEX('[1]TrialBalance (YTD)'!$G:$S,MATCH([1]TBMapping!$C911,'[1]TrialBalance (YTD)'!G:G,0),MATCH([1]TBMapping!J$3,'[1]TrialBalance (YTD)'!$G$7:$Z$7,0)),0)</f>
        <v>0</v>
      </c>
      <c r="K909" s="5" t="e">
        <f>SUMIF('[1]TrialBalance (Quarter)'!$A:$A,B909,'[1]TrialBalance (Quarter)'!$B:$B)</f>
        <v>#VALUE!</v>
      </c>
      <c r="L909" s="5">
        <f>IFERROR(INDEX('[1]TrialBalance (Quarter)'!$A:$L,MATCH([1]TBMapping!$C911,'[1]TrialBalance (Quarter)'!A:A,0),MATCH([1]TBMapping!M$3,'[1]TrialBalance (Quarter)'!$7:$7,0)),0)</f>
        <v>0</v>
      </c>
      <c r="M909" s="5">
        <f>IFERROR(INDEX('[1]TrialBalance (Quarter)'!$A:$L,MATCH([1]TBMapping!$C911,'[1]TrialBalance (Quarter)'!A:A,0),MATCH([1]TBMapping!N$3,'[1]TrialBalance (Quarter)'!$7:$7,0)),0)</f>
        <v>0</v>
      </c>
      <c r="N909" s="5">
        <f>IFERROR(INDEX('[1]TrialBalance (Quarter)'!$A:$L,MATCH([1]TBMapping!$C911,'[1]TrialBalance (Quarter)'!A:A,0),MATCH([1]TBMapping!O$3,'[1]TrialBalance (Quarter)'!$7:$7,0)),0)</f>
        <v>0</v>
      </c>
    </row>
    <row r="910" spans="1:14">
      <c r="A910" s="2">
        <v>19</v>
      </c>
      <c r="B910" s="3">
        <v>392053</v>
      </c>
      <c r="C910" s="10" t="s">
        <v>721</v>
      </c>
      <c r="D910" s="10" t="s">
        <v>11</v>
      </c>
      <c r="E910" s="10"/>
      <c r="F910" s="5" t="e">
        <f>IF(DataExtraction="Manual",SUMIF('[1]TrialBalance (YTD)'!$C:$C,B910,'[1]TrialBalance (YTD)'!$E:$E),SUMIF('[1]TrialBalance (YTD)'!$G:$G,B910,'[1]TrialBalance (YTD)'!$I:$I))</f>
        <v>#VALUE!</v>
      </c>
      <c r="G910" s="5">
        <f>IFERROR(INDEX('[1]TrialBalance (YTD)'!$G:$S,MATCH([1]TBMapping!$C912,'[1]TrialBalance (YTD)'!G:G,0),MATCH([1]TBMapping!H$3,'[1]TrialBalance (YTD)'!$G$7:$Z$7,0)),0)</f>
        <v>0</v>
      </c>
      <c r="H910" s="5" t="e">
        <f>SUMIF('[1]TrialBalance (YTD)'!G:G,B910,'[1]TrialBalance (YTD)'!H:H)</f>
        <v>#VALUE!</v>
      </c>
      <c r="I910" s="5">
        <f>IFERROR(INDEX('[1]TrialBalance (YTD)'!$G:$S,MATCH([1]TBMapping!$C912,'[1]TrialBalance (YTD)'!G:G,0),MATCH([1]TBMapping!J$3,'[1]TrialBalance (YTD)'!$G$7:$Z$7,0)),0)</f>
        <v>0</v>
      </c>
      <c r="K910" s="5" t="e">
        <f>SUMIF('[1]TrialBalance (Quarter)'!$A:$A,B910,'[1]TrialBalance (Quarter)'!$B:$B)</f>
        <v>#VALUE!</v>
      </c>
      <c r="L910" s="5">
        <f>IFERROR(INDEX('[1]TrialBalance (Quarter)'!$A:$L,MATCH([1]TBMapping!$C912,'[1]TrialBalance (Quarter)'!A:A,0),MATCH([1]TBMapping!M$3,'[1]TrialBalance (Quarter)'!$7:$7,0)),0)</f>
        <v>0</v>
      </c>
      <c r="M910" s="5">
        <f>IFERROR(INDEX('[1]TrialBalance (Quarter)'!$A:$L,MATCH([1]TBMapping!$C912,'[1]TrialBalance (Quarter)'!A:A,0),MATCH([1]TBMapping!N$3,'[1]TrialBalance (Quarter)'!$7:$7,0)),0)</f>
        <v>0</v>
      </c>
      <c r="N910" s="5">
        <f>IFERROR(INDEX('[1]TrialBalance (Quarter)'!$A:$L,MATCH([1]TBMapping!$C912,'[1]TrialBalance (Quarter)'!A:A,0),MATCH([1]TBMapping!O$3,'[1]TrialBalance (Quarter)'!$7:$7,0)),0)</f>
        <v>0</v>
      </c>
    </row>
    <row r="911" spans="1:14">
      <c r="A911" s="2">
        <v>19</v>
      </c>
      <c r="B911" s="3">
        <v>392054</v>
      </c>
      <c r="C911" s="11" t="s">
        <v>722</v>
      </c>
      <c r="D911" s="11" t="s">
        <v>11</v>
      </c>
      <c r="E911" s="11"/>
      <c r="F911" s="5" t="e">
        <f>IF(DataExtraction="Manual",SUMIF('[1]TrialBalance (YTD)'!$C:$C,B911,'[1]TrialBalance (YTD)'!$E:$E),SUMIF('[1]TrialBalance (YTD)'!$G:$G,B911,'[1]TrialBalance (YTD)'!$I:$I))</f>
        <v>#VALUE!</v>
      </c>
      <c r="G911" s="5">
        <f>IFERROR(INDEX('[1]TrialBalance (YTD)'!$G:$S,MATCH([1]TBMapping!$C913,'[1]TrialBalance (YTD)'!G:G,0),MATCH([1]TBMapping!H$3,'[1]TrialBalance (YTD)'!$G$7:$Z$7,0)),0)</f>
        <v>0</v>
      </c>
      <c r="H911" s="5" t="e">
        <f>SUMIF('[1]TrialBalance (YTD)'!G:G,B911,'[1]TrialBalance (YTD)'!H:H)</f>
        <v>#VALUE!</v>
      </c>
      <c r="I911" s="5">
        <f>IFERROR(INDEX('[1]TrialBalance (YTD)'!$G:$S,MATCH([1]TBMapping!$C913,'[1]TrialBalance (YTD)'!G:G,0),MATCH([1]TBMapping!J$3,'[1]TrialBalance (YTD)'!$G$7:$Z$7,0)),0)</f>
        <v>0</v>
      </c>
      <c r="K911" s="5" t="e">
        <f>SUMIF('[1]TrialBalance (Quarter)'!$A:$A,B911,'[1]TrialBalance (Quarter)'!$B:$B)</f>
        <v>#VALUE!</v>
      </c>
      <c r="L911" s="5">
        <f>IFERROR(INDEX('[1]TrialBalance (Quarter)'!$A:$L,MATCH([1]TBMapping!$C913,'[1]TrialBalance (Quarter)'!A:A,0),MATCH([1]TBMapping!M$3,'[1]TrialBalance (Quarter)'!$7:$7,0)),0)</f>
        <v>0</v>
      </c>
      <c r="M911" s="5">
        <f>IFERROR(INDEX('[1]TrialBalance (Quarter)'!$A:$L,MATCH([1]TBMapping!$C913,'[1]TrialBalance (Quarter)'!A:A,0),MATCH([1]TBMapping!N$3,'[1]TrialBalance (Quarter)'!$7:$7,0)),0)</f>
        <v>0</v>
      </c>
      <c r="N911" s="5">
        <f>IFERROR(INDEX('[1]TrialBalance (Quarter)'!$A:$L,MATCH([1]TBMapping!$C913,'[1]TrialBalance (Quarter)'!A:A,0),MATCH([1]TBMapping!O$3,'[1]TrialBalance (Quarter)'!$7:$7,0)),0)</f>
        <v>0</v>
      </c>
    </row>
    <row r="912" spans="1:14">
      <c r="A912" s="2">
        <v>19</v>
      </c>
      <c r="B912" s="3">
        <v>392055</v>
      </c>
      <c r="C912" s="10" t="s">
        <v>723</v>
      </c>
      <c r="D912" s="10" t="s">
        <v>11</v>
      </c>
      <c r="E912" s="10"/>
      <c r="F912" s="5" t="e">
        <f>IF(DataExtraction="Manual",SUMIF('[1]TrialBalance (YTD)'!$C:$C,B912,'[1]TrialBalance (YTD)'!$E:$E),SUMIF('[1]TrialBalance (YTD)'!$G:$G,B912,'[1]TrialBalance (YTD)'!$I:$I))</f>
        <v>#VALUE!</v>
      </c>
      <c r="G912" s="5">
        <f>IFERROR(INDEX('[1]TrialBalance (YTD)'!$G:$S,MATCH([1]TBMapping!$C914,'[1]TrialBalance (YTD)'!G:G,0),MATCH([1]TBMapping!H$3,'[1]TrialBalance (YTD)'!$G$7:$Z$7,0)),0)</f>
        <v>0</v>
      </c>
      <c r="H912" s="5" t="e">
        <f>SUMIF('[1]TrialBalance (YTD)'!G:G,B912,'[1]TrialBalance (YTD)'!H:H)</f>
        <v>#VALUE!</v>
      </c>
      <c r="I912" s="5">
        <f>IFERROR(INDEX('[1]TrialBalance (YTD)'!$G:$S,MATCH([1]TBMapping!$C914,'[1]TrialBalance (YTD)'!G:G,0),MATCH([1]TBMapping!J$3,'[1]TrialBalance (YTD)'!$G$7:$Z$7,0)),0)</f>
        <v>0</v>
      </c>
      <c r="K912" s="5" t="e">
        <f>SUMIF('[1]TrialBalance (Quarter)'!$A:$A,B912,'[1]TrialBalance (Quarter)'!$B:$B)</f>
        <v>#VALUE!</v>
      </c>
      <c r="L912" s="5">
        <f>IFERROR(INDEX('[1]TrialBalance (Quarter)'!$A:$L,MATCH([1]TBMapping!$C914,'[1]TrialBalance (Quarter)'!A:A,0),MATCH([1]TBMapping!M$3,'[1]TrialBalance (Quarter)'!$7:$7,0)),0)</f>
        <v>0</v>
      </c>
      <c r="M912" s="5">
        <f>IFERROR(INDEX('[1]TrialBalance (Quarter)'!$A:$L,MATCH([1]TBMapping!$C914,'[1]TrialBalance (Quarter)'!A:A,0),MATCH([1]TBMapping!N$3,'[1]TrialBalance (Quarter)'!$7:$7,0)),0)</f>
        <v>0</v>
      </c>
      <c r="N912" s="5">
        <f>IFERROR(INDEX('[1]TrialBalance (Quarter)'!$A:$L,MATCH([1]TBMapping!$C914,'[1]TrialBalance (Quarter)'!A:A,0),MATCH([1]TBMapping!O$3,'[1]TrialBalance (Quarter)'!$7:$7,0)),0)</f>
        <v>0</v>
      </c>
    </row>
    <row r="913" spans="1:14">
      <c r="A913" s="2">
        <v>19</v>
      </c>
      <c r="B913" s="3">
        <v>392056</v>
      </c>
      <c r="C913" s="11" t="s">
        <v>724</v>
      </c>
      <c r="D913" s="11" t="s">
        <v>11</v>
      </c>
      <c r="E913" s="11"/>
      <c r="F913" s="5" t="e">
        <f>IF(DataExtraction="Manual",SUMIF('[1]TrialBalance (YTD)'!$C:$C,B913,'[1]TrialBalance (YTD)'!$E:$E),SUMIF('[1]TrialBalance (YTD)'!$G:$G,B913,'[1]TrialBalance (YTD)'!$I:$I))</f>
        <v>#VALUE!</v>
      </c>
      <c r="G913" s="5">
        <f>IFERROR(INDEX('[1]TrialBalance (YTD)'!$G:$S,MATCH([1]TBMapping!$C915,'[1]TrialBalance (YTD)'!G:G,0),MATCH([1]TBMapping!H$3,'[1]TrialBalance (YTD)'!$G$7:$Z$7,0)),0)</f>
        <v>0</v>
      </c>
      <c r="H913" s="5" t="e">
        <f>SUMIF('[1]TrialBalance (YTD)'!G:G,B913,'[1]TrialBalance (YTD)'!H:H)</f>
        <v>#VALUE!</v>
      </c>
      <c r="I913" s="5">
        <f>IFERROR(INDEX('[1]TrialBalance (YTD)'!$G:$S,MATCH([1]TBMapping!$C915,'[1]TrialBalance (YTD)'!G:G,0),MATCH([1]TBMapping!J$3,'[1]TrialBalance (YTD)'!$G$7:$Z$7,0)),0)</f>
        <v>0</v>
      </c>
      <c r="K913" s="5" t="e">
        <f>SUMIF('[1]TrialBalance (Quarter)'!$A:$A,B913,'[1]TrialBalance (Quarter)'!$B:$B)</f>
        <v>#VALUE!</v>
      </c>
      <c r="L913" s="5">
        <f>IFERROR(INDEX('[1]TrialBalance (Quarter)'!$A:$L,MATCH([1]TBMapping!$C915,'[1]TrialBalance (Quarter)'!A:A,0),MATCH([1]TBMapping!M$3,'[1]TrialBalance (Quarter)'!$7:$7,0)),0)</f>
        <v>0</v>
      </c>
      <c r="M913" s="5">
        <f>IFERROR(INDEX('[1]TrialBalance (Quarter)'!$A:$L,MATCH([1]TBMapping!$C915,'[1]TrialBalance (Quarter)'!A:A,0),MATCH([1]TBMapping!N$3,'[1]TrialBalance (Quarter)'!$7:$7,0)),0)</f>
        <v>0</v>
      </c>
      <c r="N913" s="5">
        <f>IFERROR(INDEX('[1]TrialBalance (Quarter)'!$A:$L,MATCH([1]TBMapping!$C915,'[1]TrialBalance (Quarter)'!A:A,0),MATCH([1]TBMapping!O$3,'[1]TrialBalance (Quarter)'!$7:$7,0)),0)</f>
        <v>0</v>
      </c>
    </row>
    <row r="914" spans="1:14">
      <c r="A914" s="2">
        <v>19</v>
      </c>
      <c r="B914" s="3">
        <v>392057</v>
      </c>
      <c r="C914" s="10" t="s">
        <v>725</v>
      </c>
      <c r="D914" s="10" t="s">
        <v>11</v>
      </c>
      <c r="E914" s="10"/>
      <c r="F914" s="5" t="e">
        <f>IF(DataExtraction="Manual",SUMIF('[1]TrialBalance (YTD)'!$C:$C,B914,'[1]TrialBalance (YTD)'!$E:$E),SUMIF('[1]TrialBalance (YTD)'!$G:$G,B914,'[1]TrialBalance (YTD)'!$I:$I))</f>
        <v>#VALUE!</v>
      </c>
      <c r="G914" s="5">
        <f>IFERROR(INDEX('[1]TrialBalance (YTD)'!$G:$S,MATCH([1]TBMapping!$C916,'[1]TrialBalance (YTD)'!G:G,0),MATCH([1]TBMapping!H$3,'[1]TrialBalance (YTD)'!$G$7:$Z$7,0)),0)</f>
        <v>0</v>
      </c>
      <c r="H914" s="5" t="e">
        <f>SUMIF('[1]TrialBalance (YTD)'!G:G,B914,'[1]TrialBalance (YTD)'!H:H)</f>
        <v>#VALUE!</v>
      </c>
      <c r="I914" s="5">
        <f>IFERROR(INDEX('[1]TrialBalance (YTD)'!$G:$S,MATCH([1]TBMapping!$C916,'[1]TrialBalance (YTD)'!G:G,0),MATCH([1]TBMapping!J$3,'[1]TrialBalance (YTD)'!$G$7:$Z$7,0)),0)</f>
        <v>0</v>
      </c>
      <c r="K914" s="5" t="e">
        <f>SUMIF('[1]TrialBalance (Quarter)'!$A:$A,B914,'[1]TrialBalance (Quarter)'!$B:$B)</f>
        <v>#VALUE!</v>
      </c>
      <c r="L914" s="5">
        <f>IFERROR(INDEX('[1]TrialBalance (Quarter)'!$A:$L,MATCH([1]TBMapping!$C916,'[1]TrialBalance (Quarter)'!A:A,0),MATCH([1]TBMapping!M$3,'[1]TrialBalance (Quarter)'!$7:$7,0)),0)</f>
        <v>0</v>
      </c>
      <c r="M914" s="5">
        <f>IFERROR(INDEX('[1]TrialBalance (Quarter)'!$A:$L,MATCH([1]TBMapping!$C916,'[1]TrialBalance (Quarter)'!A:A,0),MATCH([1]TBMapping!N$3,'[1]TrialBalance (Quarter)'!$7:$7,0)),0)</f>
        <v>0</v>
      </c>
      <c r="N914" s="5">
        <f>IFERROR(INDEX('[1]TrialBalance (Quarter)'!$A:$L,MATCH([1]TBMapping!$C916,'[1]TrialBalance (Quarter)'!A:A,0),MATCH([1]TBMapping!O$3,'[1]TrialBalance (Quarter)'!$7:$7,0)),0)</f>
        <v>0</v>
      </c>
    </row>
    <row r="915" spans="1:14">
      <c r="A915" s="2">
        <v>19</v>
      </c>
      <c r="B915" s="3">
        <v>392058</v>
      </c>
      <c r="C915" s="11" t="s">
        <v>726</v>
      </c>
      <c r="D915" s="11" t="s">
        <v>11</v>
      </c>
      <c r="E915" s="11"/>
      <c r="F915" s="5" t="e">
        <f>IF(DataExtraction="Manual",SUMIF('[1]TrialBalance (YTD)'!$C:$C,B915,'[1]TrialBalance (YTD)'!$E:$E),SUMIF('[1]TrialBalance (YTD)'!$G:$G,B915,'[1]TrialBalance (YTD)'!$I:$I))</f>
        <v>#VALUE!</v>
      </c>
      <c r="G915" s="5">
        <f>IFERROR(INDEX('[1]TrialBalance (YTD)'!$G:$S,MATCH([1]TBMapping!$C917,'[1]TrialBalance (YTD)'!G:G,0),MATCH([1]TBMapping!H$3,'[1]TrialBalance (YTD)'!$G$7:$Z$7,0)),0)</f>
        <v>0</v>
      </c>
      <c r="H915" s="5" t="e">
        <f>SUMIF('[1]TrialBalance (YTD)'!G:G,B915,'[1]TrialBalance (YTD)'!H:H)</f>
        <v>#VALUE!</v>
      </c>
      <c r="I915" s="5">
        <f>IFERROR(INDEX('[1]TrialBalance (YTD)'!$G:$S,MATCH([1]TBMapping!$C917,'[1]TrialBalance (YTD)'!G:G,0),MATCH([1]TBMapping!J$3,'[1]TrialBalance (YTD)'!$G$7:$Z$7,0)),0)</f>
        <v>0</v>
      </c>
      <c r="K915" s="5" t="e">
        <f>SUMIF('[1]TrialBalance (Quarter)'!$A:$A,B915,'[1]TrialBalance (Quarter)'!$B:$B)</f>
        <v>#VALUE!</v>
      </c>
      <c r="L915" s="5">
        <f>IFERROR(INDEX('[1]TrialBalance (Quarter)'!$A:$L,MATCH([1]TBMapping!$C917,'[1]TrialBalance (Quarter)'!A:A,0),MATCH([1]TBMapping!M$3,'[1]TrialBalance (Quarter)'!$7:$7,0)),0)</f>
        <v>0</v>
      </c>
      <c r="M915" s="5">
        <f>IFERROR(INDEX('[1]TrialBalance (Quarter)'!$A:$L,MATCH([1]TBMapping!$C917,'[1]TrialBalance (Quarter)'!A:A,0),MATCH([1]TBMapping!N$3,'[1]TrialBalance (Quarter)'!$7:$7,0)),0)</f>
        <v>0</v>
      </c>
      <c r="N915" s="5">
        <f>IFERROR(INDEX('[1]TrialBalance (Quarter)'!$A:$L,MATCH([1]TBMapping!$C917,'[1]TrialBalance (Quarter)'!A:A,0),MATCH([1]TBMapping!O$3,'[1]TrialBalance (Quarter)'!$7:$7,0)),0)</f>
        <v>0</v>
      </c>
    </row>
    <row r="916" spans="1:14">
      <c r="A916" s="2">
        <v>19</v>
      </c>
      <c r="B916" s="3">
        <v>392059</v>
      </c>
      <c r="C916" s="10" t="s">
        <v>727</v>
      </c>
      <c r="D916" s="10" t="s">
        <v>11</v>
      </c>
      <c r="E916" s="10"/>
      <c r="F916" s="5" t="e">
        <f>IF(DataExtraction="Manual",SUMIF('[1]TrialBalance (YTD)'!$C:$C,B916,'[1]TrialBalance (YTD)'!$E:$E),SUMIF('[1]TrialBalance (YTD)'!$G:$G,B916,'[1]TrialBalance (YTD)'!$I:$I))</f>
        <v>#VALUE!</v>
      </c>
      <c r="G916" s="5">
        <f>IFERROR(INDEX('[1]TrialBalance (YTD)'!$G:$S,MATCH([1]TBMapping!$C918,'[1]TrialBalance (YTD)'!G:G,0),MATCH([1]TBMapping!H$3,'[1]TrialBalance (YTD)'!$G$7:$Z$7,0)),0)</f>
        <v>0</v>
      </c>
      <c r="H916" s="5" t="e">
        <f>SUMIF('[1]TrialBalance (YTD)'!G:G,B916,'[1]TrialBalance (YTD)'!H:H)</f>
        <v>#VALUE!</v>
      </c>
      <c r="I916" s="5">
        <f>IFERROR(INDEX('[1]TrialBalance (YTD)'!$G:$S,MATCH([1]TBMapping!$C918,'[1]TrialBalance (YTD)'!G:G,0),MATCH([1]TBMapping!J$3,'[1]TrialBalance (YTD)'!$G$7:$Z$7,0)),0)</f>
        <v>0</v>
      </c>
      <c r="K916" s="5" t="e">
        <f>SUMIF('[1]TrialBalance (Quarter)'!$A:$A,B916,'[1]TrialBalance (Quarter)'!$B:$B)</f>
        <v>#VALUE!</v>
      </c>
      <c r="L916" s="5">
        <f>IFERROR(INDEX('[1]TrialBalance (Quarter)'!$A:$L,MATCH([1]TBMapping!$C918,'[1]TrialBalance (Quarter)'!A:A,0),MATCH([1]TBMapping!M$3,'[1]TrialBalance (Quarter)'!$7:$7,0)),0)</f>
        <v>0</v>
      </c>
      <c r="M916" s="5">
        <f>IFERROR(INDEX('[1]TrialBalance (Quarter)'!$A:$L,MATCH([1]TBMapping!$C918,'[1]TrialBalance (Quarter)'!A:A,0),MATCH([1]TBMapping!N$3,'[1]TrialBalance (Quarter)'!$7:$7,0)),0)</f>
        <v>0</v>
      </c>
      <c r="N916" s="5">
        <f>IFERROR(INDEX('[1]TrialBalance (Quarter)'!$A:$L,MATCH([1]TBMapping!$C918,'[1]TrialBalance (Quarter)'!A:A,0),MATCH([1]TBMapping!O$3,'[1]TrialBalance (Quarter)'!$7:$7,0)),0)</f>
        <v>0</v>
      </c>
    </row>
    <row r="917" spans="1:14">
      <c r="A917" s="2">
        <v>19</v>
      </c>
      <c r="B917" s="3">
        <v>392060</v>
      </c>
      <c r="C917" s="11" t="s">
        <v>728</v>
      </c>
      <c r="D917" s="11" t="s">
        <v>11</v>
      </c>
      <c r="E917" s="11"/>
      <c r="F917" s="5" t="e">
        <f>IF(DataExtraction="Manual",SUMIF('[1]TrialBalance (YTD)'!$C:$C,B917,'[1]TrialBalance (YTD)'!$E:$E),SUMIF('[1]TrialBalance (YTD)'!$G:$G,B917,'[1]TrialBalance (YTD)'!$I:$I))</f>
        <v>#VALUE!</v>
      </c>
      <c r="G917" s="5">
        <f>IFERROR(INDEX('[1]TrialBalance (YTD)'!$G:$S,MATCH([1]TBMapping!$C919,'[1]TrialBalance (YTD)'!G:G,0),MATCH([1]TBMapping!H$3,'[1]TrialBalance (YTD)'!$G$7:$Z$7,0)),0)</f>
        <v>0</v>
      </c>
      <c r="H917" s="5" t="e">
        <f>SUMIF('[1]TrialBalance (YTD)'!G:G,B917,'[1]TrialBalance (YTD)'!H:H)</f>
        <v>#VALUE!</v>
      </c>
      <c r="I917" s="5">
        <f>IFERROR(INDEX('[1]TrialBalance (YTD)'!$G:$S,MATCH([1]TBMapping!$C919,'[1]TrialBalance (YTD)'!G:G,0),MATCH([1]TBMapping!J$3,'[1]TrialBalance (YTD)'!$G$7:$Z$7,0)),0)</f>
        <v>0</v>
      </c>
      <c r="K917" s="5" t="e">
        <f>SUMIF('[1]TrialBalance (Quarter)'!$A:$A,B917,'[1]TrialBalance (Quarter)'!$B:$B)</f>
        <v>#VALUE!</v>
      </c>
      <c r="L917" s="5">
        <f>IFERROR(INDEX('[1]TrialBalance (Quarter)'!$A:$L,MATCH([1]TBMapping!$C919,'[1]TrialBalance (Quarter)'!A:A,0),MATCH([1]TBMapping!M$3,'[1]TrialBalance (Quarter)'!$7:$7,0)),0)</f>
        <v>0</v>
      </c>
      <c r="M917" s="5">
        <f>IFERROR(INDEX('[1]TrialBalance (Quarter)'!$A:$L,MATCH([1]TBMapping!$C919,'[1]TrialBalance (Quarter)'!A:A,0),MATCH([1]TBMapping!N$3,'[1]TrialBalance (Quarter)'!$7:$7,0)),0)</f>
        <v>0</v>
      </c>
      <c r="N917" s="5">
        <f>IFERROR(INDEX('[1]TrialBalance (Quarter)'!$A:$L,MATCH([1]TBMapping!$C919,'[1]TrialBalance (Quarter)'!A:A,0),MATCH([1]TBMapping!O$3,'[1]TrialBalance (Quarter)'!$7:$7,0)),0)</f>
        <v>0</v>
      </c>
    </row>
    <row r="918" spans="1:14">
      <c r="A918" s="2">
        <v>19</v>
      </c>
      <c r="B918" s="3">
        <v>392061</v>
      </c>
      <c r="C918" s="10" t="s">
        <v>729</v>
      </c>
      <c r="D918" s="10" t="s">
        <v>11</v>
      </c>
      <c r="E918" s="10"/>
      <c r="F918" s="5" t="e">
        <f>IF(DataExtraction="Manual",SUMIF('[1]TrialBalance (YTD)'!$C:$C,B918,'[1]TrialBalance (YTD)'!$E:$E),SUMIF('[1]TrialBalance (YTD)'!$G:$G,B918,'[1]TrialBalance (YTD)'!$I:$I))</f>
        <v>#VALUE!</v>
      </c>
      <c r="G918" s="5">
        <f>IFERROR(INDEX('[1]TrialBalance (YTD)'!$G:$S,MATCH([1]TBMapping!$C920,'[1]TrialBalance (YTD)'!G:G,0),MATCH([1]TBMapping!H$3,'[1]TrialBalance (YTD)'!$G$7:$Z$7,0)),0)</f>
        <v>0</v>
      </c>
      <c r="H918" s="5" t="e">
        <f>SUMIF('[1]TrialBalance (YTD)'!G:G,B918,'[1]TrialBalance (YTD)'!H:H)</f>
        <v>#VALUE!</v>
      </c>
      <c r="I918" s="5">
        <f>IFERROR(INDEX('[1]TrialBalance (YTD)'!$G:$S,MATCH([1]TBMapping!$C920,'[1]TrialBalance (YTD)'!G:G,0),MATCH([1]TBMapping!J$3,'[1]TrialBalance (YTD)'!$G$7:$Z$7,0)),0)</f>
        <v>0</v>
      </c>
      <c r="K918" s="5" t="e">
        <f>SUMIF('[1]TrialBalance (Quarter)'!$A:$A,B918,'[1]TrialBalance (Quarter)'!$B:$B)</f>
        <v>#VALUE!</v>
      </c>
      <c r="L918" s="5">
        <f>IFERROR(INDEX('[1]TrialBalance (Quarter)'!$A:$L,MATCH([1]TBMapping!$C920,'[1]TrialBalance (Quarter)'!A:A,0),MATCH([1]TBMapping!M$3,'[1]TrialBalance (Quarter)'!$7:$7,0)),0)</f>
        <v>0</v>
      </c>
      <c r="M918" s="5">
        <f>IFERROR(INDEX('[1]TrialBalance (Quarter)'!$A:$L,MATCH([1]TBMapping!$C920,'[1]TrialBalance (Quarter)'!A:A,0),MATCH([1]TBMapping!N$3,'[1]TrialBalance (Quarter)'!$7:$7,0)),0)</f>
        <v>0</v>
      </c>
      <c r="N918" s="5">
        <f>IFERROR(INDEX('[1]TrialBalance (Quarter)'!$A:$L,MATCH([1]TBMapping!$C920,'[1]TrialBalance (Quarter)'!A:A,0),MATCH([1]TBMapping!O$3,'[1]TrialBalance (Quarter)'!$7:$7,0)),0)</f>
        <v>0</v>
      </c>
    </row>
    <row r="919" spans="1:14">
      <c r="A919" s="2">
        <v>19</v>
      </c>
      <c r="B919" s="3">
        <v>392062</v>
      </c>
      <c r="C919" s="11" t="s">
        <v>730</v>
      </c>
      <c r="D919" s="11" t="s">
        <v>11</v>
      </c>
      <c r="E919" s="11"/>
      <c r="F919" s="5" t="e">
        <f>IF(DataExtraction="Manual",SUMIF('[1]TrialBalance (YTD)'!$C:$C,B919,'[1]TrialBalance (YTD)'!$E:$E),SUMIF('[1]TrialBalance (YTD)'!$G:$G,B919,'[1]TrialBalance (YTD)'!$I:$I))</f>
        <v>#VALUE!</v>
      </c>
      <c r="G919" s="5">
        <f>IFERROR(INDEX('[1]TrialBalance (YTD)'!$G:$S,MATCH([1]TBMapping!$C921,'[1]TrialBalance (YTD)'!G:G,0),MATCH([1]TBMapping!H$3,'[1]TrialBalance (YTD)'!$G$7:$Z$7,0)),0)</f>
        <v>0</v>
      </c>
      <c r="H919" s="5" t="e">
        <f>SUMIF('[1]TrialBalance (YTD)'!G:G,B919,'[1]TrialBalance (YTD)'!H:H)</f>
        <v>#VALUE!</v>
      </c>
      <c r="I919" s="5">
        <f>IFERROR(INDEX('[1]TrialBalance (YTD)'!$G:$S,MATCH([1]TBMapping!$C921,'[1]TrialBalance (YTD)'!G:G,0),MATCH([1]TBMapping!J$3,'[1]TrialBalance (YTD)'!$G$7:$Z$7,0)),0)</f>
        <v>0</v>
      </c>
      <c r="K919" s="5" t="e">
        <f>SUMIF('[1]TrialBalance (Quarter)'!$A:$A,B919,'[1]TrialBalance (Quarter)'!$B:$B)</f>
        <v>#VALUE!</v>
      </c>
      <c r="L919" s="5">
        <f>IFERROR(INDEX('[1]TrialBalance (Quarter)'!$A:$L,MATCH([1]TBMapping!$C921,'[1]TrialBalance (Quarter)'!A:A,0),MATCH([1]TBMapping!M$3,'[1]TrialBalance (Quarter)'!$7:$7,0)),0)</f>
        <v>0</v>
      </c>
      <c r="M919" s="5">
        <f>IFERROR(INDEX('[1]TrialBalance (Quarter)'!$A:$L,MATCH([1]TBMapping!$C921,'[1]TrialBalance (Quarter)'!A:A,0),MATCH([1]TBMapping!N$3,'[1]TrialBalance (Quarter)'!$7:$7,0)),0)</f>
        <v>0</v>
      </c>
      <c r="N919" s="5">
        <f>IFERROR(INDEX('[1]TrialBalance (Quarter)'!$A:$L,MATCH([1]TBMapping!$C921,'[1]TrialBalance (Quarter)'!A:A,0),MATCH([1]TBMapping!O$3,'[1]TrialBalance (Quarter)'!$7:$7,0)),0)</f>
        <v>0</v>
      </c>
    </row>
    <row r="920" spans="1:14">
      <c r="A920" s="2">
        <v>19</v>
      </c>
      <c r="B920" s="3">
        <v>392063</v>
      </c>
      <c r="C920" s="10" t="s">
        <v>731</v>
      </c>
      <c r="D920" s="10" t="s">
        <v>11</v>
      </c>
      <c r="E920" s="10"/>
      <c r="F920" s="5" t="e">
        <f>IF(DataExtraction="Manual",SUMIF('[1]TrialBalance (YTD)'!$C:$C,B920,'[1]TrialBalance (YTD)'!$E:$E),SUMIF('[1]TrialBalance (YTD)'!$G:$G,B920,'[1]TrialBalance (YTD)'!$I:$I))</f>
        <v>#VALUE!</v>
      </c>
      <c r="G920" s="5">
        <f>IFERROR(INDEX('[1]TrialBalance (YTD)'!$G:$S,MATCH([1]TBMapping!$C922,'[1]TrialBalance (YTD)'!G:G,0),MATCH([1]TBMapping!H$3,'[1]TrialBalance (YTD)'!$G$7:$Z$7,0)),0)</f>
        <v>0</v>
      </c>
      <c r="H920" s="5" t="e">
        <f>SUMIF('[1]TrialBalance (YTD)'!G:G,B920,'[1]TrialBalance (YTD)'!H:H)</f>
        <v>#VALUE!</v>
      </c>
      <c r="I920" s="5">
        <f>IFERROR(INDEX('[1]TrialBalance (YTD)'!$G:$S,MATCH([1]TBMapping!$C922,'[1]TrialBalance (YTD)'!G:G,0),MATCH([1]TBMapping!J$3,'[1]TrialBalance (YTD)'!$G$7:$Z$7,0)),0)</f>
        <v>0</v>
      </c>
      <c r="K920" s="5" t="e">
        <f>SUMIF('[1]TrialBalance (Quarter)'!$A:$A,B920,'[1]TrialBalance (Quarter)'!$B:$B)</f>
        <v>#VALUE!</v>
      </c>
      <c r="L920" s="5">
        <f>IFERROR(INDEX('[1]TrialBalance (Quarter)'!$A:$L,MATCH([1]TBMapping!$C922,'[1]TrialBalance (Quarter)'!A:A,0),MATCH([1]TBMapping!M$3,'[1]TrialBalance (Quarter)'!$7:$7,0)),0)</f>
        <v>0</v>
      </c>
      <c r="M920" s="5">
        <f>IFERROR(INDEX('[1]TrialBalance (Quarter)'!$A:$L,MATCH([1]TBMapping!$C922,'[1]TrialBalance (Quarter)'!A:A,0),MATCH([1]TBMapping!N$3,'[1]TrialBalance (Quarter)'!$7:$7,0)),0)</f>
        <v>0</v>
      </c>
      <c r="N920" s="5">
        <f>IFERROR(INDEX('[1]TrialBalance (Quarter)'!$A:$L,MATCH([1]TBMapping!$C922,'[1]TrialBalance (Quarter)'!A:A,0),MATCH([1]TBMapping!O$3,'[1]TrialBalance (Quarter)'!$7:$7,0)),0)</f>
        <v>0</v>
      </c>
    </row>
    <row r="921" spans="1:14">
      <c r="A921" s="2">
        <v>19</v>
      </c>
      <c r="B921" s="3">
        <v>392800</v>
      </c>
      <c r="C921" s="11" t="s">
        <v>732</v>
      </c>
      <c r="D921" s="11" t="s">
        <v>11</v>
      </c>
      <c r="E921" s="11"/>
      <c r="F921" s="5" t="e">
        <f>IF(DataExtraction="Manual",SUMIF('[1]TrialBalance (YTD)'!$C:$C,B921,'[1]TrialBalance (YTD)'!$E:$E),SUMIF('[1]TrialBalance (YTD)'!$G:$G,B921,'[1]TrialBalance (YTD)'!$I:$I))</f>
        <v>#VALUE!</v>
      </c>
      <c r="G921" s="5">
        <f>IFERROR(INDEX('[1]TrialBalance (YTD)'!$G:$S,MATCH([1]TBMapping!$C923,'[1]TrialBalance (YTD)'!G:G,0),MATCH([1]TBMapping!H$3,'[1]TrialBalance (YTD)'!$G$7:$Z$7,0)),0)</f>
        <v>0</v>
      </c>
      <c r="H921" s="5" t="e">
        <f>SUMIF('[1]TrialBalance (YTD)'!G:G,B921,'[1]TrialBalance (YTD)'!H:H)</f>
        <v>#VALUE!</v>
      </c>
      <c r="I921" s="5">
        <f>IFERROR(INDEX('[1]TrialBalance (YTD)'!$G:$S,MATCH([1]TBMapping!$C923,'[1]TrialBalance (YTD)'!G:G,0),MATCH([1]TBMapping!J$3,'[1]TrialBalance (YTD)'!$G$7:$Z$7,0)),0)</f>
        <v>0</v>
      </c>
      <c r="K921" s="5" t="e">
        <f>SUMIF('[1]TrialBalance (Quarter)'!$A:$A,B921,'[1]TrialBalance (Quarter)'!$B:$B)</f>
        <v>#VALUE!</v>
      </c>
      <c r="L921" s="5">
        <f>IFERROR(INDEX('[1]TrialBalance (Quarter)'!$A:$L,MATCH([1]TBMapping!$C923,'[1]TrialBalance (Quarter)'!A:A,0),MATCH([1]TBMapping!M$3,'[1]TrialBalance (Quarter)'!$7:$7,0)),0)</f>
        <v>0</v>
      </c>
      <c r="M921" s="5">
        <f>IFERROR(INDEX('[1]TrialBalance (Quarter)'!$A:$L,MATCH([1]TBMapping!$C923,'[1]TrialBalance (Quarter)'!A:A,0),MATCH([1]TBMapping!N$3,'[1]TrialBalance (Quarter)'!$7:$7,0)),0)</f>
        <v>0</v>
      </c>
      <c r="N921" s="5">
        <f>IFERROR(INDEX('[1]TrialBalance (Quarter)'!$A:$L,MATCH([1]TBMapping!$C923,'[1]TrialBalance (Quarter)'!A:A,0),MATCH([1]TBMapping!O$3,'[1]TrialBalance (Quarter)'!$7:$7,0)),0)</f>
        <v>0</v>
      </c>
    </row>
    <row r="922" spans="1:14">
      <c r="B922" s="3">
        <v>392999</v>
      </c>
      <c r="C922" s="10" t="s">
        <v>733</v>
      </c>
      <c r="D922" s="10" t="s">
        <v>16</v>
      </c>
      <c r="E922" s="10"/>
      <c r="F922" s="5" t="e">
        <f>IF(DataExtraction="Manual",SUMIF('[1]TrialBalance (YTD)'!$C:$C,B922,'[1]TrialBalance (YTD)'!$E:$E),SUMIF('[1]TrialBalance (YTD)'!$G:$G,B922,'[1]TrialBalance (YTD)'!$I:$I))</f>
        <v>#VALUE!</v>
      </c>
      <c r="G922" s="5">
        <f>IFERROR(INDEX('[1]TrialBalance (YTD)'!$G:$S,MATCH([1]TBMapping!$C924,'[1]TrialBalance (YTD)'!G:G,0),MATCH([1]TBMapping!H$3,'[1]TrialBalance (YTD)'!$G$7:$Z$7,0)),0)</f>
        <v>0</v>
      </c>
      <c r="H922" s="5" t="e">
        <f>SUMIF('[1]TrialBalance (YTD)'!G:G,B922,'[1]TrialBalance (YTD)'!H:H)</f>
        <v>#VALUE!</v>
      </c>
      <c r="I922" s="5">
        <f>IFERROR(INDEX('[1]TrialBalance (YTD)'!$G:$S,MATCH([1]TBMapping!$C924,'[1]TrialBalance (YTD)'!G:G,0),MATCH([1]TBMapping!J$3,'[1]TrialBalance (YTD)'!$G$7:$Z$7,0)),0)</f>
        <v>0</v>
      </c>
      <c r="K922" s="5" t="e">
        <f>SUMIF('[1]TrialBalance (Quarter)'!$A:$A,B922,'[1]TrialBalance (Quarter)'!$B:$B)</f>
        <v>#VALUE!</v>
      </c>
      <c r="L922" s="5">
        <f>IFERROR(INDEX('[1]TrialBalance (Quarter)'!$A:$L,MATCH([1]TBMapping!$C924,'[1]TrialBalance (Quarter)'!A:A,0),MATCH([1]TBMapping!M$3,'[1]TrialBalance (Quarter)'!$7:$7,0)),0)</f>
        <v>0</v>
      </c>
      <c r="M922" s="5">
        <f>IFERROR(INDEX('[1]TrialBalance (Quarter)'!$A:$L,MATCH([1]TBMapping!$C924,'[1]TrialBalance (Quarter)'!A:A,0),MATCH([1]TBMapping!N$3,'[1]TrialBalance (Quarter)'!$7:$7,0)),0)</f>
        <v>0</v>
      </c>
      <c r="N922" s="5">
        <f>IFERROR(INDEX('[1]TrialBalance (Quarter)'!$A:$L,MATCH([1]TBMapping!$C924,'[1]TrialBalance (Quarter)'!A:A,0),MATCH([1]TBMapping!O$3,'[1]TrialBalance (Quarter)'!$7:$7,0)),0)</f>
        <v>0</v>
      </c>
    </row>
    <row r="923" spans="1:14">
      <c r="B923" s="3">
        <v>393000</v>
      </c>
      <c r="C923" s="11" t="s">
        <v>734</v>
      </c>
      <c r="D923" s="11" t="s">
        <v>5</v>
      </c>
      <c r="E923" s="11"/>
      <c r="F923" s="5" t="e">
        <f>IF(DataExtraction="Manual",SUMIF('[1]TrialBalance (YTD)'!$C:$C,B923,'[1]TrialBalance (YTD)'!$E:$E),SUMIF('[1]TrialBalance (YTD)'!$G:$G,B923,'[1]TrialBalance (YTD)'!$I:$I))</f>
        <v>#VALUE!</v>
      </c>
      <c r="G923" s="5">
        <f>IFERROR(INDEX('[1]TrialBalance (YTD)'!$G:$S,MATCH([1]TBMapping!$C925,'[1]TrialBalance (YTD)'!G:G,0),MATCH([1]TBMapping!H$3,'[1]TrialBalance (YTD)'!$G$7:$Z$7,0)),0)</f>
        <v>0</v>
      </c>
      <c r="H923" s="5" t="e">
        <f>SUMIF('[1]TrialBalance (YTD)'!G:G,B923,'[1]TrialBalance (YTD)'!H:H)</f>
        <v>#VALUE!</v>
      </c>
      <c r="I923" s="5">
        <f>IFERROR(INDEX('[1]TrialBalance (YTD)'!$G:$S,MATCH([1]TBMapping!$C925,'[1]TrialBalance (YTD)'!G:G,0),MATCH([1]TBMapping!J$3,'[1]TrialBalance (YTD)'!$G$7:$Z$7,0)),0)</f>
        <v>0</v>
      </c>
      <c r="K923" s="5" t="e">
        <f>SUMIF('[1]TrialBalance (Quarter)'!$A:$A,B923,'[1]TrialBalance (Quarter)'!$B:$B)</f>
        <v>#VALUE!</v>
      </c>
      <c r="L923" s="5">
        <f>IFERROR(INDEX('[1]TrialBalance (Quarter)'!$A:$L,MATCH([1]TBMapping!$C925,'[1]TrialBalance (Quarter)'!A:A,0),MATCH([1]TBMapping!M$3,'[1]TrialBalance (Quarter)'!$7:$7,0)),0)</f>
        <v>0</v>
      </c>
      <c r="M923" s="5">
        <f>IFERROR(INDEX('[1]TrialBalance (Quarter)'!$A:$L,MATCH([1]TBMapping!$C925,'[1]TrialBalance (Quarter)'!A:A,0),MATCH([1]TBMapping!N$3,'[1]TrialBalance (Quarter)'!$7:$7,0)),0)</f>
        <v>0</v>
      </c>
      <c r="N923" s="5">
        <f>IFERROR(INDEX('[1]TrialBalance (Quarter)'!$A:$L,MATCH([1]TBMapping!$C925,'[1]TrialBalance (Quarter)'!A:A,0),MATCH([1]TBMapping!O$3,'[1]TrialBalance (Quarter)'!$7:$7,0)),0)</f>
        <v>0</v>
      </c>
    </row>
    <row r="924" spans="1:14">
      <c r="A924" s="2">
        <v>19</v>
      </c>
      <c r="B924" s="3">
        <v>393009</v>
      </c>
      <c r="C924" s="10" t="s">
        <v>735</v>
      </c>
      <c r="D924" s="10" t="s">
        <v>11</v>
      </c>
      <c r="E924" s="10"/>
      <c r="F924" s="5" t="e">
        <f>IF(DataExtraction="Manual",SUMIF('[1]TrialBalance (YTD)'!$C:$C,B924,'[1]TrialBalance (YTD)'!$E:$E),SUMIF('[1]TrialBalance (YTD)'!$G:$G,B924,'[1]TrialBalance (YTD)'!$I:$I))</f>
        <v>#VALUE!</v>
      </c>
      <c r="G924" s="5">
        <f>IFERROR(INDEX('[1]TrialBalance (YTD)'!$G:$S,MATCH([1]TBMapping!$C926,'[1]TrialBalance (YTD)'!G:G,0),MATCH([1]TBMapping!H$3,'[1]TrialBalance (YTD)'!$G$7:$Z$7,0)),0)</f>
        <v>0</v>
      </c>
      <c r="H924" s="5" t="e">
        <f>SUMIF('[1]TrialBalance (YTD)'!G:G,B924,'[1]TrialBalance (YTD)'!H:H)</f>
        <v>#VALUE!</v>
      </c>
      <c r="I924" s="5">
        <f>IFERROR(INDEX('[1]TrialBalance (YTD)'!$G:$S,MATCH([1]TBMapping!$C926,'[1]TrialBalance (YTD)'!G:G,0),MATCH([1]TBMapping!J$3,'[1]TrialBalance (YTD)'!$G$7:$Z$7,0)),0)</f>
        <v>0</v>
      </c>
      <c r="K924" s="5" t="e">
        <f>SUMIF('[1]TrialBalance (Quarter)'!$A:$A,B924,'[1]TrialBalance (Quarter)'!$B:$B)</f>
        <v>#VALUE!</v>
      </c>
      <c r="L924" s="5">
        <f>IFERROR(INDEX('[1]TrialBalance (Quarter)'!$A:$L,MATCH([1]TBMapping!$C926,'[1]TrialBalance (Quarter)'!A:A,0),MATCH([1]TBMapping!M$3,'[1]TrialBalance (Quarter)'!$7:$7,0)),0)</f>
        <v>0</v>
      </c>
      <c r="M924" s="5">
        <f>IFERROR(INDEX('[1]TrialBalance (Quarter)'!$A:$L,MATCH([1]TBMapping!$C926,'[1]TrialBalance (Quarter)'!A:A,0),MATCH([1]TBMapping!N$3,'[1]TrialBalance (Quarter)'!$7:$7,0)),0)</f>
        <v>0</v>
      </c>
      <c r="N924" s="5">
        <f>IFERROR(INDEX('[1]TrialBalance (Quarter)'!$A:$L,MATCH([1]TBMapping!$C926,'[1]TrialBalance (Quarter)'!A:A,0),MATCH([1]TBMapping!O$3,'[1]TrialBalance (Quarter)'!$7:$7,0)),0)</f>
        <v>0</v>
      </c>
    </row>
    <row r="925" spans="1:14">
      <c r="A925" s="2">
        <v>19</v>
      </c>
      <c r="B925" s="3">
        <v>393010</v>
      </c>
      <c r="C925" s="11" t="s">
        <v>736</v>
      </c>
      <c r="D925" s="11" t="s">
        <v>11</v>
      </c>
      <c r="E925" s="11"/>
      <c r="F925" s="5" t="e">
        <f>IF(DataExtraction="Manual",SUMIF('[1]TrialBalance (YTD)'!$C:$C,B925,'[1]TrialBalance (YTD)'!$E:$E),SUMIF('[1]TrialBalance (YTD)'!$G:$G,B925,'[1]TrialBalance (YTD)'!$I:$I))</f>
        <v>#VALUE!</v>
      </c>
      <c r="G925" s="5">
        <f>IFERROR(INDEX('[1]TrialBalance (YTD)'!$G:$S,MATCH([1]TBMapping!$C927,'[1]TrialBalance (YTD)'!G:G,0),MATCH([1]TBMapping!H$3,'[1]TrialBalance (YTD)'!$G$7:$Z$7,0)),0)</f>
        <v>0</v>
      </c>
      <c r="H925" s="5" t="e">
        <f>SUMIF('[1]TrialBalance (YTD)'!G:G,B925,'[1]TrialBalance (YTD)'!H:H)</f>
        <v>#VALUE!</v>
      </c>
      <c r="I925" s="5">
        <f>IFERROR(INDEX('[1]TrialBalance (YTD)'!$G:$S,MATCH([1]TBMapping!$C927,'[1]TrialBalance (YTD)'!G:G,0),MATCH([1]TBMapping!J$3,'[1]TrialBalance (YTD)'!$G$7:$Z$7,0)),0)</f>
        <v>0</v>
      </c>
      <c r="K925" s="5" t="e">
        <f>SUMIF('[1]TrialBalance (Quarter)'!$A:$A,B925,'[1]TrialBalance (Quarter)'!$B:$B)</f>
        <v>#VALUE!</v>
      </c>
      <c r="L925" s="5">
        <f>IFERROR(INDEX('[1]TrialBalance (Quarter)'!$A:$L,MATCH([1]TBMapping!$C927,'[1]TrialBalance (Quarter)'!A:A,0),MATCH([1]TBMapping!M$3,'[1]TrialBalance (Quarter)'!$7:$7,0)),0)</f>
        <v>0</v>
      </c>
      <c r="M925" s="5">
        <f>IFERROR(INDEX('[1]TrialBalance (Quarter)'!$A:$L,MATCH([1]TBMapping!$C927,'[1]TrialBalance (Quarter)'!A:A,0),MATCH([1]TBMapping!N$3,'[1]TrialBalance (Quarter)'!$7:$7,0)),0)</f>
        <v>0</v>
      </c>
      <c r="N925" s="5">
        <f>IFERROR(INDEX('[1]TrialBalance (Quarter)'!$A:$L,MATCH([1]TBMapping!$C927,'[1]TrialBalance (Quarter)'!A:A,0),MATCH([1]TBMapping!O$3,'[1]TrialBalance (Quarter)'!$7:$7,0)),0)</f>
        <v>0</v>
      </c>
    </row>
    <row r="926" spans="1:14">
      <c r="A926" s="2">
        <v>19</v>
      </c>
      <c r="B926" s="3">
        <v>393011</v>
      </c>
      <c r="C926" s="10" t="s">
        <v>737</v>
      </c>
      <c r="D926" s="10" t="s">
        <v>11</v>
      </c>
      <c r="E926" s="10"/>
      <c r="F926" s="5" t="e">
        <f>IF(DataExtraction="Manual",SUMIF('[1]TrialBalance (YTD)'!$C:$C,B926,'[1]TrialBalance (YTD)'!$E:$E),SUMIF('[1]TrialBalance (YTD)'!$G:$G,B926,'[1]TrialBalance (YTD)'!$I:$I))</f>
        <v>#VALUE!</v>
      </c>
      <c r="G926" s="5">
        <f>IFERROR(INDEX('[1]TrialBalance (YTD)'!$G:$S,MATCH([1]TBMapping!$C928,'[1]TrialBalance (YTD)'!G:G,0),MATCH([1]TBMapping!H$3,'[1]TrialBalance (YTD)'!$G$7:$Z$7,0)),0)</f>
        <v>0</v>
      </c>
      <c r="H926" s="5" t="e">
        <f>SUMIF('[1]TrialBalance (YTD)'!G:G,B926,'[1]TrialBalance (YTD)'!H:H)</f>
        <v>#VALUE!</v>
      </c>
      <c r="I926" s="5">
        <f>IFERROR(INDEX('[1]TrialBalance (YTD)'!$G:$S,MATCH([1]TBMapping!$C928,'[1]TrialBalance (YTD)'!G:G,0),MATCH([1]TBMapping!J$3,'[1]TrialBalance (YTD)'!$G$7:$Z$7,0)),0)</f>
        <v>0</v>
      </c>
      <c r="K926" s="5" t="e">
        <f>SUMIF('[1]TrialBalance (Quarter)'!$A:$A,B926,'[1]TrialBalance (Quarter)'!$B:$B)</f>
        <v>#VALUE!</v>
      </c>
      <c r="L926" s="5">
        <f>IFERROR(INDEX('[1]TrialBalance (Quarter)'!$A:$L,MATCH([1]TBMapping!$C928,'[1]TrialBalance (Quarter)'!A:A,0),MATCH([1]TBMapping!M$3,'[1]TrialBalance (Quarter)'!$7:$7,0)),0)</f>
        <v>0</v>
      </c>
      <c r="M926" s="5">
        <f>IFERROR(INDEX('[1]TrialBalance (Quarter)'!$A:$L,MATCH([1]TBMapping!$C928,'[1]TrialBalance (Quarter)'!A:A,0),MATCH([1]TBMapping!N$3,'[1]TrialBalance (Quarter)'!$7:$7,0)),0)</f>
        <v>0</v>
      </c>
      <c r="N926" s="5">
        <f>IFERROR(INDEX('[1]TrialBalance (Quarter)'!$A:$L,MATCH([1]TBMapping!$C928,'[1]TrialBalance (Quarter)'!A:A,0),MATCH([1]TBMapping!O$3,'[1]TrialBalance (Quarter)'!$7:$7,0)),0)</f>
        <v>0</v>
      </c>
    </row>
    <row r="927" spans="1:14">
      <c r="A927" s="2">
        <v>19</v>
      </c>
      <c r="B927" s="3">
        <v>393012</v>
      </c>
      <c r="C927" s="11" t="s">
        <v>738</v>
      </c>
      <c r="D927" s="11" t="s">
        <v>11</v>
      </c>
      <c r="E927" s="11"/>
      <c r="F927" s="5" t="e">
        <f>IF(DataExtraction="Manual",SUMIF('[1]TrialBalance (YTD)'!$C:$C,B927,'[1]TrialBalance (YTD)'!$E:$E),SUMIF('[1]TrialBalance (YTD)'!$G:$G,B927,'[1]TrialBalance (YTD)'!$I:$I))</f>
        <v>#VALUE!</v>
      </c>
      <c r="G927" s="5">
        <f>IFERROR(INDEX('[1]TrialBalance (YTD)'!$G:$S,MATCH([1]TBMapping!$C929,'[1]TrialBalance (YTD)'!G:G,0),MATCH([1]TBMapping!H$3,'[1]TrialBalance (YTD)'!$G$7:$Z$7,0)),0)</f>
        <v>0</v>
      </c>
      <c r="H927" s="5" t="e">
        <f>SUMIF('[1]TrialBalance (YTD)'!G:G,B927,'[1]TrialBalance (YTD)'!H:H)</f>
        <v>#VALUE!</v>
      </c>
      <c r="I927" s="5">
        <f>IFERROR(INDEX('[1]TrialBalance (YTD)'!$G:$S,MATCH([1]TBMapping!$C929,'[1]TrialBalance (YTD)'!G:G,0),MATCH([1]TBMapping!J$3,'[1]TrialBalance (YTD)'!$G$7:$Z$7,0)),0)</f>
        <v>0</v>
      </c>
      <c r="K927" s="5" t="e">
        <f>SUMIF('[1]TrialBalance (Quarter)'!$A:$A,B927,'[1]TrialBalance (Quarter)'!$B:$B)</f>
        <v>#VALUE!</v>
      </c>
      <c r="L927" s="5">
        <f>IFERROR(INDEX('[1]TrialBalance (Quarter)'!$A:$L,MATCH([1]TBMapping!$C929,'[1]TrialBalance (Quarter)'!A:A,0),MATCH([1]TBMapping!M$3,'[1]TrialBalance (Quarter)'!$7:$7,0)),0)</f>
        <v>0</v>
      </c>
      <c r="M927" s="5">
        <f>IFERROR(INDEX('[1]TrialBalance (Quarter)'!$A:$L,MATCH([1]TBMapping!$C929,'[1]TrialBalance (Quarter)'!A:A,0),MATCH([1]TBMapping!N$3,'[1]TrialBalance (Quarter)'!$7:$7,0)),0)</f>
        <v>0</v>
      </c>
      <c r="N927" s="5">
        <f>IFERROR(INDEX('[1]TrialBalance (Quarter)'!$A:$L,MATCH([1]TBMapping!$C929,'[1]TrialBalance (Quarter)'!A:A,0),MATCH([1]TBMapping!O$3,'[1]TrialBalance (Quarter)'!$7:$7,0)),0)</f>
        <v>0</v>
      </c>
    </row>
    <row r="928" spans="1:14">
      <c r="A928" s="2">
        <v>19</v>
      </c>
      <c r="B928" s="3">
        <v>393013</v>
      </c>
      <c r="C928" s="10" t="s">
        <v>739</v>
      </c>
      <c r="D928" s="10" t="s">
        <v>11</v>
      </c>
      <c r="E928" s="10"/>
      <c r="F928" s="5" t="e">
        <f>IF(DataExtraction="Manual",SUMIF('[1]TrialBalance (YTD)'!$C:$C,B928,'[1]TrialBalance (YTD)'!$E:$E),SUMIF('[1]TrialBalance (YTD)'!$G:$G,B928,'[1]TrialBalance (YTD)'!$I:$I))</f>
        <v>#VALUE!</v>
      </c>
      <c r="G928" s="5">
        <f>IFERROR(INDEX('[1]TrialBalance (YTD)'!$G:$S,MATCH([1]TBMapping!$C930,'[1]TrialBalance (YTD)'!G:G,0),MATCH([1]TBMapping!H$3,'[1]TrialBalance (YTD)'!$G$7:$Z$7,0)),0)</f>
        <v>0</v>
      </c>
      <c r="H928" s="5" t="e">
        <f>SUMIF('[1]TrialBalance (YTD)'!G:G,B928,'[1]TrialBalance (YTD)'!H:H)</f>
        <v>#VALUE!</v>
      </c>
      <c r="I928" s="5">
        <f>IFERROR(INDEX('[1]TrialBalance (YTD)'!$G:$S,MATCH([1]TBMapping!$C930,'[1]TrialBalance (YTD)'!G:G,0),MATCH([1]TBMapping!J$3,'[1]TrialBalance (YTD)'!$G$7:$Z$7,0)),0)</f>
        <v>0</v>
      </c>
      <c r="K928" s="5" t="e">
        <f>SUMIF('[1]TrialBalance (Quarter)'!$A:$A,B928,'[1]TrialBalance (Quarter)'!$B:$B)</f>
        <v>#VALUE!</v>
      </c>
      <c r="L928" s="5">
        <f>IFERROR(INDEX('[1]TrialBalance (Quarter)'!$A:$L,MATCH([1]TBMapping!$C930,'[1]TrialBalance (Quarter)'!A:A,0),MATCH([1]TBMapping!M$3,'[1]TrialBalance (Quarter)'!$7:$7,0)),0)</f>
        <v>0</v>
      </c>
      <c r="M928" s="5">
        <f>IFERROR(INDEX('[1]TrialBalance (Quarter)'!$A:$L,MATCH([1]TBMapping!$C930,'[1]TrialBalance (Quarter)'!A:A,0),MATCH([1]TBMapping!N$3,'[1]TrialBalance (Quarter)'!$7:$7,0)),0)</f>
        <v>0</v>
      </c>
      <c r="N928" s="5">
        <f>IFERROR(INDEX('[1]TrialBalance (Quarter)'!$A:$L,MATCH([1]TBMapping!$C930,'[1]TrialBalance (Quarter)'!A:A,0),MATCH([1]TBMapping!O$3,'[1]TrialBalance (Quarter)'!$7:$7,0)),0)</f>
        <v>0</v>
      </c>
    </row>
    <row r="929" spans="1:14">
      <c r="A929" s="2">
        <v>19</v>
      </c>
      <c r="B929" s="3">
        <v>393014</v>
      </c>
      <c r="C929" s="11" t="s">
        <v>740</v>
      </c>
      <c r="D929" s="11" t="s">
        <v>11</v>
      </c>
      <c r="E929" s="11"/>
      <c r="F929" s="5" t="e">
        <f>IF(DataExtraction="Manual",SUMIF('[1]TrialBalance (YTD)'!$C:$C,B929,'[1]TrialBalance (YTD)'!$E:$E),SUMIF('[1]TrialBalance (YTD)'!$G:$G,B929,'[1]TrialBalance (YTD)'!$I:$I))</f>
        <v>#VALUE!</v>
      </c>
      <c r="G929" s="5">
        <f>IFERROR(INDEX('[1]TrialBalance (YTD)'!$G:$S,MATCH([1]TBMapping!$C931,'[1]TrialBalance (YTD)'!G:G,0),MATCH([1]TBMapping!H$3,'[1]TrialBalance (YTD)'!$G$7:$Z$7,0)),0)</f>
        <v>0</v>
      </c>
      <c r="H929" s="5" t="e">
        <f>SUMIF('[1]TrialBalance (YTD)'!G:G,B929,'[1]TrialBalance (YTD)'!H:H)</f>
        <v>#VALUE!</v>
      </c>
      <c r="I929" s="5">
        <f>IFERROR(INDEX('[1]TrialBalance (YTD)'!$G:$S,MATCH([1]TBMapping!$C931,'[1]TrialBalance (YTD)'!G:G,0),MATCH([1]TBMapping!J$3,'[1]TrialBalance (YTD)'!$G$7:$Z$7,0)),0)</f>
        <v>0</v>
      </c>
      <c r="K929" s="5" t="e">
        <f>SUMIF('[1]TrialBalance (Quarter)'!$A:$A,B929,'[1]TrialBalance (Quarter)'!$B:$B)</f>
        <v>#VALUE!</v>
      </c>
      <c r="L929" s="5">
        <f>IFERROR(INDEX('[1]TrialBalance (Quarter)'!$A:$L,MATCH([1]TBMapping!$C931,'[1]TrialBalance (Quarter)'!A:A,0),MATCH([1]TBMapping!M$3,'[1]TrialBalance (Quarter)'!$7:$7,0)),0)</f>
        <v>0</v>
      </c>
      <c r="M929" s="5">
        <f>IFERROR(INDEX('[1]TrialBalance (Quarter)'!$A:$L,MATCH([1]TBMapping!$C931,'[1]TrialBalance (Quarter)'!A:A,0),MATCH([1]TBMapping!N$3,'[1]TrialBalance (Quarter)'!$7:$7,0)),0)</f>
        <v>0</v>
      </c>
      <c r="N929" s="5">
        <f>IFERROR(INDEX('[1]TrialBalance (Quarter)'!$A:$L,MATCH([1]TBMapping!$C931,'[1]TrialBalance (Quarter)'!A:A,0),MATCH([1]TBMapping!O$3,'[1]TrialBalance (Quarter)'!$7:$7,0)),0)</f>
        <v>0</v>
      </c>
    </row>
    <row r="930" spans="1:14">
      <c r="A930" s="2">
        <v>19</v>
      </c>
      <c r="B930" s="3">
        <v>393015</v>
      </c>
      <c r="C930" s="10" t="s">
        <v>741</v>
      </c>
      <c r="D930" s="10" t="s">
        <v>11</v>
      </c>
      <c r="E930" s="10"/>
      <c r="F930" s="5" t="e">
        <f>IF(DataExtraction="Manual",SUMIF('[1]TrialBalance (YTD)'!$C:$C,B930,'[1]TrialBalance (YTD)'!$E:$E),SUMIF('[1]TrialBalance (YTD)'!$G:$G,B930,'[1]TrialBalance (YTD)'!$I:$I))</f>
        <v>#VALUE!</v>
      </c>
      <c r="G930" s="5">
        <f>IFERROR(INDEX('[1]TrialBalance (YTD)'!$G:$S,MATCH([1]TBMapping!$C932,'[1]TrialBalance (YTD)'!G:G,0),MATCH([1]TBMapping!H$3,'[1]TrialBalance (YTD)'!$G$7:$Z$7,0)),0)</f>
        <v>0</v>
      </c>
      <c r="H930" s="5" t="e">
        <f>SUMIF('[1]TrialBalance (YTD)'!G:G,B930,'[1]TrialBalance (YTD)'!H:H)</f>
        <v>#VALUE!</v>
      </c>
      <c r="I930" s="5">
        <f>IFERROR(INDEX('[1]TrialBalance (YTD)'!$G:$S,MATCH([1]TBMapping!$C932,'[1]TrialBalance (YTD)'!G:G,0),MATCH([1]TBMapping!J$3,'[1]TrialBalance (YTD)'!$G$7:$Z$7,0)),0)</f>
        <v>38983.47</v>
      </c>
      <c r="K930" s="5" t="e">
        <f>SUMIF('[1]TrialBalance (Quarter)'!$A:$A,B930,'[1]TrialBalance (Quarter)'!$B:$B)</f>
        <v>#VALUE!</v>
      </c>
      <c r="L930" s="5">
        <f>IFERROR(INDEX('[1]TrialBalance (Quarter)'!$A:$L,MATCH([1]TBMapping!$C932,'[1]TrialBalance (Quarter)'!A:A,0),MATCH([1]TBMapping!M$3,'[1]TrialBalance (Quarter)'!$7:$7,0)),0)</f>
        <v>0</v>
      </c>
      <c r="M930" s="5">
        <f>IFERROR(INDEX('[1]TrialBalance (Quarter)'!$A:$L,MATCH([1]TBMapping!$C932,'[1]TrialBalance (Quarter)'!A:A,0),MATCH([1]TBMapping!N$3,'[1]TrialBalance (Quarter)'!$7:$7,0)),0)</f>
        <v>286437.94</v>
      </c>
      <c r="N930" s="5">
        <f>IFERROR(INDEX('[1]TrialBalance (Quarter)'!$A:$L,MATCH([1]TBMapping!$C932,'[1]TrialBalance (Quarter)'!A:A,0),MATCH([1]TBMapping!O$3,'[1]TrialBalance (Quarter)'!$7:$7,0)),0)</f>
        <v>-3165.83</v>
      </c>
    </row>
    <row r="931" spans="1:14">
      <c r="A931" s="2">
        <v>19</v>
      </c>
      <c r="B931" s="3">
        <v>393016</v>
      </c>
      <c r="C931" s="11" t="s">
        <v>742</v>
      </c>
      <c r="D931" s="11" t="s">
        <v>11</v>
      </c>
      <c r="E931" s="11"/>
      <c r="F931" s="5" t="e">
        <f>IF(DataExtraction="Manual",SUMIF('[1]TrialBalance (YTD)'!$C:$C,B931,'[1]TrialBalance (YTD)'!$E:$E),SUMIF('[1]TrialBalance (YTD)'!$G:$G,B931,'[1]TrialBalance (YTD)'!$I:$I))</f>
        <v>#VALUE!</v>
      </c>
      <c r="G931" s="5">
        <f>IFERROR(INDEX('[1]TrialBalance (YTD)'!$G:$S,MATCH([1]TBMapping!$C933,'[1]TrialBalance (YTD)'!G:G,0),MATCH([1]TBMapping!H$3,'[1]TrialBalance (YTD)'!$G$7:$Z$7,0)),0)</f>
        <v>0</v>
      </c>
      <c r="H931" s="5" t="e">
        <f>SUMIF('[1]TrialBalance (YTD)'!G:G,B931,'[1]TrialBalance (YTD)'!H:H)</f>
        <v>#VALUE!</v>
      </c>
      <c r="I931" s="5">
        <f>IFERROR(INDEX('[1]TrialBalance (YTD)'!$G:$S,MATCH([1]TBMapping!$C933,'[1]TrialBalance (YTD)'!G:G,0),MATCH([1]TBMapping!J$3,'[1]TrialBalance (YTD)'!$G$7:$Z$7,0)),0)</f>
        <v>0</v>
      </c>
      <c r="K931" s="5" t="e">
        <f>SUMIF('[1]TrialBalance (Quarter)'!$A:$A,B931,'[1]TrialBalance (Quarter)'!$B:$B)</f>
        <v>#VALUE!</v>
      </c>
      <c r="L931" s="5">
        <f>IFERROR(INDEX('[1]TrialBalance (Quarter)'!$A:$L,MATCH([1]TBMapping!$C933,'[1]TrialBalance (Quarter)'!A:A,0),MATCH([1]TBMapping!M$3,'[1]TrialBalance (Quarter)'!$7:$7,0)),0)</f>
        <v>0</v>
      </c>
      <c r="M931" s="5">
        <f>IFERROR(INDEX('[1]TrialBalance (Quarter)'!$A:$L,MATCH([1]TBMapping!$C933,'[1]TrialBalance (Quarter)'!A:A,0),MATCH([1]TBMapping!N$3,'[1]TrialBalance (Quarter)'!$7:$7,0)),0)</f>
        <v>0</v>
      </c>
      <c r="N931" s="5">
        <f>IFERROR(INDEX('[1]TrialBalance (Quarter)'!$A:$L,MATCH([1]TBMapping!$C933,'[1]TrialBalance (Quarter)'!A:A,0),MATCH([1]TBMapping!O$3,'[1]TrialBalance (Quarter)'!$7:$7,0)),0)</f>
        <v>0</v>
      </c>
    </row>
    <row r="932" spans="1:14">
      <c r="A932" s="2">
        <v>19</v>
      </c>
      <c r="B932" s="3">
        <v>393017</v>
      </c>
      <c r="C932" s="10" t="s">
        <v>743</v>
      </c>
      <c r="D932" s="10" t="s">
        <v>11</v>
      </c>
      <c r="E932" s="10"/>
      <c r="F932" s="5" t="e">
        <f>IF(DataExtraction="Manual",SUMIF('[1]TrialBalance (YTD)'!$C:$C,B932,'[1]TrialBalance (YTD)'!$E:$E),SUMIF('[1]TrialBalance (YTD)'!$G:$G,B932,'[1]TrialBalance (YTD)'!$I:$I))</f>
        <v>#VALUE!</v>
      </c>
      <c r="G932" s="5">
        <f>IFERROR(INDEX('[1]TrialBalance (YTD)'!$G:$S,MATCH([1]TBMapping!$C934,'[1]TrialBalance (YTD)'!G:G,0),MATCH([1]TBMapping!H$3,'[1]TrialBalance (YTD)'!$G$7:$Z$7,0)),0)</f>
        <v>0</v>
      </c>
      <c r="H932" s="5" t="e">
        <f>SUMIF('[1]TrialBalance (YTD)'!G:G,B932,'[1]TrialBalance (YTD)'!H:H)</f>
        <v>#VALUE!</v>
      </c>
      <c r="I932" s="5">
        <f>IFERROR(INDEX('[1]TrialBalance (YTD)'!$G:$S,MATCH([1]TBMapping!$C934,'[1]TrialBalance (YTD)'!G:G,0),MATCH([1]TBMapping!J$3,'[1]TrialBalance (YTD)'!$G$7:$Z$7,0)),0)</f>
        <v>0</v>
      </c>
      <c r="K932" s="5" t="e">
        <f>SUMIF('[1]TrialBalance (Quarter)'!$A:$A,B932,'[1]TrialBalance (Quarter)'!$B:$B)</f>
        <v>#VALUE!</v>
      </c>
      <c r="L932" s="5">
        <f>IFERROR(INDEX('[1]TrialBalance (Quarter)'!$A:$L,MATCH([1]TBMapping!$C934,'[1]TrialBalance (Quarter)'!A:A,0),MATCH([1]TBMapping!M$3,'[1]TrialBalance (Quarter)'!$7:$7,0)),0)</f>
        <v>0</v>
      </c>
      <c r="M932" s="5">
        <f>IFERROR(INDEX('[1]TrialBalance (Quarter)'!$A:$L,MATCH([1]TBMapping!$C934,'[1]TrialBalance (Quarter)'!A:A,0),MATCH([1]TBMapping!N$3,'[1]TrialBalance (Quarter)'!$7:$7,0)),0)</f>
        <v>0</v>
      </c>
      <c r="N932" s="5">
        <f>IFERROR(INDEX('[1]TrialBalance (Quarter)'!$A:$L,MATCH([1]TBMapping!$C934,'[1]TrialBalance (Quarter)'!A:A,0),MATCH([1]TBMapping!O$3,'[1]TrialBalance (Quarter)'!$7:$7,0)),0)</f>
        <v>0</v>
      </c>
    </row>
    <row r="933" spans="1:14">
      <c r="A933" s="2">
        <v>19</v>
      </c>
      <c r="B933" s="3">
        <v>393018</v>
      </c>
      <c r="C933" s="11" t="s">
        <v>744</v>
      </c>
      <c r="D933" s="11" t="s">
        <v>11</v>
      </c>
      <c r="E933" s="11"/>
      <c r="F933" s="5" t="e">
        <f>IF(DataExtraction="Manual",SUMIF('[1]TrialBalance (YTD)'!$C:$C,B933,'[1]TrialBalance (YTD)'!$E:$E),SUMIF('[1]TrialBalance (YTD)'!$G:$G,B933,'[1]TrialBalance (YTD)'!$I:$I))</f>
        <v>#VALUE!</v>
      </c>
      <c r="G933" s="5">
        <f>IFERROR(INDEX('[1]TrialBalance (YTD)'!$G:$S,MATCH([1]TBMapping!$C935,'[1]TrialBalance (YTD)'!G:G,0),MATCH([1]TBMapping!H$3,'[1]TrialBalance (YTD)'!$G$7:$Z$7,0)),0)</f>
        <v>0</v>
      </c>
      <c r="H933" s="5" t="e">
        <f>SUMIF('[1]TrialBalance (YTD)'!G:G,B933,'[1]TrialBalance (YTD)'!H:H)</f>
        <v>#VALUE!</v>
      </c>
      <c r="I933" s="5">
        <f>IFERROR(INDEX('[1]TrialBalance (YTD)'!$G:$S,MATCH([1]TBMapping!$C935,'[1]TrialBalance (YTD)'!G:G,0),MATCH([1]TBMapping!J$3,'[1]TrialBalance (YTD)'!$G$7:$Z$7,0)),0)</f>
        <v>0</v>
      </c>
      <c r="K933" s="5" t="e">
        <f>SUMIF('[1]TrialBalance (Quarter)'!$A:$A,B933,'[1]TrialBalance (Quarter)'!$B:$B)</f>
        <v>#VALUE!</v>
      </c>
      <c r="L933" s="5">
        <f>IFERROR(INDEX('[1]TrialBalance (Quarter)'!$A:$L,MATCH([1]TBMapping!$C935,'[1]TrialBalance (Quarter)'!A:A,0),MATCH([1]TBMapping!M$3,'[1]TrialBalance (Quarter)'!$7:$7,0)),0)</f>
        <v>0</v>
      </c>
      <c r="M933" s="5">
        <f>IFERROR(INDEX('[1]TrialBalance (Quarter)'!$A:$L,MATCH([1]TBMapping!$C935,'[1]TrialBalance (Quarter)'!A:A,0),MATCH([1]TBMapping!N$3,'[1]TrialBalance (Quarter)'!$7:$7,0)),0)</f>
        <v>0</v>
      </c>
      <c r="N933" s="5">
        <f>IFERROR(INDEX('[1]TrialBalance (Quarter)'!$A:$L,MATCH([1]TBMapping!$C935,'[1]TrialBalance (Quarter)'!A:A,0),MATCH([1]TBMapping!O$3,'[1]TrialBalance (Quarter)'!$7:$7,0)),0)</f>
        <v>0</v>
      </c>
    </row>
    <row r="934" spans="1:14">
      <c r="A934" s="2">
        <v>19</v>
      </c>
      <c r="B934" s="3">
        <v>393019</v>
      </c>
      <c r="C934" s="10" t="s">
        <v>745</v>
      </c>
      <c r="D934" s="10" t="s">
        <v>11</v>
      </c>
      <c r="E934" s="10"/>
      <c r="F934" s="5" t="e">
        <f>IF(DataExtraction="Manual",SUMIF('[1]TrialBalance (YTD)'!$C:$C,B934,'[1]TrialBalance (YTD)'!$E:$E),SUMIF('[1]TrialBalance (YTD)'!$G:$G,B934,'[1]TrialBalance (YTD)'!$I:$I))</f>
        <v>#VALUE!</v>
      </c>
      <c r="G934" s="5">
        <f>IFERROR(INDEX('[1]TrialBalance (YTD)'!$G:$S,MATCH([1]TBMapping!$C936,'[1]TrialBalance (YTD)'!G:G,0),MATCH([1]TBMapping!H$3,'[1]TrialBalance (YTD)'!$G$7:$Z$7,0)),0)</f>
        <v>0</v>
      </c>
      <c r="H934" s="5" t="e">
        <f>SUMIF('[1]TrialBalance (YTD)'!G:G,B934,'[1]TrialBalance (YTD)'!H:H)</f>
        <v>#VALUE!</v>
      </c>
      <c r="I934" s="5">
        <f>IFERROR(INDEX('[1]TrialBalance (YTD)'!$G:$S,MATCH([1]TBMapping!$C936,'[1]TrialBalance (YTD)'!G:G,0),MATCH([1]TBMapping!J$3,'[1]TrialBalance (YTD)'!$G$7:$Z$7,0)),0)</f>
        <v>0</v>
      </c>
      <c r="K934" s="5" t="e">
        <f>SUMIF('[1]TrialBalance (Quarter)'!$A:$A,B934,'[1]TrialBalance (Quarter)'!$B:$B)</f>
        <v>#VALUE!</v>
      </c>
      <c r="L934" s="5">
        <f>IFERROR(INDEX('[1]TrialBalance (Quarter)'!$A:$L,MATCH([1]TBMapping!$C936,'[1]TrialBalance (Quarter)'!A:A,0),MATCH([1]TBMapping!M$3,'[1]TrialBalance (Quarter)'!$7:$7,0)),0)</f>
        <v>0</v>
      </c>
      <c r="M934" s="5">
        <f>IFERROR(INDEX('[1]TrialBalance (Quarter)'!$A:$L,MATCH([1]TBMapping!$C936,'[1]TrialBalance (Quarter)'!A:A,0),MATCH([1]TBMapping!N$3,'[1]TrialBalance (Quarter)'!$7:$7,0)),0)</f>
        <v>0</v>
      </c>
      <c r="N934" s="5">
        <f>IFERROR(INDEX('[1]TrialBalance (Quarter)'!$A:$L,MATCH([1]TBMapping!$C936,'[1]TrialBalance (Quarter)'!A:A,0),MATCH([1]TBMapping!O$3,'[1]TrialBalance (Quarter)'!$7:$7,0)),0)</f>
        <v>0</v>
      </c>
    </row>
    <row r="935" spans="1:14">
      <c r="A935" s="2">
        <v>19</v>
      </c>
      <c r="B935" s="3">
        <v>393020</v>
      </c>
      <c r="C935" s="11" t="s">
        <v>746</v>
      </c>
      <c r="D935" s="11" t="s">
        <v>11</v>
      </c>
      <c r="E935" s="11"/>
      <c r="F935" s="5" t="e">
        <f>IF(DataExtraction="Manual",SUMIF('[1]TrialBalance (YTD)'!$C:$C,B935,'[1]TrialBalance (YTD)'!$E:$E),SUMIF('[1]TrialBalance (YTD)'!$G:$G,B935,'[1]TrialBalance (YTD)'!$I:$I))</f>
        <v>#VALUE!</v>
      </c>
      <c r="G935" s="5">
        <f>IFERROR(INDEX('[1]TrialBalance (YTD)'!$G:$S,MATCH([1]TBMapping!$C937,'[1]TrialBalance (YTD)'!G:G,0),MATCH([1]TBMapping!H$3,'[1]TrialBalance (YTD)'!$G$7:$Z$7,0)),0)</f>
        <v>0</v>
      </c>
      <c r="H935" s="5" t="e">
        <f>SUMIF('[1]TrialBalance (YTD)'!G:G,B935,'[1]TrialBalance (YTD)'!H:H)</f>
        <v>#VALUE!</v>
      </c>
      <c r="I935" s="5">
        <f>IFERROR(INDEX('[1]TrialBalance (YTD)'!$G:$S,MATCH([1]TBMapping!$C937,'[1]TrialBalance (YTD)'!G:G,0),MATCH([1]TBMapping!J$3,'[1]TrialBalance (YTD)'!$G$7:$Z$7,0)),0)</f>
        <v>397610.68</v>
      </c>
      <c r="K935" s="5" t="e">
        <f>SUMIF('[1]TrialBalance (Quarter)'!$A:$A,B935,'[1]TrialBalance (Quarter)'!$B:$B)</f>
        <v>#VALUE!</v>
      </c>
      <c r="L935" s="5">
        <f>IFERROR(INDEX('[1]TrialBalance (Quarter)'!$A:$L,MATCH([1]TBMapping!$C937,'[1]TrialBalance (Quarter)'!A:A,0),MATCH([1]TBMapping!M$3,'[1]TrialBalance (Quarter)'!$7:$7,0)),0)</f>
        <v>0</v>
      </c>
      <c r="M935" s="5">
        <f>IFERROR(INDEX('[1]TrialBalance (Quarter)'!$A:$L,MATCH([1]TBMapping!$C937,'[1]TrialBalance (Quarter)'!A:A,0),MATCH([1]TBMapping!N$3,'[1]TrialBalance (Quarter)'!$7:$7,0)),0)</f>
        <v>1923760.62</v>
      </c>
      <c r="N935" s="5">
        <f>IFERROR(INDEX('[1]TrialBalance (Quarter)'!$A:$L,MATCH([1]TBMapping!$C937,'[1]TrialBalance (Quarter)'!A:A,0),MATCH([1]TBMapping!O$3,'[1]TrialBalance (Quarter)'!$7:$7,0)),0)</f>
        <v>-7153319.7999999998</v>
      </c>
    </row>
    <row r="936" spans="1:14">
      <c r="A936" s="2">
        <v>19</v>
      </c>
      <c r="B936" s="3">
        <v>393021</v>
      </c>
      <c r="C936" s="10" t="s">
        <v>747</v>
      </c>
      <c r="D936" s="10" t="s">
        <v>11</v>
      </c>
      <c r="E936" s="10"/>
      <c r="F936" s="5" t="e">
        <f>IF(DataExtraction="Manual",SUMIF('[1]TrialBalance (YTD)'!$C:$C,B936,'[1]TrialBalance (YTD)'!$E:$E),SUMIF('[1]TrialBalance (YTD)'!$G:$G,B936,'[1]TrialBalance (YTD)'!$I:$I))</f>
        <v>#VALUE!</v>
      </c>
      <c r="G936" s="5">
        <f>IFERROR(INDEX('[1]TrialBalance (YTD)'!$G:$S,MATCH([1]TBMapping!$C938,'[1]TrialBalance (YTD)'!G:G,0),MATCH([1]TBMapping!H$3,'[1]TrialBalance (YTD)'!$G$7:$Z$7,0)),0)</f>
        <v>0</v>
      </c>
      <c r="H936" s="5" t="e">
        <f>SUMIF('[1]TrialBalance (YTD)'!G:G,B936,'[1]TrialBalance (YTD)'!H:H)</f>
        <v>#VALUE!</v>
      </c>
      <c r="I936" s="5">
        <f>IFERROR(INDEX('[1]TrialBalance (YTD)'!$G:$S,MATCH([1]TBMapping!$C938,'[1]TrialBalance (YTD)'!G:G,0),MATCH([1]TBMapping!J$3,'[1]TrialBalance (YTD)'!$G$7:$Z$7,0)),0)</f>
        <v>0</v>
      </c>
      <c r="K936" s="5" t="e">
        <f>SUMIF('[1]TrialBalance (Quarter)'!$A:$A,B936,'[1]TrialBalance (Quarter)'!$B:$B)</f>
        <v>#VALUE!</v>
      </c>
      <c r="L936" s="5">
        <f>IFERROR(INDEX('[1]TrialBalance (Quarter)'!$A:$L,MATCH([1]TBMapping!$C938,'[1]TrialBalance (Quarter)'!A:A,0),MATCH([1]TBMapping!M$3,'[1]TrialBalance (Quarter)'!$7:$7,0)),0)</f>
        <v>0</v>
      </c>
      <c r="M936" s="5">
        <f>IFERROR(INDEX('[1]TrialBalance (Quarter)'!$A:$L,MATCH([1]TBMapping!$C938,'[1]TrialBalance (Quarter)'!A:A,0),MATCH([1]TBMapping!N$3,'[1]TrialBalance (Quarter)'!$7:$7,0)),0)</f>
        <v>0</v>
      </c>
      <c r="N936" s="5">
        <f>IFERROR(INDEX('[1]TrialBalance (Quarter)'!$A:$L,MATCH([1]TBMapping!$C938,'[1]TrialBalance (Quarter)'!A:A,0),MATCH([1]TBMapping!O$3,'[1]TrialBalance (Quarter)'!$7:$7,0)),0)</f>
        <v>0</v>
      </c>
    </row>
    <row r="937" spans="1:14">
      <c r="A937" s="2">
        <v>19</v>
      </c>
      <c r="B937" s="3">
        <v>393093</v>
      </c>
      <c r="C937" s="11" t="s">
        <v>748</v>
      </c>
      <c r="D937" s="11" t="s">
        <v>11</v>
      </c>
      <c r="E937" s="11"/>
      <c r="F937" s="5" t="e">
        <f>IF(DataExtraction="Manual",SUMIF('[1]TrialBalance (YTD)'!$C:$C,B937,'[1]TrialBalance (YTD)'!$E:$E),SUMIF('[1]TrialBalance (YTD)'!$G:$G,B937,'[1]TrialBalance (YTD)'!$I:$I))</f>
        <v>#VALUE!</v>
      </c>
      <c r="G937" s="5">
        <f>IFERROR(INDEX('[1]TrialBalance (YTD)'!$G:$S,MATCH([1]TBMapping!$C939,'[1]TrialBalance (YTD)'!G:G,0),MATCH([1]TBMapping!H$3,'[1]TrialBalance (YTD)'!$G$7:$Z$7,0)),0)</f>
        <v>0</v>
      </c>
      <c r="H937" s="5" t="e">
        <f>SUMIF('[1]TrialBalance (YTD)'!G:G,B937,'[1]TrialBalance (YTD)'!H:H)</f>
        <v>#VALUE!</v>
      </c>
      <c r="I937" s="5">
        <f>IFERROR(INDEX('[1]TrialBalance (YTD)'!$G:$S,MATCH([1]TBMapping!$C939,'[1]TrialBalance (YTD)'!G:G,0),MATCH([1]TBMapping!J$3,'[1]TrialBalance (YTD)'!$G$7:$Z$7,0)),0)</f>
        <v>0</v>
      </c>
      <c r="K937" s="5" t="e">
        <f>SUMIF('[1]TrialBalance (Quarter)'!$A:$A,B937,'[1]TrialBalance (Quarter)'!$B:$B)</f>
        <v>#VALUE!</v>
      </c>
      <c r="L937" s="5">
        <f>IFERROR(INDEX('[1]TrialBalance (Quarter)'!$A:$L,MATCH([1]TBMapping!$C939,'[1]TrialBalance (Quarter)'!A:A,0),MATCH([1]TBMapping!M$3,'[1]TrialBalance (Quarter)'!$7:$7,0)),0)</f>
        <v>0</v>
      </c>
      <c r="M937" s="5">
        <f>IFERROR(INDEX('[1]TrialBalance (Quarter)'!$A:$L,MATCH([1]TBMapping!$C939,'[1]TrialBalance (Quarter)'!A:A,0),MATCH([1]TBMapping!N$3,'[1]TrialBalance (Quarter)'!$7:$7,0)),0)</f>
        <v>0</v>
      </c>
      <c r="N937" s="5">
        <f>IFERROR(INDEX('[1]TrialBalance (Quarter)'!$A:$L,MATCH([1]TBMapping!$C939,'[1]TrialBalance (Quarter)'!A:A,0),MATCH([1]TBMapping!O$3,'[1]TrialBalance (Quarter)'!$7:$7,0)),0)</f>
        <v>0</v>
      </c>
    </row>
    <row r="938" spans="1:14">
      <c r="A938" s="2">
        <v>19</v>
      </c>
      <c r="B938" s="3">
        <v>393094</v>
      </c>
      <c r="C938" s="10" t="s">
        <v>749</v>
      </c>
      <c r="D938" s="10" t="s">
        <v>11</v>
      </c>
      <c r="E938" s="10"/>
      <c r="F938" s="5" t="e">
        <f>IF(DataExtraction="Manual",SUMIF('[1]TrialBalance (YTD)'!$C:$C,B938,'[1]TrialBalance (YTD)'!$E:$E),SUMIF('[1]TrialBalance (YTD)'!$G:$G,B938,'[1]TrialBalance (YTD)'!$I:$I))</f>
        <v>#VALUE!</v>
      </c>
      <c r="G938" s="5">
        <f>IFERROR(INDEX('[1]TrialBalance (YTD)'!$G:$S,MATCH([1]TBMapping!$C940,'[1]TrialBalance (YTD)'!G:G,0),MATCH([1]TBMapping!H$3,'[1]TrialBalance (YTD)'!$G$7:$Z$7,0)),0)</f>
        <v>0</v>
      </c>
      <c r="H938" s="5" t="e">
        <f>SUMIF('[1]TrialBalance (YTD)'!G:G,B938,'[1]TrialBalance (YTD)'!H:H)</f>
        <v>#VALUE!</v>
      </c>
      <c r="I938" s="5">
        <f>IFERROR(INDEX('[1]TrialBalance (YTD)'!$G:$S,MATCH([1]TBMapping!$C940,'[1]TrialBalance (YTD)'!G:G,0),MATCH([1]TBMapping!J$3,'[1]TrialBalance (YTD)'!$G$7:$Z$7,0)),0)</f>
        <v>0</v>
      </c>
      <c r="K938" s="5" t="e">
        <f>SUMIF('[1]TrialBalance (Quarter)'!$A:$A,B938,'[1]TrialBalance (Quarter)'!$B:$B)</f>
        <v>#VALUE!</v>
      </c>
      <c r="L938" s="5">
        <f>IFERROR(INDEX('[1]TrialBalance (Quarter)'!$A:$L,MATCH([1]TBMapping!$C940,'[1]TrialBalance (Quarter)'!A:A,0),MATCH([1]TBMapping!M$3,'[1]TrialBalance (Quarter)'!$7:$7,0)),0)</f>
        <v>0</v>
      </c>
      <c r="M938" s="5">
        <f>IFERROR(INDEX('[1]TrialBalance (Quarter)'!$A:$L,MATCH([1]TBMapping!$C940,'[1]TrialBalance (Quarter)'!A:A,0),MATCH([1]TBMapping!N$3,'[1]TrialBalance (Quarter)'!$7:$7,0)),0)</f>
        <v>0</v>
      </c>
      <c r="N938" s="5">
        <f>IFERROR(INDEX('[1]TrialBalance (Quarter)'!$A:$L,MATCH([1]TBMapping!$C940,'[1]TrialBalance (Quarter)'!A:A,0),MATCH([1]TBMapping!O$3,'[1]TrialBalance (Quarter)'!$7:$7,0)),0)</f>
        <v>0</v>
      </c>
    </row>
    <row r="939" spans="1:14">
      <c r="A939" s="2">
        <v>19</v>
      </c>
      <c r="B939" s="3">
        <v>393095</v>
      </c>
      <c r="C939" s="11" t="s">
        <v>750</v>
      </c>
      <c r="D939" s="11" t="s">
        <v>11</v>
      </c>
      <c r="E939" s="11"/>
      <c r="F939" s="5" t="e">
        <f>IF(DataExtraction="Manual",SUMIF('[1]TrialBalance (YTD)'!$C:$C,B939,'[1]TrialBalance (YTD)'!$E:$E),SUMIF('[1]TrialBalance (YTD)'!$G:$G,B939,'[1]TrialBalance (YTD)'!$I:$I))</f>
        <v>#VALUE!</v>
      </c>
      <c r="G939" s="5">
        <f>IFERROR(INDEX('[1]TrialBalance (YTD)'!$G:$S,MATCH([1]TBMapping!$C941,'[1]TrialBalance (YTD)'!G:G,0),MATCH([1]TBMapping!H$3,'[1]TrialBalance (YTD)'!$G$7:$Z$7,0)),0)</f>
        <v>0</v>
      </c>
      <c r="H939" s="5" t="e">
        <f>SUMIF('[1]TrialBalance (YTD)'!G:G,B939,'[1]TrialBalance (YTD)'!H:H)</f>
        <v>#VALUE!</v>
      </c>
      <c r="I939" s="5">
        <f>IFERROR(INDEX('[1]TrialBalance (YTD)'!$G:$S,MATCH([1]TBMapping!$C941,'[1]TrialBalance (YTD)'!G:G,0),MATCH([1]TBMapping!J$3,'[1]TrialBalance (YTD)'!$G$7:$Z$7,0)),0)</f>
        <v>0</v>
      </c>
      <c r="K939" s="5" t="e">
        <f>SUMIF('[1]TrialBalance (Quarter)'!$A:$A,B939,'[1]TrialBalance (Quarter)'!$B:$B)</f>
        <v>#VALUE!</v>
      </c>
      <c r="L939" s="5">
        <f>IFERROR(INDEX('[1]TrialBalance (Quarter)'!$A:$L,MATCH([1]TBMapping!$C941,'[1]TrialBalance (Quarter)'!A:A,0),MATCH([1]TBMapping!M$3,'[1]TrialBalance (Quarter)'!$7:$7,0)),0)</f>
        <v>0</v>
      </c>
      <c r="M939" s="5">
        <f>IFERROR(INDEX('[1]TrialBalance (Quarter)'!$A:$L,MATCH([1]TBMapping!$C941,'[1]TrialBalance (Quarter)'!A:A,0),MATCH([1]TBMapping!N$3,'[1]TrialBalance (Quarter)'!$7:$7,0)),0)</f>
        <v>0</v>
      </c>
      <c r="N939" s="5">
        <f>IFERROR(INDEX('[1]TrialBalance (Quarter)'!$A:$L,MATCH([1]TBMapping!$C941,'[1]TrialBalance (Quarter)'!A:A,0),MATCH([1]TBMapping!O$3,'[1]TrialBalance (Quarter)'!$7:$7,0)),0)</f>
        <v>0</v>
      </c>
    </row>
    <row r="940" spans="1:14">
      <c r="A940" s="2">
        <v>19</v>
      </c>
      <c r="B940" s="3">
        <v>393100</v>
      </c>
      <c r="C940" s="10" t="s">
        <v>751</v>
      </c>
      <c r="D940" s="10" t="s">
        <v>11</v>
      </c>
      <c r="E940" s="10"/>
      <c r="F940" s="5" t="e">
        <f>IF(DataExtraction="Manual",SUMIF('[1]TrialBalance (YTD)'!$C:$C,B940,'[1]TrialBalance (YTD)'!$E:$E),SUMIF('[1]TrialBalance (YTD)'!$G:$G,B940,'[1]TrialBalance (YTD)'!$I:$I))</f>
        <v>#VALUE!</v>
      </c>
      <c r="G940" s="5">
        <f>IFERROR(INDEX('[1]TrialBalance (YTD)'!$G:$S,MATCH([1]TBMapping!$C942,'[1]TrialBalance (YTD)'!G:G,0),MATCH([1]TBMapping!H$3,'[1]TrialBalance (YTD)'!$G$7:$Z$7,0)),0)</f>
        <v>0</v>
      </c>
      <c r="H940" s="5" t="e">
        <f>SUMIF('[1]TrialBalance (YTD)'!G:G,B940,'[1]TrialBalance (YTD)'!H:H)</f>
        <v>#VALUE!</v>
      </c>
      <c r="I940" s="5">
        <f>IFERROR(INDEX('[1]TrialBalance (YTD)'!$G:$S,MATCH([1]TBMapping!$C942,'[1]TrialBalance (YTD)'!G:G,0),MATCH([1]TBMapping!J$3,'[1]TrialBalance (YTD)'!$G$7:$Z$7,0)),0)</f>
        <v>0</v>
      </c>
      <c r="K940" s="5" t="e">
        <f>SUMIF('[1]TrialBalance (Quarter)'!$A:$A,B940,'[1]TrialBalance (Quarter)'!$B:$B)</f>
        <v>#VALUE!</v>
      </c>
      <c r="L940" s="5">
        <f>IFERROR(INDEX('[1]TrialBalance (Quarter)'!$A:$L,MATCH([1]TBMapping!$C942,'[1]TrialBalance (Quarter)'!A:A,0),MATCH([1]TBMapping!M$3,'[1]TrialBalance (Quarter)'!$7:$7,0)),0)</f>
        <v>0</v>
      </c>
      <c r="M940" s="5">
        <f>IFERROR(INDEX('[1]TrialBalance (Quarter)'!$A:$L,MATCH([1]TBMapping!$C942,'[1]TrialBalance (Quarter)'!A:A,0),MATCH([1]TBMapping!N$3,'[1]TrialBalance (Quarter)'!$7:$7,0)),0)</f>
        <v>0</v>
      </c>
      <c r="N940" s="5">
        <f>IFERROR(INDEX('[1]TrialBalance (Quarter)'!$A:$L,MATCH([1]TBMapping!$C942,'[1]TrialBalance (Quarter)'!A:A,0),MATCH([1]TBMapping!O$3,'[1]TrialBalance (Quarter)'!$7:$7,0)),0)</f>
        <v>0</v>
      </c>
    </row>
    <row r="941" spans="1:14">
      <c r="A941" s="2">
        <v>19</v>
      </c>
      <c r="B941" s="3">
        <v>393101</v>
      </c>
      <c r="C941" s="11" t="s">
        <v>752</v>
      </c>
      <c r="D941" s="11" t="s">
        <v>11</v>
      </c>
      <c r="E941" s="11"/>
      <c r="F941" s="5" t="e">
        <f>IF(DataExtraction="Manual",SUMIF('[1]TrialBalance (YTD)'!$C:$C,B941,'[1]TrialBalance (YTD)'!$E:$E),SUMIF('[1]TrialBalance (YTD)'!$G:$G,B941,'[1]TrialBalance (YTD)'!$I:$I))</f>
        <v>#VALUE!</v>
      </c>
      <c r="G941" s="5">
        <f>IFERROR(INDEX('[1]TrialBalance (YTD)'!$G:$S,MATCH([1]TBMapping!$C943,'[1]TrialBalance (YTD)'!G:G,0),MATCH([1]TBMapping!H$3,'[1]TrialBalance (YTD)'!$G$7:$Z$7,0)),0)</f>
        <v>0</v>
      </c>
      <c r="H941" s="5" t="e">
        <f>SUMIF('[1]TrialBalance (YTD)'!G:G,B941,'[1]TrialBalance (YTD)'!H:H)</f>
        <v>#VALUE!</v>
      </c>
      <c r="I941" s="5">
        <f>IFERROR(INDEX('[1]TrialBalance (YTD)'!$G:$S,MATCH([1]TBMapping!$C943,'[1]TrialBalance (YTD)'!G:G,0),MATCH([1]TBMapping!J$3,'[1]TrialBalance (YTD)'!$G$7:$Z$7,0)),0)</f>
        <v>0</v>
      </c>
      <c r="K941" s="5" t="e">
        <f>SUMIF('[1]TrialBalance (Quarter)'!$A:$A,B941,'[1]TrialBalance (Quarter)'!$B:$B)</f>
        <v>#VALUE!</v>
      </c>
      <c r="L941" s="5">
        <f>IFERROR(INDEX('[1]TrialBalance (Quarter)'!$A:$L,MATCH([1]TBMapping!$C943,'[1]TrialBalance (Quarter)'!A:A,0),MATCH([1]TBMapping!M$3,'[1]TrialBalance (Quarter)'!$7:$7,0)),0)</f>
        <v>0</v>
      </c>
      <c r="M941" s="5">
        <f>IFERROR(INDEX('[1]TrialBalance (Quarter)'!$A:$L,MATCH([1]TBMapping!$C943,'[1]TrialBalance (Quarter)'!A:A,0),MATCH([1]TBMapping!N$3,'[1]TrialBalance (Quarter)'!$7:$7,0)),0)</f>
        <v>0</v>
      </c>
      <c r="N941" s="5">
        <f>IFERROR(INDEX('[1]TrialBalance (Quarter)'!$A:$L,MATCH([1]TBMapping!$C943,'[1]TrialBalance (Quarter)'!A:A,0),MATCH([1]TBMapping!O$3,'[1]TrialBalance (Quarter)'!$7:$7,0)),0)</f>
        <v>0</v>
      </c>
    </row>
    <row r="942" spans="1:14">
      <c r="A942" s="2">
        <v>19</v>
      </c>
      <c r="B942" s="3">
        <v>393163</v>
      </c>
      <c r="C942" s="10" t="s">
        <v>753</v>
      </c>
      <c r="D942" s="10" t="s">
        <v>11</v>
      </c>
      <c r="E942" s="10"/>
      <c r="F942" s="5" t="e">
        <f>IF(DataExtraction="Manual",SUMIF('[1]TrialBalance (YTD)'!$C:$C,B942,'[1]TrialBalance (YTD)'!$E:$E),SUMIF('[1]TrialBalance (YTD)'!$G:$G,B942,'[1]TrialBalance (YTD)'!$I:$I))</f>
        <v>#VALUE!</v>
      </c>
      <c r="G942" s="5">
        <f>IFERROR(INDEX('[1]TrialBalance (YTD)'!$G:$S,MATCH([1]TBMapping!$C944,'[1]TrialBalance (YTD)'!G:G,0),MATCH([1]TBMapping!H$3,'[1]TrialBalance (YTD)'!$G$7:$Z$7,0)),0)</f>
        <v>0</v>
      </c>
      <c r="H942" s="5" t="e">
        <f>SUMIF('[1]TrialBalance (YTD)'!G:G,B942,'[1]TrialBalance (YTD)'!H:H)</f>
        <v>#VALUE!</v>
      </c>
      <c r="I942" s="5">
        <f>IFERROR(INDEX('[1]TrialBalance (YTD)'!$G:$S,MATCH([1]TBMapping!$C944,'[1]TrialBalance (YTD)'!G:G,0),MATCH([1]TBMapping!J$3,'[1]TrialBalance (YTD)'!$G$7:$Z$7,0)),0)</f>
        <v>0</v>
      </c>
      <c r="K942" s="5" t="e">
        <f>SUMIF('[1]TrialBalance (Quarter)'!$A:$A,B942,'[1]TrialBalance (Quarter)'!$B:$B)</f>
        <v>#VALUE!</v>
      </c>
      <c r="L942" s="5">
        <f>IFERROR(INDEX('[1]TrialBalance (Quarter)'!$A:$L,MATCH([1]TBMapping!$C944,'[1]TrialBalance (Quarter)'!A:A,0),MATCH([1]TBMapping!M$3,'[1]TrialBalance (Quarter)'!$7:$7,0)),0)</f>
        <v>0</v>
      </c>
      <c r="M942" s="5">
        <f>IFERROR(INDEX('[1]TrialBalance (Quarter)'!$A:$L,MATCH([1]TBMapping!$C944,'[1]TrialBalance (Quarter)'!A:A,0),MATCH([1]TBMapping!N$3,'[1]TrialBalance (Quarter)'!$7:$7,0)),0)</f>
        <v>0</v>
      </c>
      <c r="N942" s="5">
        <f>IFERROR(INDEX('[1]TrialBalance (Quarter)'!$A:$L,MATCH([1]TBMapping!$C944,'[1]TrialBalance (Quarter)'!A:A,0),MATCH([1]TBMapping!O$3,'[1]TrialBalance (Quarter)'!$7:$7,0)),0)</f>
        <v>0</v>
      </c>
    </row>
    <row r="943" spans="1:14">
      <c r="A943" s="2">
        <v>19</v>
      </c>
      <c r="B943" s="3">
        <v>393164</v>
      </c>
      <c r="C943" s="11" t="s">
        <v>754</v>
      </c>
      <c r="D943" s="11" t="s">
        <v>11</v>
      </c>
      <c r="E943" s="11"/>
      <c r="F943" s="5" t="e">
        <f>IF(DataExtraction="Manual",SUMIF('[1]TrialBalance (YTD)'!$C:$C,B943,'[1]TrialBalance (YTD)'!$E:$E),SUMIF('[1]TrialBalance (YTD)'!$G:$G,B943,'[1]TrialBalance (YTD)'!$I:$I))</f>
        <v>#VALUE!</v>
      </c>
      <c r="G943" s="5">
        <f>IFERROR(INDEX('[1]TrialBalance (YTD)'!$G:$S,MATCH([1]TBMapping!$C945,'[1]TrialBalance (YTD)'!G:G,0),MATCH([1]TBMapping!H$3,'[1]TrialBalance (YTD)'!$G$7:$Z$7,0)),0)</f>
        <v>0</v>
      </c>
      <c r="H943" s="5" t="e">
        <f>SUMIF('[1]TrialBalance (YTD)'!G:G,B943,'[1]TrialBalance (YTD)'!H:H)</f>
        <v>#VALUE!</v>
      </c>
      <c r="I943" s="5">
        <f>IFERROR(INDEX('[1]TrialBalance (YTD)'!$G:$S,MATCH([1]TBMapping!$C945,'[1]TrialBalance (YTD)'!G:G,0),MATCH([1]TBMapping!J$3,'[1]TrialBalance (YTD)'!$G$7:$Z$7,0)),0)</f>
        <v>0</v>
      </c>
      <c r="K943" s="5" t="e">
        <f>SUMIF('[1]TrialBalance (Quarter)'!$A:$A,B943,'[1]TrialBalance (Quarter)'!$B:$B)</f>
        <v>#VALUE!</v>
      </c>
      <c r="L943" s="5">
        <f>IFERROR(INDEX('[1]TrialBalance (Quarter)'!$A:$L,MATCH([1]TBMapping!$C945,'[1]TrialBalance (Quarter)'!A:A,0),MATCH([1]TBMapping!M$3,'[1]TrialBalance (Quarter)'!$7:$7,0)),0)</f>
        <v>0</v>
      </c>
      <c r="M943" s="5">
        <f>IFERROR(INDEX('[1]TrialBalance (Quarter)'!$A:$L,MATCH([1]TBMapping!$C945,'[1]TrialBalance (Quarter)'!A:A,0),MATCH([1]TBMapping!N$3,'[1]TrialBalance (Quarter)'!$7:$7,0)),0)</f>
        <v>0</v>
      </c>
      <c r="N943" s="5">
        <f>IFERROR(INDEX('[1]TrialBalance (Quarter)'!$A:$L,MATCH([1]TBMapping!$C945,'[1]TrialBalance (Quarter)'!A:A,0),MATCH([1]TBMapping!O$3,'[1]TrialBalance (Quarter)'!$7:$7,0)),0)</f>
        <v>0</v>
      </c>
    </row>
    <row r="944" spans="1:14">
      <c r="A944" s="2">
        <v>19</v>
      </c>
      <c r="B944" s="3">
        <v>393165</v>
      </c>
      <c r="C944" s="10" t="s">
        <v>755</v>
      </c>
      <c r="D944" s="10" t="s">
        <v>11</v>
      </c>
      <c r="E944" s="10"/>
      <c r="F944" s="5" t="e">
        <f>IF(DataExtraction="Manual",SUMIF('[1]TrialBalance (YTD)'!$C:$C,B944,'[1]TrialBalance (YTD)'!$E:$E),SUMIF('[1]TrialBalance (YTD)'!$G:$G,B944,'[1]TrialBalance (YTD)'!$I:$I))</f>
        <v>#VALUE!</v>
      </c>
      <c r="G944" s="5">
        <f>IFERROR(INDEX('[1]TrialBalance (YTD)'!$G:$S,MATCH([1]TBMapping!$C946,'[1]TrialBalance (YTD)'!G:G,0),MATCH([1]TBMapping!H$3,'[1]TrialBalance (YTD)'!$G$7:$Z$7,0)),0)</f>
        <v>0</v>
      </c>
      <c r="H944" s="5" t="e">
        <f>SUMIF('[1]TrialBalance (YTD)'!G:G,B944,'[1]TrialBalance (YTD)'!H:H)</f>
        <v>#VALUE!</v>
      </c>
      <c r="I944" s="5">
        <f>IFERROR(INDEX('[1]TrialBalance (YTD)'!$G:$S,MATCH([1]TBMapping!$C946,'[1]TrialBalance (YTD)'!G:G,0),MATCH([1]TBMapping!J$3,'[1]TrialBalance (YTD)'!$G$7:$Z$7,0)),0)</f>
        <v>0</v>
      </c>
      <c r="K944" s="5" t="e">
        <f>SUMIF('[1]TrialBalance (Quarter)'!$A:$A,B944,'[1]TrialBalance (Quarter)'!$B:$B)</f>
        <v>#VALUE!</v>
      </c>
      <c r="L944" s="5">
        <f>IFERROR(INDEX('[1]TrialBalance (Quarter)'!$A:$L,MATCH([1]TBMapping!$C946,'[1]TrialBalance (Quarter)'!A:A,0),MATCH([1]TBMapping!M$3,'[1]TrialBalance (Quarter)'!$7:$7,0)),0)</f>
        <v>0</v>
      </c>
      <c r="M944" s="5">
        <f>IFERROR(INDEX('[1]TrialBalance (Quarter)'!$A:$L,MATCH([1]TBMapping!$C946,'[1]TrialBalance (Quarter)'!A:A,0),MATCH([1]TBMapping!N$3,'[1]TrialBalance (Quarter)'!$7:$7,0)),0)</f>
        <v>0</v>
      </c>
      <c r="N944" s="5">
        <f>IFERROR(INDEX('[1]TrialBalance (Quarter)'!$A:$L,MATCH([1]TBMapping!$C946,'[1]TrialBalance (Quarter)'!A:A,0),MATCH([1]TBMapping!O$3,'[1]TrialBalance (Quarter)'!$7:$7,0)),0)</f>
        <v>0</v>
      </c>
    </row>
    <row r="945" spans="1:14">
      <c r="A945" s="2">
        <v>19</v>
      </c>
      <c r="B945" s="3">
        <v>393166</v>
      </c>
      <c r="C945" s="11" t="s">
        <v>756</v>
      </c>
      <c r="D945" s="11" t="s">
        <v>11</v>
      </c>
      <c r="E945" s="11"/>
      <c r="F945" s="5" t="e">
        <f>IF(DataExtraction="Manual",SUMIF('[1]TrialBalance (YTD)'!$C:$C,B945,'[1]TrialBalance (YTD)'!$E:$E),SUMIF('[1]TrialBalance (YTD)'!$G:$G,B945,'[1]TrialBalance (YTD)'!$I:$I))</f>
        <v>#VALUE!</v>
      </c>
      <c r="G945" s="5">
        <f>IFERROR(INDEX('[1]TrialBalance (YTD)'!$G:$S,MATCH([1]TBMapping!$C947,'[1]TrialBalance (YTD)'!G:G,0),MATCH([1]TBMapping!H$3,'[1]TrialBalance (YTD)'!$G$7:$Z$7,0)),0)</f>
        <v>0</v>
      </c>
      <c r="H945" s="5" t="e">
        <f>SUMIF('[1]TrialBalance (YTD)'!G:G,B945,'[1]TrialBalance (YTD)'!H:H)</f>
        <v>#VALUE!</v>
      </c>
      <c r="I945" s="5">
        <f>IFERROR(INDEX('[1]TrialBalance (YTD)'!$G:$S,MATCH([1]TBMapping!$C947,'[1]TrialBalance (YTD)'!G:G,0),MATCH([1]TBMapping!J$3,'[1]TrialBalance (YTD)'!$G$7:$Z$7,0)),0)</f>
        <v>0</v>
      </c>
      <c r="K945" s="5" t="e">
        <f>SUMIF('[1]TrialBalance (Quarter)'!$A:$A,B945,'[1]TrialBalance (Quarter)'!$B:$B)</f>
        <v>#VALUE!</v>
      </c>
      <c r="L945" s="5">
        <f>IFERROR(INDEX('[1]TrialBalance (Quarter)'!$A:$L,MATCH([1]TBMapping!$C947,'[1]TrialBalance (Quarter)'!A:A,0),MATCH([1]TBMapping!M$3,'[1]TrialBalance (Quarter)'!$7:$7,0)),0)</f>
        <v>0</v>
      </c>
      <c r="M945" s="5">
        <f>IFERROR(INDEX('[1]TrialBalance (Quarter)'!$A:$L,MATCH([1]TBMapping!$C947,'[1]TrialBalance (Quarter)'!A:A,0),MATCH([1]TBMapping!N$3,'[1]TrialBalance (Quarter)'!$7:$7,0)),0)</f>
        <v>0</v>
      </c>
      <c r="N945" s="5">
        <f>IFERROR(INDEX('[1]TrialBalance (Quarter)'!$A:$L,MATCH([1]TBMapping!$C947,'[1]TrialBalance (Quarter)'!A:A,0),MATCH([1]TBMapping!O$3,'[1]TrialBalance (Quarter)'!$7:$7,0)),0)</f>
        <v>0</v>
      </c>
    </row>
    <row r="946" spans="1:14">
      <c r="A946" s="2">
        <v>19</v>
      </c>
      <c r="B946" s="3">
        <v>393167</v>
      </c>
      <c r="C946" s="10" t="s">
        <v>757</v>
      </c>
      <c r="D946" s="10" t="s">
        <v>11</v>
      </c>
      <c r="E946" s="10"/>
      <c r="F946" s="5" t="e">
        <f>IF(DataExtraction="Manual",SUMIF('[1]TrialBalance (YTD)'!$C:$C,B946,'[1]TrialBalance (YTD)'!$E:$E),SUMIF('[1]TrialBalance (YTD)'!$G:$G,B946,'[1]TrialBalance (YTD)'!$I:$I))</f>
        <v>#VALUE!</v>
      </c>
      <c r="G946" s="5">
        <f>IFERROR(INDEX('[1]TrialBalance (YTD)'!$G:$S,MATCH([1]TBMapping!$C948,'[1]TrialBalance (YTD)'!G:G,0),MATCH([1]TBMapping!H$3,'[1]TrialBalance (YTD)'!$G$7:$Z$7,0)),0)</f>
        <v>0</v>
      </c>
      <c r="H946" s="5" t="e">
        <f>SUMIF('[1]TrialBalance (YTD)'!G:G,B946,'[1]TrialBalance (YTD)'!H:H)</f>
        <v>#VALUE!</v>
      </c>
      <c r="I946" s="5">
        <f>IFERROR(INDEX('[1]TrialBalance (YTD)'!$G:$S,MATCH([1]TBMapping!$C948,'[1]TrialBalance (YTD)'!G:G,0),MATCH([1]TBMapping!J$3,'[1]TrialBalance (YTD)'!$G$7:$Z$7,0)),0)</f>
        <v>0</v>
      </c>
      <c r="K946" s="5" t="e">
        <f>SUMIF('[1]TrialBalance (Quarter)'!$A:$A,B946,'[1]TrialBalance (Quarter)'!$B:$B)</f>
        <v>#VALUE!</v>
      </c>
      <c r="L946" s="5">
        <f>IFERROR(INDEX('[1]TrialBalance (Quarter)'!$A:$L,MATCH([1]TBMapping!$C948,'[1]TrialBalance (Quarter)'!A:A,0),MATCH([1]TBMapping!M$3,'[1]TrialBalance (Quarter)'!$7:$7,0)),0)</f>
        <v>0</v>
      </c>
      <c r="M946" s="5">
        <f>IFERROR(INDEX('[1]TrialBalance (Quarter)'!$A:$L,MATCH([1]TBMapping!$C948,'[1]TrialBalance (Quarter)'!A:A,0),MATCH([1]TBMapping!N$3,'[1]TrialBalance (Quarter)'!$7:$7,0)),0)</f>
        <v>0</v>
      </c>
      <c r="N946" s="5">
        <f>IFERROR(INDEX('[1]TrialBalance (Quarter)'!$A:$L,MATCH([1]TBMapping!$C948,'[1]TrialBalance (Quarter)'!A:A,0),MATCH([1]TBMapping!O$3,'[1]TrialBalance (Quarter)'!$7:$7,0)),0)</f>
        <v>0</v>
      </c>
    </row>
    <row r="947" spans="1:14">
      <c r="A947" s="2">
        <v>19</v>
      </c>
      <c r="B947" s="3">
        <v>393410</v>
      </c>
      <c r="C947" s="11" t="s">
        <v>758</v>
      </c>
      <c r="D947" s="11" t="s">
        <v>11</v>
      </c>
      <c r="E947" s="11"/>
      <c r="F947" s="5" t="e">
        <f>IF(DataExtraction="Manual",SUMIF('[1]TrialBalance (YTD)'!$C:$C,B947,'[1]TrialBalance (YTD)'!$E:$E),SUMIF('[1]TrialBalance (YTD)'!$G:$G,B947,'[1]TrialBalance (YTD)'!$I:$I))</f>
        <v>#VALUE!</v>
      </c>
      <c r="G947" s="5">
        <f>IFERROR(INDEX('[1]TrialBalance (YTD)'!$G:$S,MATCH([1]TBMapping!$C949,'[1]TrialBalance (YTD)'!G:G,0),MATCH([1]TBMapping!H$3,'[1]TrialBalance (YTD)'!$G$7:$Z$7,0)),0)</f>
        <v>0</v>
      </c>
      <c r="H947" s="5" t="e">
        <f>SUMIF('[1]TrialBalance (YTD)'!G:G,B947,'[1]TrialBalance (YTD)'!H:H)</f>
        <v>#VALUE!</v>
      </c>
      <c r="I947" s="5">
        <f>IFERROR(INDEX('[1]TrialBalance (YTD)'!$G:$S,MATCH([1]TBMapping!$C949,'[1]TrialBalance (YTD)'!G:G,0),MATCH([1]TBMapping!J$3,'[1]TrialBalance (YTD)'!$G$7:$Z$7,0)),0)</f>
        <v>0</v>
      </c>
      <c r="K947" s="5" t="e">
        <f>SUMIF('[1]TrialBalance (Quarter)'!$A:$A,B947,'[1]TrialBalance (Quarter)'!$B:$B)</f>
        <v>#VALUE!</v>
      </c>
      <c r="L947" s="5">
        <f>IFERROR(INDEX('[1]TrialBalance (Quarter)'!$A:$L,MATCH([1]TBMapping!$C949,'[1]TrialBalance (Quarter)'!A:A,0),MATCH([1]TBMapping!M$3,'[1]TrialBalance (Quarter)'!$7:$7,0)),0)</f>
        <v>0</v>
      </c>
      <c r="M947" s="5">
        <f>IFERROR(INDEX('[1]TrialBalance (Quarter)'!$A:$L,MATCH([1]TBMapping!$C949,'[1]TrialBalance (Quarter)'!A:A,0),MATCH([1]TBMapping!N$3,'[1]TrialBalance (Quarter)'!$7:$7,0)),0)</f>
        <v>0</v>
      </c>
      <c r="N947" s="5">
        <f>IFERROR(INDEX('[1]TrialBalance (Quarter)'!$A:$L,MATCH([1]TBMapping!$C949,'[1]TrialBalance (Quarter)'!A:A,0),MATCH([1]TBMapping!O$3,'[1]TrialBalance (Quarter)'!$7:$7,0)),0)</f>
        <v>0</v>
      </c>
    </row>
    <row r="948" spans="1:14">
      <c r="A948" s="2">
        <v>19</v>
      </c>
      <c r="B948" s="3">
        <v>393411</v>
      </c>
      <c r="C948" s="10" t="s">
        <v>759</v>
      </c>
      <c r="D948" s="10" t="s">
        <v>11</v>
      </c>
      <c r="E948" s="10"/>
      <c r="F948" s="5" t="e">
        <f>IF(DataExtraction="Manual",SUMIF('[1]TrialBalance (YTD)'!$C:$C,B948,'[1]TrialBalance (YTD)'!$E:$E),SUMIF('[1]TrialBalance (YTD)'!$G:$G,B948,'[1]TrialBalance (YTD)'!$I:$I))</f>
        <v>#VALUE!</v>
      </c>
      <c r="G948" s="5">
        <f>IFERROR(INDEX('[1]TrialBalance (YTD)'!$G:$S,MATCH([1]TBMapping!$C950,'[1]TrialBalance (YTD)'!G:G,0),MATCH([1]TBMapping!H$3,'[1]TrialBalance (YTD)'!$G$7:$Z$7,0)),0)</f>
        <v>0</v>
      </c>
      <c r="H948" s="5" t="e">
        <f>SUMIF('[1]TrialBalance (YTD)'!G:G,B948,'[1]TrialBalance (YTD)'!H:H)</f>
        <v>#VALUE!</v>
      </c>
      <c r="I948" s="5">
        <f>IFERROR(INDEX('[1]TrialBalance (YTD)'!$G:$S,MATCH([1]TBMapping!$C950,'[1]TrialBalance (YTD)'!G:G,0),MATCH([1]TBMapping!J$3,'[1]TrialBalance (YTD)'!$G$7:$Z$7,0)),0)</f>
        <v>0</v>
      </c>
      <c r="K948" s="5" t="e">
        <f>SUMIF('[1]TrialBalance (Quarter)'!$A:$A,B948,'[1]TrialBalance (Quarter)'!$B:$B)</f>
        <v>#VALUE!</v>
      </c>
      <c r="L948" s="5">
        <f>IFERROR(INDEX('[1]TrialBalance (Quarter)'!$A:$L,MATCH([1]TBMapping!$C950,'[1]TrialBalance (Quarter)'!A:A,0),MATCH([1]TBMapping!M$3,'[1]TrialBalance (Quarter)'!$7:$7,0)),0)</f>
        <v>0</v>
      </c>
      <c r="M948" s="5">
        <f>IFERROR(INDEX('[1]TrialBalance (Quarter)'!$A:$L,MATCH([1]TBMapping!$C950,'[1]TrialBalance (Quarter)'!A:A,0),MATCH([1]TBMapping!N$3,'[1]TrialBalance (Quarter)'!$7:$7,0)),0)</f>
        <v>0</v>
      </c>
      <c r="N948" s="5">
        <f>IFERROR(INDEX('[1]TrialBalance (Quarter)'!$A:$L,MATCH([1]TBMapping!$C950,'[1]TrialBalance (Quarter)'!A:A,0),MATCH([1]TBMapping!O$3,'[1]TrialBalance (Quarter)'!$7:$7,0)),0)</f>
        <v>0</v>
      </c>
    </row>
    <row r="949" spans="1:14">
      <c r="A949" s="2">
        <v>19</v>
      </c>
      <c r="B949" s="3">
        <v>393412</v>
      </c>
      <c r="C949" s="11" t="s">
        <v>760</v>
      </c>
      <c r="D949" s="11" t="s">
        <v>11</v>
      </c>
      <c r="E949" s="11"/>
      <c r="F949" s="5" t="e">
        <f>IF(DataExtraction="Manual",SUMIF('[1]TrialBalance (YTD)'!$C:$C,B949,'[1]TrialBalance (YTD)'!$E:$E),SUMIF('[1]TrialBalance (YTD)'!$G:$G,B949,'[1]TrialBalance (YTD)'!$I:$I))</f>
        <v>#VALUE!</v>
      </c>
      <c r="G949" s="5">
        <f>IFERROR(INDEX('[1]TrialBalance (YTD)'!$G:$S,MATCH([1]TBMapping!$C951,'[1]TrialBalance (YTD)'!G:G,0),MATCH([1]TBMapping!H$3,'[1]TrialBalance (YTD)'!$G$7:$Z$7,0)),0)</f>
        <v>0</v>
      </c>
      <c r="H949" s="5" t="e">
        <f>SUMIF('[1]TrialBalance (YTD)'!G:G,B949,'[1]TrialBalance (YTD)'!H:H)</f>
        <v>#VALUE!</v>
      </c>
      <c r="I949" s="5">
        <f>IFERROR(INDEX('[1]TrialBalance (YTD)'!$G:$S,MATCH([1]TBMapping!$C951,'[1]TrialBalance (YTD)'!G:G,0),MATCH([1]TBMapping!J$3,'[1]TrialBalance (YTD)'!$G$7:$Z$7,0)),0)</f>
        <v>0</v>
      </c>
      <c r="K949" s="5" t="e">
        <f>SUMIF('[1]TrialBalance (Quarter)'!$A:$A,B949,'[1]TrialBalance (Quarter)'!$B:$B)</f>
        <v>#VALUE!</v>
      </c>
      <c r="L949" s="5">
        <f>IFERROR(INDEX('[1]TrialBalance (Quarter)'!$A:$L,MATCH([1]TBMapping!$C951,'[1]TrialBalance (Quarter)'!A:A,0),MATCH([1]TBMapping!M$3,'[1]TrialBalance (Quarter)'!$7:$7,0)),0)</f>
        <v>0</v>
      </c>
      <c r="M949" s="5">
        <f>IFERROR(INDEX('[1]TrialBalance (Quarter)'!$A:$L,MATCH([1]TBMapping!$C951,'[1]TrialBalance (Quarter)'!A:A,0),MATCH([1]TBMapping!N$3,'[1]TrialBalance (Quarter)'!$7:$7,0)),0)</f>
        <v>0</v>
      </c>
      <c r="N949" s="5">
        <f>IFERROR(INDEX('[1]TrialBalance (Quarter)'!$A:$L,MATCH([1]TBMapping!$C951,'[1]TrialBalance (Quarter)'!A:A,0),MATCH([1]TBMapping!O$3,'[1]TrialBalance (Quarter)'!$7:$7,0)),0)</f>
        <v>0</v>
      </c>
    </row>
    <row r="950" spans="1:14">
      <c r="A950" s="2">
        <v>19</v>
      </c>
      <c r="B950" s="3">
        <v>393413</v>
      </c>
      <c r="C950" s="10" t="s">
        <v>761</v>
      </c>
      <c r="D950" s="10" t="s">
        <v>11</v>
      </c>
      <c r="E950" s="10"/>
      <c r="F950" s="5" t="e">
        <f>IF(DataExtraction="Manual",SUMIF('[1]TrialBalance (YTD)'!$C:$C,B950,'[1]TrialBalance (YTD)'!$E:$E),SUMIF('[1]TrialBalance (YTD)'!$G:$G,B950,'[1]TrialBalance (YTD)'!$I:$I))</f>
        <v>#VALUE!</v>
      </c>
      <c r="G950" s="5">
        <f>IFERROR(INDEX('[1]TrialBalance (YTD)'!$G:$S,MATCH([1]TBMapping!$C952,'[1]TrialBalance (YTD)'!G:G,0),MATCH([1]TBMapping!H$3,'[1]TrialBalance (YTD)'!$G$7:$Z$7,0)),0)</f>
        <v>0</v>
      </c>
      <c r="H950" s="5" t="e">
        <f>SUMIF('[1]TrialBalance (YTD)'!G:G,B950,'[1]TrialBalance (YTD)'!H:H)</f>
        <v>#VALUE!</v>
      </c>
      <c r="I950" s="5">
        <f>IFERROR(INDEX('[1]TrialBalance (YTD)'!$G:$S,MATCH([1]TBMapping!$C952,'[1]TrialBalance (YTD)'!G:G,0),MATCH([1]TBMapping!J$3,'[1]TrialBalance (YTD)'!$G$7:$Z$7,0)),0)</f>
        <v>0</v>
      </c>
      <c r="K950" s="5" t="e">
        <f>SUMIF('[1]TrialBalance (Quarter)'!$A:$A,B950,'[1]TrialBalance (Quarter)'!$B:$B)</f>
        <v>#VALUE!</v>
      </c>
      <c r="L950" s="5">
        <f>IFERROR(INDEX('[1]TrialBalance (Quarter)'!$A:$L,MATCH([1]TBMapping!$C952,'[1]TrialBalance (Quarter)'!A:A,0),MATCH([1]TBMapping!M$3,'[1]TrialBalance (Quarter)'!$7:$7,0)),0)</f>
        <v>0</v>
      </c>
      <c r="M950" s="5">
        <f>IFERROR(INDEX('[1]TrialBalance (Quarter)'!$A:$L,MATCH([1]TBMapping!$C952,'[1]TrialBalance (Quarter)'!A:A,0),MATCH([1]TBMapping!N$3,'[1]TrialBalance (Quarter)'!$7:$7,0)),0)</f>
        <v>0</v>
      </c>
      <c r="N950" s="5">
        <f>IFERROR(INDEX('[1]TrialBalance (Quarter)'!$A:$L,MATCH([1]TBMapping!$C952,'[1]TrialBalance (Quarter)'!A:A,0),MATCH([1]TBMapping!O$3,'[1]TrialBalance (Quarter)'!$7:$7,0)),0)</f>
        <v>0</v>
      </c>
    </row>
    <row r="951" spans="1:14">
      <c r="A951" s="2">
        <v>19</v>
      </c>
      <c r="B951" s="3">
        <v>393465</v>
      </c>
      <c r="C951" s="11" t="s">
        <v>762</v>
      </c>
      <c r="D951" s="11" t="s">
        <v>11</v>
      </c>
      <c r="E951" s="11"/>
      <c r="F951" s="5" t="e">
        <f>IF(DataExtraction="Manual",SUMIF('[1]TrialBalance (YTD)'!$C:$C,B951,'[1]TrialBalance (YTD)'!$E:$E),SUMIF('[1]TrialBalance (YTD)'!$G:$G,B951,'[1]TrialBalance (YTD)'!$I:$I))</f>
        <v>#VALUE!</v>
      </c>
      <c r="G951" s="5">
        <f>IFERROR(INDEX('[1]TrialBalance (YTD)'!$G:$S,MATCH([1]TBMapping!$C953,'[1]TrialBalance (YTD)'!G:G,0),MATCH([1]TBMapping!H$3,'[1]TrialBalance (YTD)'!$G$7:$Z$7,0)),0)</f>
        <v>0</v>
      </c>
      <c r="H951" s="5" t="e">
        <f>SUMIF('[1]TrialBalance (YTD)'!G:G,B951,'[1]TrialBalance (YTD)'!H:H)</f>
        <v>#VALUE!</v>
      </c>
      <c r="I951" s="5">
        <f>IFERROR(INDEX('[1]TrialBalance (YTD)'!$G:$S,MATCH([1]TBMapping!$C953,'[1]TrialBalance (YTD)'!G:G,0),MATCH([1]TBMapping!J$3,'[1]TrialBalance (YTD)'!$G$7:$Z$7,0)),0)</f>
        <v>0</v>
      </c>
      <c r="K951" s="5" t="e">
        <f>SUMIF('[1]TrialBalance (Quarter)'!$A:$A,B951,'[1]TrialBalance (Quarter)'!$B:$B)</f>
        <v>#VALUE!</v>
      </c>
      <c r="L951" s="5">
        <f>IFERROR(INDEX('[1]TrialBalance (Quarter)'!$A:$L,MATCH([1]TBMapping!$C953,'[1]TrialBalance (Quarter)'!A:A,0),MATCH([1]TBMapping!M$3,'[1]TrialBalance (Quarter)'!$7:$7,0)),0)</f>
        <v>0</v>
      </c>
      <c r="M951" s="5">
        <f>IFERROR(INDEX('[1]TrialBalance (Quarter)'!$A:$L,MATCH([1]TBMapping!$C953,'[1]TrialBalance (Quarter)'!A:A,0),MATCH([1]TBMapping!N$3,'[1]TrialBalance (Quarter)'!$7:$7,0)),0)</f>
        <v>0</v>
      </c>
      <c r="N951" s="5">
        <f>IFERROR(INDEX('[1]TrialBalance (Quarter)'!$A:$L,MATCH([1]TBMapping!$C953,'[1]TrialBalance (Quarter)'!A:A,0),MATCH([1]TBMapping!O$3,'[1]TrialBalance (Quarter)'!$7:$7,0)),0)</f>
        <v>0</v>
      </c>
    </row>
    <row r="952" spans="1:14">
      <c r="A952" s="2">
        <v>19</v>
      </c>
      <c r="B952" s="3">
        <v>393473</v>
      </c>
      <c r="C952" s="10" t="s">
        <v>763</v>
      </c>
      <c r="D952" s="10" t="s">
        <v>11</v>
      </c>
      <c r="E952" s="10"/>
      <c r="F952" s="5" t="e">
        <f>IF(DataExtraction="Manual",SUMIF('[1]TrialBalance (YTD)'!$C:$C,B952,'[1]TrialBalance (YTD)'!$E:$E),SUMIF('[1]TrialBalance (YTD)'!$G:$G,B952,'[1]TrialBalance (YTD)'!$I:$I))</f>
        <v>#VALUE!</v>
      </c>
      <c r="G952" s="5">
        <f>IFERROR(INDEX('[1]TrialBalance (YTD)'!$G:$S,MATCH([1]TBMapping!$C954,'[1]TrialBalance (YTD)'!G:G,0),MATCH([1]TBMapping!H$3,'[1]TrialBalance (YTD)'!$G$7:$Z$7,0)),0)</f>
        <v>0</v>
      </c>
      <c r="H952" s="5" t="e">
        <f>SUMIF('[1]TrialBalance (YTD)'!G:G,B952,'[1]TrialBalance (YTD)'!H:H)</f>
        <v>#VALUE!</v>
      </c>
      <c r="I952" s="5">
        <f>IFERROR(INDEX('[1]TrialBalance (YTD)'!$G:$S,MATCH([1]TBMapping!$C954,'[1]TrialBalance (YTD)'!G:G,0),MATCH([1]TBMapping!J$3,'[1]TrialBalance (YTD)'!$G$7:$Z$7,0)),0)</f>
        <v>0</v>
      </c>
      <c r="K952" s="5" t="e">
        <f>SUMIF('[1]TrialBalance (Quarter)'!$A:$A,B952,'[1]TrialBalance (Quarter)'!$B:$B)</f>
        <v>#VALUE!</v>
      </c>
      <c r="L952" s="5">
        <f>IFERROR(INDEX('[1]TrialBalance (Quarter)'!$A:$L,MATCH([1]TBMapping!$C954,'[1]TrialBalance (Quarter)'!A:A,0),MATCH([1]TBMapping!M$3,'[1]TrialBalance (Quarter)'!$7:$7,0)),0)</f>
        <v>0</v>
      </c>
      <c r="M952" s="5">
        <f>IFERROR(INDEX('[1]TrialBalance (Quarter)'!$A:$L,MATCH([1]TBMapping!$C954,'[1]TrialBalance (Quarter)'!A:A,0),MATCH([1]TBMapping!N$3,'[1]TrialBalance (Quarter)'!$7:$7,0)),0)</f>
        <v>0</v>
      </c>
      <c r="N952" s="5">
        <f>IFERROR(INDEX('[1]TrialBalance (Quarter)'!$A:$L,MATCH([1]TBMapping!$C954,'[1]TrialBalance (Quarter)'!A:A,0),MATCH([1]TBMapping!O$3,'[1]TrialBalance (Quarter)'!$7:$7,0)),0)</f>
        <v>0</v>
      </c>
    </row>
    <row r="953" spans="1:14">
      <c r="A953" s="2">
        <v>19</v>
      </c>
      <c r="B953" s="3">
        <v>393476</v>
      </c>
      <c r="C953" s="11" t="s">
        <v>764</v>
      </c>
      <c r="D953" s="11" t="s">
        <v>11</v>
      </c>
      <c r="E953" s="11"/>
      <c r="F953" s="5" t="e">
        <f>IF(DataExtraction="Manual",SUMIF('[1]TrialBalance (YTD)'!$C:$C,B953,'[1]TrialBalance (YTD)'!$E:$E),SUMIF('[1]TrialBalance (YTD)'!$G:$G,B953,'[1]TrialBalance (YTD)'!$I:$I))</f>
        <v>#VALUE!</v>
      </c>
      <c r="G953" s="5">
        <f>IFERROR(INDEX('[1]TrialBalance (YTD)'!$G:$S,MATCH([1]TBMapping!$C955,'[1]TrialBalance (YTD)'!G:G,0),MATCH([1]TBMapping!H$3,'[1]TrialBalance (YTD)'!$G$7:$Z$7,0)),0)</f>
        <v>0</v>
      </c>
      <c r="H953" s="5" t="e">
        <f>SUMIF('[1]TrialBalance (YTD)'!G:G,B953,'[1]TrialBalance (YTD)'!H:H)</f>
        <v>#VALUE!</v>
      </c>
      <c r="I953" s="5">
        <f>IFERROR(INDEX('[1]TrialBalance (YTD)'!$G:$S,MATCH([1]TBMapping!$C955,'[1]TrialBalance (YTD)'!G:G,0),MATCH([1]TBMapping!J$3,'[1]TrialBalance (YTD)'!$G$7:$Z$7,0)),0)</f>
        <v>0</v>
      </c>
      <c r="K953" s="5" t="e">
        <f>SUMIF('[1]TrialBalance (Quarter)'!$A:$A,B953,'[1]TrialBalance (Quarter)'!$B:$B)</f>
        <v>#VALUE!</v>
      </c>
      <c r="L953" s="5">
        <f>IFERROR(INDEX('[1]TrialBalance (Quarter)'!$A:$L,MATCH([1]TBMapping!$C955,'[1]TrialBalance (Quarter)'!A:A,0),MATCH([1]TBMapping!M$3,'[1]TrialBalance (Quarter)'!$7:$7,0)),0)</f>
        <v>0</v>
      </c>
      <c r="M953" s="5">
        <f>IFERROR(INDEX('[1]TrialBalance (Quarter)'!$A:$L,MATCH([1]TBMapping!$C955,'[1]TrialBalance (Quarter)'!A:A,0),MATCH([1]TBMapping!N$3,'[1]TrialBalance (Quarter)'!$7:$7,0)),0)</f>
        <v>0</v>
      </c>
      <c r="N953" s="5">
        <f>IFERROR(INDEX('[1]TrialBalance (Quarter)'!$A:$L,MATCH([1]TBMapping!$C955,'[1]TrialBalance (Quarter)'!A:A,0),MATCH([1]TBMapping!O$3,'[1]TrialBalance (Quarter)'!$7:$7,0)),0)</f>
        <v>0</v>
      </c>
    </row>
    <row r="954" spans="1:14">
      <c r="A954" s="2">
        <v>19</v>
      </c>
      <c r="B954" s="3">
        <v>393485</v>
      </c>
      <c r="C954" s="10" t="s">
        <v>765</v>
      </c>
      <c r="D954" s="10" t="s">
        <v>11</v>
      </c>
      <c r="E954" s="10"/>
      <c r="F954" s="5" t="e">
        <f>IF(DataExtraction="Manual",SUMIF('[1]TrialBalance (YTD)'!$C:$C,B954,'[1]TrialBalance (YTD)'!$E:$E),SUMIF('[1]TrialBalance (YTD)'!$G:$G,B954,'[1]TrialBalance (YTD)'!$I:$I))</f>
        <v>#VALUE!</v>
      </c>
      <c r="G954" s="5">
        <f>IFERROR(INDEX('[1]TrialBalance (YTD)'!$G:$S,MATCH([1]TBMapping!$C956,'[1]TrialBalance (YTD)'!G:G,0),MATCH([1]TBMapping!H$3,'[1]TrialBalance (YTD)'!$G$7:$Z$7,0)),0)</f>
        <v>0</v>
      </c>
      <c r="H954" s="5" t="e">
        <f>SUMIF('[1]TrialBalance (YTD)'!G:G,B954,'[1]TrialBalance (YTD)'!H:H)</f>
        <v>#VALUE!</v>
      </c>
      <c r="I954" s="5">
        <f>IFERROR(INDEX('[1]TrialBalance (YTD)'!$G:$S,MATCH([1]TBMapping!$C956,'[1]TrialBalance (YTD)'!G:G,0),MATCH([1]TBMapping!J$3,'[1]TrialBalance (YTD)'!$G$7:$Z$7,0)),0)</f>
        <v>0</v>
      </c>
      <c r="K954" s="5" t="e">
        <f>SUMIF('[1]TrialBalance (Quarter)'!$A:$A,B954,'[1]TrialBalance (Quarter)'!$B:$B)</f>
        <v>#VALUE!</v>
      </c>
      <c r="L954" s="5">
        <f>IFERROR(INDEX('[1]TrialBalance (Quarter)'!$A:$L,MATCH([1]TBMapping!$C956,'[1]TrialBalance (Quarter)'!A:A,0),MATCH([1]TBMapping!M$3,'[1]TrialBalance (Quarter)'!$7:$7,0)),0)</f>
        <v>0</v>
      </c>
      <c r="M954" s="5">
        <f>IFERROR(INDEX('[1]TrialBalance (Quarter)'!$A:$L,MATCH([1]TBMapping!$C956,'[1]TrialBalance (Quarter)'!A:A,0),MATCH([1]TBMapping!N$3,'[1]TrialBalance (Quarter)'!$7:$7,0)),0)</f>
        <v>0</v>
      </c>
      <c r="N954" s="5">
        <f>IFERROR(INDEX('[1]TrialBalance (Quarter)'!$A:$L,MATCH([1]TBMapping!$C956,'[1]TrialBalance (Quarter)'!A:A,0),MATCH([1]TBMapping!O$3,'[1]TrialBalance (Quarter)'!$7:$7,0)),0)</f>
        <v>0</v>
      </c>
    </row>
    <row r="955" spans="1:14">
      <c r="A955" s="2">
        <v>19</v>
      </c>
      <c r="B955" s="3">
        <v>393492</v>
      </c>
      <c r="C955" s="11" t="s">
        <v>766</v>
      </c>
      <c r="D955" s="11" t="s">
        <v>11</v>
      </c>
      <c r="E955" s="11"/>
      <c r="F955" s="5" t="e">
        <f>IF(DataExtraction="Manual",SUMIF('[1]TrialBalance (YTD)'!$C:$C,B955,'[1]TrialBalance (YTD)'!$E:$E),SUMIF('[1]TrialBalance (YTD)'!$G:$G,B955,'[1]TrialBalance (YTD)'!$I:$I))</f>
        <v>#VALUE!</v>
      </c>
      <c r="G955" s="5">
        <f>IFERROR(INDEX('[1]TrialBalance (YTD)'!$G:$S,MATCH([1]TBMapping!$C957,'[1]TrialBalance (YTD)'!G:G,0),MATCH([1]TBMapping!H$3,'[1]TrialBalance (YTD)'!$G$7:$Z$7,0)),0)</f>
        <v>0</v>
      </c>
      <c r="H955" s="5" t="e">
        <f>SUMIF('[1]TrialBalance (YTD)'!G:G,B955,'[1]TrialBalance (YTD)'!H:H)</f>
        <v>#VALUE!</v>
      </c>
      <c r="I955" s="5">
        <f>IFERROR(INDEX('[1]TrialBalance (YTD)'!$G:$S,MATCH([1]TBMapping!$C957,'[1]TrialBalance (YTD)'!G:G,0),MATCH([1]TBMapping!J$3,'[1]TrialBalance (YTD)'!$G$7:$Z$7,0)),0)</f>
        <v>0</v>
      </c>
      <c r="K955" s="5" t="e">
        <f>SUMIF('[1]TrialBalance (Quarter)'!$A:$A,B955,'[1]TrialBalance (Quarter)'!$B:$B)</f>
        <v>#VALUE!</v>
      </c>
      <c r="L955" s="5">
        <f>IFERROR(INDEX('[1]TrialBalance (Quarter)'!$A:$L,MATCH([1]TBMapping!$C957,'[1]TrialBalance (Quarter)'!A:A,0),MATCH([1]TBMapping!M$3,'[1]TrialBalance (Quarter)'!$7:$7,0)),0)</f>
        <v>0</v>
      </c>
      <c r="M955" s="5">
        <f>IFERROR(INDEX('[1]TrialBalance (Quarter)'!$A:$L,MATCH([1]TBMapping!$C957,'[1]TrialBalance (Quarter)'!A:A,0),MATCH([1]TBMapping!N$3,'[1]TrialBalance (Quarter)'!$7:$7,0)),0)</f>
        <v>0</v>
      </c>
      <c r="N955" s="5">
        <f>IFERROR(INDEX('[1]TrialBalance (Quarter)'!$A:$L,MATCH([1]TBMapping!$C957,'[1]TrialBalance (Quarter)'!A:A,0),MATCH([1]TBMapping!O$3,'[1]TrialBalance (Quarter)'!$7:$7,0)),0)</f>
        <v>0</v>
      </c>
    </row>
    <row r="956" spans="1:14">
      <c r="A956" s="2">
        <v>19</v>
      </c>
      <c r="B956" s="3">
        <v>393495</v>
      </c>
      <c r="C956" s="10" t="s">
        <v>767</v>
      </c>
      <c r="D956" s="10" t="s">
        <v>11</v>
      </c>
      <c r="E956" s="10"/>
      <c r="F956" s="5" t="e">
        <f>IF(DataExtraction="Manual",SUMIF('[1]TrialBalance (YTD)'!$C:$C,B956,'[1]TrialBalance (YTD)'!$E:$E),SUMIF('[1]TrialBalance (YTD)'!$G:$G,B956,'[1]TrialBalance (YTD)'!$I:$I))</f>
        <v>#VALUE!</v>
      </c>
      <c r="G956" s="5">
        <f>IFERROR(INDEX('[1]TrialBalance (YTD)'!$G:$S,MATCH([1]TBMapping!$C958,'[1]TrialBalance (YTD)'!G:G,0),MATCH([1]TBMapping!H$3,'[1]TrialBalance (YTD)'!$G$7:$Z$7,0)),0)</f>
        <v>0</v>
      </c>
      <c r="H956" s="5" t="e">
        <f>SUMIF('[1]TrialBalance (YTD)'!G:G,B956,'[1]TrialBalance (YTD)'!H:H)</f>
        <v>#VALUE!</v>
      </c>
      <c r="I956" s="5">
        <f>IFERROR(INDEX('[1]TrialBalance (YTD)'!$G:$S,MATCH([1]TBMapping!$C958,'[1]TrialBalance (YTD)'!G:G,0),MATCH([1]TBMapping!J$3,'[1]TrialBalance (YTD)'!$G$7:$Z$7,0)),0)</f>
        <v>0</v>
      </c>
      <c r="K956" s="5" t="e">
        <f>SUMIF('[1]TrialBalance (Quarter)'!$A:$A,B956,'[1]TrialBalance (Quarter)'!$B:$B)</f>
        <v>#VALUE!</v>
      </c>
      <c r="L956" s="5">
        <f>IFERROR(INDEX('[1]TrialBalance (Quarter)'!$A:$L,MATCH([1]TBMapping!$C958,'[1]TrialBalance (Quarter)'!A:A,0),MATCH([1]TBMapping!M$3,'[1]TrialBalance (Quarter)'!$7:$7,0)),0)</f>
        <v>0</v>
      </c>
      <c r="M956" s="5">
        <f>IFERROR(INDEX('[1]TrialBalance (Quarter)'!$A:$L,MATCH([1]TBMapping!$C958,'[1]TrialBalance (Quarter)'!A:A,0),MATCH([1]TBMapping!N$3,'[1]TrialBalance (Quarter)'!$7:$7,0)),0)</f>
        <v>0</v>
      </c>
      <c r="N956" s="5">
        <f>IFERROR(INDEX('[1]TrialBalance (Quarter)'!$A:$L,MATCH([1]TBMapping!$C958,'[1]TrialBalance (Quarter)'!A:A,0),MATCH([1]TBMapping!O$3,'[1]TrialBalance (Quarter)'!$7:$7,0)),0)</f>
        <v>0</v>
      </c>
    </row>
    <row r="957" spans="1:14">
      <c r="A957" s="2">
        <v>19</v>
      </c>
      <c r="B957" s="3">
        <v>393496</v>
      </c>
      <c r="C957" s="11" t="s">
        <v>768</v>
      </c>
      <c r="D957" s="11" t="s">
        <v>11</v>
      </c>
      <c r="E957" s="11"/>
      <c r="F957" s="5" t="e">
        <f>IF(DataExtraction="Manual",SUMIF('[1]TrialBalance (YTD)'!$C:$C,B957,'[1]TrialBalance (YTD)'!$E:$E),SUMIF('[1]TrialBalance (YTD)'!$G:$G,B957,'[1]TrialBalance (YTD)'!$I:$I))</f>
        <v>#VALUE!</v>
      </c>
      <c r="G957" s="5">
        <f>IFERROR(INDEX('[1]TrialBalance (YTD)'!$G:$S,MATCH([1]TBMapping!$C959,'[1]TrialBalance (YTD)'!G:G,0),MATCH([1]TBMapping!H$3,'[1]TrialBalance (YTD)'!$G$7:$Z$7,0)),0)</f>
        <v>0</v>
      </c>
      <c r="H957" s="5" t="e">
        <f>SUMIF('[1]TrialBalance (YTD)'!G:G,B957,'[1]TrialBalance (YTD)'!H:H)</f>
        <v>#VALUE!</v>
      </c>
      <c r="I957" s="5">
        <f>IFERROR(INDEX('[1]TrialBalance (YTD)'!$G:$S,MATCH([1]TBMapping!$C959,'[1]TrialBalance (YTD)'!G:G,0),MATCH([1]TBMapping!J$3,'[1]TrialBalance (YTD)'!$G$7:$Z$7,0)),0)</f>
        <v>0</v>
      </c>
      <c r="K957" s="5" t="e">
        <f>SUMIF('[1]TrialBalance (Quarter)'!$A:$A,B957,'[1]TrialBalance (Quarter)'!$B:$B)</f>
        <v>#VALUE!</v>
      </c>
      <c r="L957" s="5">
        <f>IFERROR(INDEX('[1]TrialBalance (Quarter)'!$A:$L,MATCH([1]TBMapping!$C959,'[1]TrialBalance (Quarter)'!A:A,0),MATCH([1]TBMapping!M$3,'[1]TrialBalance (Quarter)'!$7:$7,0)),0)</f>
        <v>0</v>
      </c>
      <c r="M957" s="5">
        <f>IFERROR(INDEX('[1]TrialBalance (Quarter)'!$A:$L,MATCH([1]TBMapping!$C959,'[1]TrialBalance (Quarter)'!A:A,0),MATCH([1]TBMapping!N$3,'[1]TrialBalance (Quarter)'!$7:$7,0)),0)</f>
        <v>0</v>
      </c>
      <c r="N957" s="5">
        <f>IFERROR(INDEX('[1]TrialBalance (Quarter)'!$A:$L,MATCH([1]TBMapping!$C959,'[1]TrialBalance (Quarter)'!A:A,0),MATCH([1]TBMapping!O$3,'[1]TrialBalance (Quarter)'!$7:$7,0)),0)</f>
        <v>0</v>
      </c>
    </row>
    <row r="958" spans="1:14">
      <c r="A958" s="2">
        <v>19</v>
      </c>
      <c r="B958" s="3">
        <v>393500</v>
      </c>
      <c r="C958" s="10" t="s">
        <v>769</v>
      </c>
      <c r="D958" s="10" t="s">
        <v>11</v>
      </c>
      <c r="E958" s="10"/>
      <c r="F958" s="5" t="e">
        <f>IF(DataExtraction="Manual",SUMIF('[1]TrialBalance (YTD)'!$C:$C,B958,'[1]TrialBalance (YTD)'!$E:$E),SUMIF('[1]TrialBalance (YTD)'!$G:$G,B958,'[1]TrialBalance (YTD)'!$I:$I))</f>
        <v>#VALUE!</v>
      </c>
      <c r="G958" s="5">
        <f>IFERROR(INDEX('[1]TrialBalance (YTD)'!$G:$S,MATCH([1]TBMapping!$C960,'[1]TrialBalance (YTD)'!G:G,0),MATCH([1]TBMapping!H$3,'[1]TrialBalance (YTD)'!$G$7:$Z$7,0)),0)</f>
        <v>0</v>
      </c>
      <c r="H958" s="5" t="e">
        <f>SUMIF('[1]TrialBalance (YTD)'!G:G,B958,'[1]TrialBalance (YTD)'!H:H)</f>
        <v>#VALUE!</v>
      </c>
      <c r="I958" s="5">
        <f>IFERROR(INDEX('[1]TrialBalance (YTD)'!$G:$S,MATCH([1]TBMapping!$C960,'[1]TrialBalance (YTD)'!G:G,0),MATCH([1]TBMapping!J$3,'[1]TrialBalance (YTD)'!$G$7:$Z$7,0)),0)</f>
        <v>0</v>
      </c>
      <c r="K958" s="5" t="e">
        <f>SUMIF('[1]TrialBalance (Quarter)'!$A:$A,B958,'[1]TrialBalance (Quarter)'!$B:$B)</f>
        <v>#VALUE!</v>
      </c>
      <c r="L958" s="5">
        <f>IFERROR(INDEX('[1]TrialBalance (Quarter)'!$A:$L,MATCH([1]TBMapping!$C960,'[1]TrialBalance (Quarter)'!A:A,0),MATCH([1]TBMapping!M$3,'[1]TrialBalance (Quarter)'!$7:$7,0)),0)</f>
        <v>0</v>
      </c>
      <c r="M958" s="5">
        <f>IFERROR(INDEX('[1]TrialBalance (Quarter)'!$A:$L,MATCH([1]TBMapping!$C960,'[1]TrialBalance (Quarter)'!A:A,0),MATCH([1]TBMapping!N$3,'[1]TrialBalance (Quarter)'!$7:$7,0)),0)</f>
        <v>0</v>
      </c>
      <c r="N958" s="5">
        <f>IFERROR(INDEX('[1]TrialBalance (Quarter)'!$A:$L,MATCH([1]TBMapping!$C960,'[1]TrialBalance (Quarter)'!A:A,0),MATCH([1]TBMapping!O$3,'[1]TrialBalance (Quarter)'!$7:$7,0)),0)</f>
        <v>0</v>
      </c>
    </row>
    <row r="959" spans="1:14">
      <c r="A959" s="2">
        <v>19</v>
      </c>
      <c r="B959" s="3">
        <v>393505</v>
      </c>
      <c r="C959" s="11" t="s">
        <v>770</v>
      </c>
      <c r="D959" s="11" t="s">
        <v>11</v>
      </c>
      <c r="E959" s="11"/>
      <c r="F959" s="5" t="e">
        <f>IF(DataExtraction="Manual",SUMIF('[1]TrialBalance (YTD)'!$C:$C,B959,'[1]TrialBalance (YTD)'!$E:$E),SUMIF('[1]TrialBalance (YTD)'!$G:$G,B959,'[1]TrialBalance (YTD)'!$I:$I))</f>
        <v>#VALUE!</v>
      </c>
      <c r="G959" s="5">
        <f>IFERROR(INDEX('[1]TrialBalance (YTD)'!$G:$S,MATCH([1]TBMapping!$C961,'[1]TrialBalance (YTD)'!G:G,0),MATCH([1]TBMapping!H$3,'[1]TrialBalance (YTD)'!$G$7:$Z$7,0)),0)</f>
        <v>0</v>
      </c>
      <c r="H959" s="5" t="e">
        <f>SUMIF('[1]TrialBalance (YTD)'!G:G,B959,'[1]TrialBalance (YTD)'!H:H)</f>
        <v>#VALUE!</v>
      </c>
      <c r="I959" s="5">
        <f>IFERROR(INDEX('[1]TrialBalance (YTD)'!$G:$S,MATCH([1]TBMapping!$C961,'[1]TrialBalance (YTD)'!G:G,0),MATCH([1]TBMapping!J$3,'[1]TrialBalance (YTD)'!$G$7:$Z$7,0)),0)</f>
        <v>0</v>
      </c>
      <c r="K959" s="5" t="e">
        <f>SUMIF('[1]TrialBalance (Quarter)'!$A:$A,B959,'[1]TrialBalance (Quarter)'!$B:$B)</f>
        <v>#VALUE!</v>
      </c>
      <c r="L959" s="5">
        <f>IFERROR(INDEX('[1]TrialBalance (Quarter)'!$A:$L,MATCH([1]TBMapping!$C961,'[1]TrialBalance (Quarter)'!A:A,0),MATCH([1]TBMapping!M$3,'[1]TrialBalance (Quarter)'!$7:$7,0)),0)</f>
        <v>0</v>
      </c>
      <c r="M959" s="5">
        <f>IFERROR(INDEX('[1]TrialBalance (Quarter)'!$A:$L,MATCH([1]TBMapping!$C961,'[1]TrialBalance (Quarter)'!A:A,0),MATCH([1]TBMapping!N$3,'[1]TrialBalance (Quarter)'!$7:$7,0)),0)</f>
        <v>0</v>
      </c>
      <c r="N959" s="5">
        <f>IFERROR(INDEX('[1]TrialBalance (Quarter)'!$A:$L,MATCH([1]TBMapping!$C961,'[1]TrialBalance (Quarter)'!A:A,0),MATCH([1]TBMapping!O$3,'[1]TrialBalance (Quarter)'!$7:$7,0)),0)</f>
        <v>0</v>
      </c>
    </row>
    <row r="960" spans="1:14">
      <c r="A960" s="2">
        <v>19</v>
      </c>
      <c r="B960" s="3">
        <v>393506</v>
      </c>
      <c r="C960" s="10" t="s">
        <v>771</v>
      </c>
      <c r="D960" s="10" t="s">
        <v>11</v>
      </c>
      <c r="E960" s="10"/>
      <c r="F960" s="5" t="e">
        <f>IF(DataExtraction="Manual",SUMIF('[1]TrialBalance (YTD)'!$C:$C,B960,'[1]TrialBalance (YTD)'!$E:$E),SUMIF('[1]TrialBalance (YTD)'!$G:$G,B960,'[1]TrialBalance (YTD)'!$I:$I))</f>
        <v>#VALUE!</v>
      </c>
      <c r="G960" s="5">
        <f>IFERROR(INDEX('[1]TrialBalance (YTD)'!$G:$S,MATCH([1]TBMapping!$C962,'[1]TrialBalance (YTD)'!G:G,0),MATCH([1]TBMapping!H$3,'[1]TrialBalance (YTD)'!$G$7:$Z$7,0)),0)</f>
        <v>0</v>
      </c>
      <c r="H960" s="5" t="e">
        <f>SUMIF('[1]TrialBalance (YTD)'!G:G,B960,'[1]TrialBalance (YTD)'!H:H)</f>
        <v>#VALUE!</v>
      </c>
      <c r="I960" s="5">
        <f>IFERROR(INDEX('[1]TrialBalance (YTD)'!$G:$S,MATCH([1]TBMapping!$C962,'[1]TrialBalance (YTD)'!G:G,0),MATCH([1]TBMapping!J$3,'[1]TrialBalance (YTD)'!$G$7:$Z$7,0)),0)</f>
        <v>0</v>
      </c>
      <c r="K960" s="5" t="e">
        <f>SUMIF('[1]TrialBalance (Quarter)'!$A:$A,B960,'[1]TrialBalance (Quarter)'!$B:$B)</f>
        <v>#VALUE!</v>
      </c>
      <c r="L960" s="5">
        <f>IFERROR(INDEX('[1]TrialBalance (Quarter)'!$A:$L,MATCH([1]TBMapping!$C962,'[1]TrialBalance (Quarter)'!A:A,0),MATCH([1]TBMapping!M$3,'[1]TrialBalance (Quarter)'!$7:$7,0)),0)</f>
        <v>0</v>
      </c>
      <c r="M960" s="5">
        <f>IFERROR(INDEX('[1]TrialBalance (Quarter)'!$A:$L,MATCH([1]TBMapping!$C962,'[1]TrialBalance (Quarter)'!A:A,0),MATCH([1]TBMapping!N$3,'[1]TrialBalance (Quarter)'!$7:$7,0)),0)</f>
        <v>0</v>
      </c>
      <c r="N960" s="5">
        <f>IFERROR(INDEX('[1]TrialBalance (Quarter)'!$A:$L,MATCH([1]TBMapping!$C962,'[1]TrialBalance (Quarter)'!A:A,0),MATCH([1]TBMapping!O$3,'[1]TrialBalance (Quarter)'!$7:$7,0)),0)</f>
        <v>0</v>
      </c>
    </row>
    <row r="961" spans="1:14">
      <c r="A961" s="2">
        <v>19</v>
      </c>
      <c r="B961" s="3">
        <v>393510</v>
      </c>
      <c r="C961" s="11" t="s">
        <v>772</v>
      </c>
      <c r="D961" s="11" t="s">
        <v>11</v>
      </c>
      <c r="E961" s="11"/>
      <c r="F961" s="5" t="e">
        <f>IF(DataExtraction="Manual",SUMIF('[1]TrialBalance (YTD)'!$C:$C,B961,'[1]TrialBalance (YTD)'!$E:$E),SUMIF('[1]TrialBalance (YTD)'!$G:$G,B961,'[1]TrialBalance (YTD)'!$I:$I))</f>
        <v>#VALUE!</v>
      </c>
      <c r="G961" s="5">
        <f>IFERROR(INDEX('[1]TrialBalance (YTD)'!$G:$S,MATCH([1]TBMapping!$C963,'[1]TrialBalance (YTD)'!G:G,0),MATCH([1]TBMapping!H$3,'[1]TrialBalance (YTD)'!$G$7:$Z$7,0)),0)</f>
        <v>0</v>
      </c>
      <c r="H961" s="5" t="e">
        <f>SUMIF('[1]TrialBalance (YTD)'!G:G,B961,'[1]TrialBalance (YTD)'!H:H)</f>
        <v>#VALUE!</v>
      </c>
      <c r="I961" s="5">
        <f>IFERROR(INDEX('[1]TrialBalance (YTD)'!$G:$S,MATCH([1]TBMapping!$C963,'[1]TrialBalance (YTD)'!G:G,0),MATCH([1]TBMapping!J$3,'[1]TrialBalance (YTD)'!$G$7:$Z$7,0)),0)</f>
        <v>0</v>
      </c>
      <c r="K961" s="5" t="e">
        <f>SUMIF('[1]TrialBalance (Quarter)'!$A:$A,B961,'[1]TrialBalance (Quarter)'!$B:$B)</f>
        <v>#VALUE!</v>
      </c>
      <c r="L961" s="5">
        <f>IFERROR(INDEX('[1]TrialBalance (Quarter)'!$A:$L,MATCH([1]TBMapping!$C963,'[1]TrialBalance (Quarter)'!A:A,0),MATCH([1]TBMapping!M$3,'[1]TrialBalance (Quarter)'!$7:$7,0)),0)</f>
        <v>0</v>
      </c>
      <c r="M961" s="5">
        <f>IFERROR(INDEX('[1]TrialBalance (Quarter)'!$A:$L,MATCH([1]TBMapping!$C963,'[1]TrialBalance (Quarter)'!A:A,0),MATCH([1]TBMapping!N$3,'[1]TrialBalance (Quarter)'!$7:$7,0)),0)</f>
        <v>0</v>
      </c>
      <c r="N961" s="5">
        <f>IFERROR(INDEX('[1]TrialBalance (Quarter)'!$A:$L,MATCH([1]TBMapping!$C963,'[1]TrialBalance (Quarter)'!A:A,0),MATCH([1]TBMapping!O$3,'[1]TrialBalance (Quarter)'!$7:$7,0)),0)</f>
        <v>0</v>
      </c>
    </row>
    <row r="962" spans="1:14">
      <c r="A962" s="2">
        <v>19</v>
      </c>
      <c r="B962" s="3">
        <v>393511</v>
      </c>
      <c r="C962" s="10" t="s">
        <v>773</v>
      </c>
      <c r="D962" s="10" t="s">
        <v>11</v>
      </c>
      <c r="E962" s="10"/>
      <c r="F962" s="5" t="e">
        <f>IF(DataExtraction="Manual",SUMIF('[1]TrialBalance (YTD)'!$C:$C,B962,'[1]TrialBalance (YTD)'!$E:$E),SUMIF('[1]TrialBalance (YTD)'!$G:$G,B962,'[1]TrialBalance (YTD)'!$I:$I))</f>
        <v>#VALUE!</v>
      </c>
      <c r="G962" s="5">
        <f>IFERROR(INDEX('[1]TrialBalance (YTD)'!$G:$S,MATCH([1]TBMapping!$C964,'[1]TrialBalance (YTD)'!G:G,0),MATCH([1]TBMapping!H$3,'[1]TrialBalance (YTD)'!$G$7:$Z$7,0)),0)</f>
        <v>0</v>
      </c>
      <c r="H962" s="5" t="e">
        <f>SUMIF('[1]TrialBalance (YTD)'!G:G,B962,'[1]TrialBalance (YTD)'!H:H)</f>
        <v>#VALUE!</v>
      </c>
      <c r="I962" s="5">
        <f>IFERROR(INDEX('[1]TrialBalance (YTD)'!$G:$S,MATCH([1]TBMapping!$C964,'[1]TrialBalance (YTD)'!G:G,0),MATCH([1]TBMapping!J$3,'[1]TrialBalance (YTD)'!$G$7:$Z$7,0)),0)</f>
        <v>0</v>
      </c>
      <c r="K962" s="5" t="e">
        <f>SUMIF('[1]TrialBalance (Quarter)'!$A:$A,B962,'[1]TrialBalance (Quarter)'!$B:$B)</f>
        <v>#VALUE!</v>
      </c>
      <c r="L962" s="5">
        <f>IFERROR(INDEX('[1]TrialBalance (Quarter)'!$A:$L,MATCH([1]TBMapping!$C964,'[1]TrialBalance (Quarter)'!A:A,0),MATCH([1]TBMapping!M$3,'[1]TrialBalance (Quarter)'!$7:$7,0)),0)</f>
        <v>0</v>
      </c>
      <c r="M962" s="5">
        <f>IFERROR(INDEX('[1]TrialBalance (Quarter)'!$A:$L,MATCH([1]TBMapping!$C964,'[1]TrialBalance (Quarter)'!A:A,0),MATCH([1]TBMapping!N$3,'[1]TrialBalance (Quarter)'!$7:$7,0)),0)</f>
        <v>0</v>
      </c>
      <c r="N962" s="5">
        <f>IFERROR(INDEX('[1]TrialBalance (Quarter)'!$A:$L,MATCH([1]TBMapping!$C964,'[1]TrialBalance (Quarter)'!A:A,0),MATCH([1]TBMapping!O$3,'[1]TrialBalance (Quarter)'!$7:$7,0)),0)</f>
        <v>0</v>
      </c>
    </row>
    <row r="963" spans="1:14">
      <c r="A963" s="2">
        <v>19</v>
      </c>
      <c r="B963" s="3">
        <v>393512</v>
      </c>
      <c r="C963" s="11" t="s">
        <v>774</v>
      </c>
      <c r="D963" s="11" t="s">
        <v>11</v>
      </c>
      <c r="E963" s="11"/>
      <c r="F963" s="5" t="e">
        <f>IF(DataExtraction="Manual",SUMIF('[1]TrialBalance (YTD)'!$C:$C,B963,'[1]TrialBalance (YTD)'!$E:$E),SUMIF('[1]TrialBalance (YTD)'!$G:$G,B963,'[1]TrialBalance (YTD)'!$I:$I))</f>
        <v>#VALUE!</v>
      </c>
      <c r="G963" s="5">
        <f>IFERROR(INDEX('[1]TrialBalance (YTD)'!$G:$S,MATCH([1]TBMapping!$C965,'[1]TrialBalance (YTD)'!G:G,0),MATCH([1]TBMapping!H$3,'[1]TrialBalance (YTD)'!$G$7:$Z$7,0)),0)</f>
        <v>0</v>
      </c>
      <c r="H963" s="5" t="e">
        <f>SUMIF('[1]TrialBalance (YTD)'!G:G,B963,'[1]TrialBalance (YTD)'!H:H)</f>
        <v>#VALUE!</v>
      </c>
      <c r="I963" s="5">
        <f>IFERROR(INDEX('[1]TrialBalance (YTD)'!$G:$S,MATCH([1]TBMapping!$C965,'[1]TrialBalance (YTD)'!G:G,0),MATCH([1]TBMapping!J$3,'[1]TrialBalance (YTD)'!$G$7:$Z$7,0)),0)</f>
        <v>0</v>
      </c>
      <c r="K963" s="5" t="e">
        <f>SUMIF('[1]TrialBalance (Quarter)'!$A:$A,B963,'[1]TrialBalance (Quarter)'!$B:$B)</f>
        <v>#VALUE!</v>
      </c>
      <c r="L963" s="5">
        <f>IFERROR(INDEX('[1]TrialBalance (Quarter)'!$A:$L,MATCH([1]TBMapping!$C965,'[1]TrialBalance (Quarter)'!A:A,0),MATCH([1]TBMapping!M$3,'[1]TrialBalance (Quarter)'!$7:$7,0)),0)</f>
        <v>0</v>
      </c>
      <c r="M963" s="5">
        <f>IFERROR(INDEX('[1]TrialBalance (Quarter)'!$A:$L,MATCH([1]TBMapping!$C965,'[1]TrialBalance (Quarter)'!A:A,0),MATCH([1]TBMapping!N$3,'[1]TrialBalance (Quarter)'!$7:$7,0)),0)</f>
        <v>0</v>
      </c>
      <c r="N963" s="5">
        <f>IFERROR(INDEX('[1]TrialBalance (Quarter)'!$A:$L,MATCH([1]TBMapping!$C965,'[1]TrialBalance (Quarter)'!A:A,0),MATCH([1]TBMapping!O$3,'[1]TrialBalance (Quarter)'!$7:$7,0)),0)</f>
        <v>0</v>
      </c>
    </row>
    <row r="964" spans="1:14">
      <c r="A964" s="2">
        <v>19</v>
      </c>
      <c r="B964" s="3">
        <v>393514</v>
      </c>
      <c r="C964" s="10" t="s">
        <v>775</v>
      </c>
      <c r="D964" s="10" t="s">
        <v>11</v>
      </c>
      <c r="E964" s="10"/>
      <c r="F964" s="5" t="e">
        <f>IF(DataExtraction="Manual",SUMIF('[1]TrialBalance (YTD)'!$C:$C,B964,'[1]TrialBalance (YTD)'!$E:$E),SUMIF('[1]TrialBalance (YTD)'!$G:$G,B964,'[1]TrialBalance (YTD)'!$I:$I))</f>
        <v>#VALUE!</v>
      </c>
      <c r="G964" s="5">
        <f>IFERROR(INDEX('[1]TrialBalance (YTD)'!$G:$S,MATCH([1]TBMapping!$C966,'[1]TrialBalance (YTD)'!G:G,0),MATCH([1]TBMapping!H$3,'[1]TrialBalance (YTD)'!$G$7:$Z$7,0)),0)</f>
        <v>0</v>
      </c>
      <c r="H964" s="5" t="e">
        <f>SUMIF('[1]TrialBalance (YTD)'!G:G,B964,'[1]TrialBalance (YTD)'!H:H)</f>
        <v>#VALUE!</v>
      </c>
      <c r="I964" s="5">
        <f>IFERROR(INDEX('[1]TrialBalance (YTD)'!$G:$S,MATCH([1]TBMapping!$C966,'[1]TrialBalance (YTD)'!G:G,0),MATCH([1]TBMapping!J$3,'[1]TrialBalance (YTD)'!$G$7:$Z$7,0)),0)</f>
        <v>0</v>
      </c>
      <c r="K964" s="5" t="e">
        <f>SUMIF('[1]TrialBalance (Quarter)'!$A:$A,B964,'[1]TrialBalance (Quarter)'!$B:$B)</f>
        <v>#VALUE!</v>
      </c>
      <c r="L964" s="5">
        <f>IFERROR(INDEX('[1]TrialBalance (Quarter)'!$A:$L,MATCH([1]TBMapping!$C966,'[1]TrialBalance (Quarter)'!A:A,0),MATCH([1]TBMapping!M$3,'[1]TrialBalance (Quarter)'!$7:$7,0)),0)</f>
        <v>0</v>
      </c>
      <c r="M964" s="5">
        <f>IFERROR(INDEX('[1]TrialBalance (Quarter)'!$A:$L,MATCH([1]TBMapping!$C966,'[1]TrialBalance (Quarter)'!A:A,0),MATCH([1]TBMapping!N$3,'[1]TrialBalance (Quarter)'!$7:$7,0)),0)</f>
        <v>0</v>
      </c>
      <c r="N964" s="5">
        <f>IFERROR(INDEX('[1]TrialBalance (Quarter)'!$A:$L,MATCH([1]TBMapping!$C966,'[1]TrialBalance (Quarter)'!A:A,0),MATCH([1]TBMapping!O$3,'[1]TrialBalance (Quarter)'!$7:$7,0)),0)</f>
        <v>0</v>
      </c>
    </row>
    <row r="965" spans="1:14">
      <c r="A965" s="2">
        <v>19</v>
      </c>
      <c r="B965" s="3">
        <v>393516</v>
      </c>
      <c r="C965" s="11" t="s">
        <v>776</v>
      </c>
      <c r="D965" s="11" t="s">
        <v>11</v>
      </c>
      <c r="E965" s="11"/>
      <c r="F965" s="5" t="e">
        <f>IF(DataExtraction="Manual",SUMIF('[1]TrialBalance (YTD)'!$C:$C,B965,'[1]TrialBalance (YTD)'!$E:$E),SUMIF('[1]TrialBalance (YTD)'!$G:$G,B965,'[1]TrialBalance (YTD)'!$I:$I))</f>
        <v>#VALUE!</v>
      </c>
      <c r="G965" s="5">
        <f>IFERROR(INDEX('[1]TrialBalance (YTD)'!$G:$S,MATCH([1]TBMapping!$C967,'[1]TrialBalance (YTD)'!G:G,0),MATCH([1]TBMapping!H$3,'[1]TrialBalance (YTD)'!$G$7:$Z$7,0)),0)</f>
        <v>0</v>
      </c>
      <c r="H965" s="5" t="e">
        <f>SUMIF('[1]TrialBalance (YTD)'!G:G,B965,'[1]TrialBalance (YTD)'!H:H)</f>
        <v>#VALUE!</v>
      </c>
      <c r="I965" s="5">
        <f>IFERROR(INDEX('[1]TrialBalance (YTD)'!$G:$S,MATCH([1]TBMapping!$C967,'[1]TrialBalance (YTD)'!G:G,0),MATCH([1]TBMapping!J$3,'[1]TrialBalance (YTD)'!$G$7:$Z$7,0)),0)</f>
        <v>0</v>
      </c>
      <c r="K965" s="5" t="e">
        <f>SUMIF('[1]TrialBalance (Quarter)'!$A:$A,B965,'[1]TrialBalance (Quarter)'!$B:$B)</f>
        <v>#VALUE!</v>
      </c>
      <c r="L965" s="5">
        <f>IFERROR(INDEX('[1]TrialBalance (Quarter)'!$A:$L,MATCH([1]TBMapping!$C967,'[1]TrialBalance (Quarter)'!A:A,0),MATCH([1]TBMapping!M$3,'[1]TrialBalance (Quarter)'!$7:$7,0)),0)</f>
        <v>0</v>
      </c>
      <c r="M965" s="5">
        <f>IFERROR(INDEX('[1]TrialBalance (Quarter)'!$A:$L,MATCH([1]TBMapping!$C967,'[1]TrialBalance (Quarter)'!A:A,0),MATCH([1]TBMapping!N$3,'[1]TrialBalance (Quarter)'!$7:$7,0)),0)</f>
        <v>0</v>
      </c>
      <c r="N965" s="5">
        <f>IFERROR(INDEX('[1]TrialBalance (Quarter)'!$A:$L,MATCH([1]TBMapping!$C967,'[1]TrialBalance (Quarter)'!A:A,0),MATCH([1]TBMapping!O$3,'[1]TrialBalance (Quarter)'!$7:$7,0)),0)</f>
        <v>0</v>
      </c>
    </row>
    <row r="966" spans="1:14">
      <c r="A966" s="2">
        <v>19</v>
      </c>
      <c r="B966" s="3">
        <v>393518</v>
      </c>
      <c r="C966" s="10" t="s">
        <v>777</v>
      </c>
      <c r="D966" s="10" t="s">
        <v>11</v>
      </c>
      <c r="E966" s="10"/>
      <c r="F966" s="5" t="e">
        <f>IF(DataExtraction="Manual",SUMIF('[1]TrialBalance (YTD)'!$C:$C,B966,'[1]TrialBalance (YTD)'!$E:$E),SUMIF('[1]TrialBalance (YTD)'!$G:$G,B966,'[1]TrialBalance (YTD)'!$I:$I))</f>
        <v>#VALUE!</v>
      </c>
      <c r="G966" s="5">
        <f>IFERROR(INDEX('[1]TrialBalance (YTD)'!$G:$S,MATCH([1]TBMapping!$C968,'[1]TrialBalance (YTD)'!G:G,0),MATCH([1]TBMapping!H$3,'[1]TrialBalance (YTD)'!$G$7:$Z$7,0)),0)</f>
        <v>0</v>
      </c>
      <c r="H966" s="5" t="e">
        <f>SUMIF('[1]TrialBalance (YTD)'!G:G,B966,'[1]TrialBalance (YTD)'!H:H)</f>
        <v>#VALUE!</v>
      </c>
      <c r="I966" s="5">
        <f>IFERROR(INDEX('[1]TrialBalance (YTD)'!$G:$S,MATCH([1]TBMapping!$C968,'[1]TrialBalance (YTD)'!G:G,0),MATCH([1]TBMapping!J$3,'[1]TrialBalance (YTD)'!$G$7:$Z$7,0)),0)</f>
        <v>0</v>
      </c>
      <c r="K966" s="5" t="e">
        <f>SUMIF('[1]TrialBalance (Quarter)'!$A:$A,B966,'[1]TrialBalance (Quarter)'!$B:$B)</f>
        <v>#VALUE!</v>
      </c>
      <c r="L966" s="5">
        <f>IFERROR(INDEX('[1]TrialBalance (Quarter)'!$A:$L,MATCH([1]TBMapping!$C968,'[1]TrialBalance (Quarter)'!A:A,0),MATCH([1]TBMapping!M$3,'[1]TrialBalance (Quarter)'!$7:$7,0)),0)</f>
        <v>0</v>
      </c>
      <c r="M966" s="5">
        <f>IFERROR(INDEX('[1]TrialBalance (Quarter)'!$A:$L,MATCH([1]TBMapping!$C968,'[1]TrialBalance (Quarter)'!A:A,0),MATCH([1]TBMapping!N$3,'[1]TrialBalance (Quarter)'!$7:$7,0)),0)</f>
        <v>0</v>
      </c>
      <c r="N966" s="5">
        <f>IFERROR(INDEX('[1]TrialBalance (Quarter)'!$A:$L,MATCH([1]TBMapping!$C968,'[1]TrialBalance (Quarter)'!A:A,0),MATCH([1]TBMapping!O$3,'[1]TrialBalance (Quarter)'!$7:$7,0)),0)</f>
        <v>0</v>
      </c>
    </row>
    <row r="967" spans="1:14">
      <c r="A967" s="2">
        <v>19</v>
      </c>
      <c r="B967" s="3">
        <v>393520</v>
      </c>
      <c r="C967" s="11" t="s">
        <v>778</v>
      </c>
      <c r="D967" s="11" t="s">
        <v>11</v>
      </c>
      <c r="E967" s="11"/>
      <c r="F967" s="5" t="e">
        <f>IF(DataExtraction="Manual",SUMIF('[1]TrialBalance (YTD)'!$C:$C,B967,'[1]TrialBalance (YTD)'!$E:$E),SUMIF('[1]TrialBalance (YTD)'!$G:$G,B967,'[1]TrialBalance (YTD)'!$I:$I))</f>
        <v>#VALUE!</v>
      </c>
      <c r="G967" s="5">
        <f>IFERROR(INDEX('[1]TrialBalance (YTD)'!$G:$S,MATCH([1]TBMapping!$C969,'[1]TrialBalance (YTD)'!G:G,0),MATCH([1]TBMapping!H$3,'[1]TrialBalance (YTD)'!$G$7:$Z$7,0)),0)</f>
        <v>0</v>
      </c>
      <c r="H967" s="5" t="e">
        <f>SUMIF('[1]TrialBalance (YTD)'!G:G,B967,'[1]TrialBalance (YTD)'!H:H)</f>
        <v>#VALUE!</v>
      </c>
      <c r="I967" s="5">
        <f>IFERROR(INDEX('[1]TrialBalance (YTD)'!$G:$S,MATCH([1]TBMapping!$C969,'[1]TrialBalance (YTD)'!G:G,0),MATCH([1]TBMapping!J$3,'[1]TrialBalance (YTD)'!$G$7:$Z$7,0)),0)</f>
        <v>0</v>
      </c>
      <c r="K967" s="5" t="e">
        <f>SUMIF('[1]TrialBalance (Quarter)'!$A:$A,B967,'[1]TrialBalance (Quarter)'!$B:$B)</f>
        <v>#VALUE!</v>
      </c>
      <c r="L967" s="5">
        <f>IFERROR(INDEX('[1]TrialBalance (Quarter)'!$A:$L,MATCH([1]TBMapping!$C969,'[1]TrialBalance (Quarter)'!A:A,0),MATCH([1]TBMapping!M$3,'[1]TrialBalance (Quarter)'!$7:$7,0)),0)</f>
        <v>0</v>
      </c>
      <c r="M967" s="5">
        <f>IFERROR(INDEX('[1]TrialBalance (Quarter)'!$A:$L,MATCH([1]TBMapping!$C969,'[1]TrialBalance (Quarter)'!A:A,0),MATCH([1]TBMapping!N$3,'[1]TrialBalance (Quarter)'!$7:$7,0)),0)</f>
        <v>0</v>
      </c>
      <c r="N967" s="5">
        <f>IFERROR(INDEX('[1]TrialBalance (Quarter)'!$A:$L,MATCH([1]TBMapping!$C969,'[1]TrialBalance (Quarter)'!A:A,0),MATCH([1]TBMapping!O$3,'[1]TrialBalance (Quarter)'!$7:$7,0)),0)</f>
        <v>0</v>
      </c>
    </row>
    <row r="968" spans="1:14">
      <c r="A968" s="2">
        <v>19</v>
      </c>
      <c r="B968" s="3">
        <v>393521</v>
      </c>
      <c r="C968" s="10" t="s">
        <v>779</v>
      </c>
      <c r="D968" s="10" t="s">
        <v>11</v>
      </c>
      <c r="E968" s="10"/>
      <c r="F968" s="5" t="e">
        <f>IF(DataExtraction="Manual",SUMIF('[1]TrialBalance (YTD)'!$C:$C,B968,'[1]TrialBalance (YTD)'!$E:$E),SUMIF('[1]TrialBalance (YTD)'!$G:$G,B968,'[1]TrialBalance (YTD)'!$I:$I))</f>
        <v>#VALUE!</v>
      </c>
      <c r="G968" s="5">
        <f>IFERROR(INDEX('[1]TrialBalance (YTD)'!$G:$S,MATCH([1]TBMapping!$C970,'[1]TrialBalance (YTD)'!G:G,0),MATCH([1]TBMapping!H$3,'[1]TrialBalance (YTD)'!$G$7:$Z$7,0)),0)</f>
        <v>0</v>
      </c>
      <c r="H968" s="5" t="e">
        <f>SUMIF('[1]TrialBalance (YTD)'!G:G,B968,'[1]TrialBalance (YTD)'!H:H)</f>
        <v>#VALUE!</v>
      </c>
      <c r="I968" s="5">
        <f>IFERROR(INDEX('[1]TrialBalance (YTD)'!$G:$S,MATCH([1]TBMapping!$C970,'[1]TrialBalance (YTD)'!G:G,0),MATCH([1]TBMapping!J$3,'[1]TrialBalance (YTD)'!$G$7:$Z$7,0)),0)</f>
        <v>0</v>
      </c>
      <c r="K968" s="5" t="e">
        <f>SUMIF('[1]TrialBalance (Quarter)'!$A:$A,B968,'[1]TrialBalance (Quarter)'!$B:$B)</f>
        <v>#VALUE!</v>
      </c>
      <c r="L968" s="5">
        <f>IFERROR(INDEX('[1]TrialBalance (Quarter)'!$A:$L,MATCH([1]TBMapping!$C970,'[1]TrialBalance (Quarter)'!A:A,0),MATCH([1]TBMapping!M$3,'[1]TrialBalance (Quarter)'!$7:$7,0)),0)</f>
        <v>0</v>
      </c>
      <c r="M968" s="5">
        <f>IFERROR(INDEX('[1]TrialBalance (Quarter)'!$A:$L,MATCH([1]TBMapping!$C970,'[1]TrialBalance (Quarter)'!A:A,0),MATCH([1]TBMapping!N$3,'[1]TrialBalance (Quarter)'!$7:$7,0)),0)</f>
        <v>0</v>
      </c>
      <c r="N968" s="5">
        <f>IFERROR(INDEX('[1]TrialBalance (Quarter)'!$A:$L,MATCH([1]TBMapping!$C970,'[1]TrialBalance (Quarter)'!A:A,0),MATCH([1]TBMapping!O$3,'[1]TrialBalance (Quarter)'!$7:$7,0)),0)</f>
        <v>0</v>
      </c>
    </row>
    <row r="969" spans="1:14">
      <c r="A969" s="2">
        <v>19</v>
      </c>
      <c r="B969" s="3">
        <v>393522</v>
      </c>
      <c r="C969" s="11" t="s">
        <v>780</v>
      </c>
      <c r="D969" s="11" t="s">
        <v>11</v>
      </c>
      <c r="E969" s="11"/>
      <c r="F969" s="5" t="e">
        <f>IF(DataExtraction="Manual",SUMIF('[1]TrialBalance (YTD)'!$C:$C,B969,'[1]TrialBalance (YTD)'!$E:$E),SUMIF('[1]TrialBalance (YTD)'!$G:$G,B969,'[1]TrialBalance (YTD)'!$I:$I))</f>
        <v>#VALUE!</v>
      </c>
      <c r="G969" s="5">
        <f>IFERROR(INDEX('[1]TrialBalance (YTD)'!$G:$S,MATCH([1]TBMapping!$C971,'[1]TrialBalance (YTD)'!G:G,0),MATCH([1]TBMapping!H$3,'[1]TrialBalance (YTD)'!$G$7:$Z$7,0)),0)</f>
        <v>0</v>
      </c>
      <c r="H969" s="5" t="e">
        <f>SUMIF('[1]TrialBalance (YTD)'!G:G,B969,'[1]TrialBalance (YTD)'!H:H)</f>
        <v>#VALUE!</v>
      </c>
      <c r="I969" s="5">
        <f>IFERROR(INDEX('[1]TrialBalance (YTD)'!$G:$S,MATCH([1]TBMapping!$C971,'[1]TrialBalance (YTD)'!G:G,0),MATCH([1]TBMapping!J$3,'[1]TrialBalance (YTD)'!$G$7:$Z$7,0)),0)</f>
        <v>0</v>
      </c>
      <c r="K969" s="5" t="e">
        <f>SUMIF('[1]TrialBalance (Quarter)'!$A:$A,B969,'[1]TrialBalance (Quarter)'!$B:$B)</f>
        <v>#VALUE!</v>
      </c>
      <c r="L969" s="5">
        <f>IFERROR(INDEX('[1]TrialBalance (Quarter)'!$A:$L,MATCH([1]TBMapping!$C971,'[1]TrialBalance (Quarter)'!A:A,0),MATCH([1]TBMapping!M$3,'[1]TrialBalance (Quarter)'!$7:$7,0)),0)</f>
        <v>0</v>
      </c>
      <c r="M969" s="5">
        <f>IFERROR(INDEX('[1]TrialBalance (Quarter)'!$A:$L,MATCH([1]TBMapping!$C971,'[1]TrialBalance (Quarter)'!A:A,0),MATCH([1]TBMapping!N$3,'[1]TrialBalance (Quarter)'!$7:$7,0)),0)</f>
        <v>0</v>
      </c>
      <c r="N969" s="5">
        <f>IFERROR(INDEX('[1]TrialBalance (Quarter)'!$A:$L,MATCH([1]TBMapping!$C971,'[1]TrialBalance (Quarter)'!A:A,0),MATCH([1]TBMapping!O$3,'[1]TrialBalance (Quarter)'!$7:$7,0)),0)</f>
        <v>0</v>
      </c>
    </row>
    <row r="970" spans="1:14">
      <c r="A970" s="2">
        <v>19</v>
      </c>
      <c r="B970" s="3">
        <v>393523</v>
      </c>
      <c r="C970" s="10" t="s">
        <v>781</v>
      </c>
      <c r="D970" s="10" t="s">
        <v>11</v>
      </c>
      <c r="E970" s="10"/>
      <c r="F970" s="5" t="e">
        <f>IF(DataExtraction="Manual",SUMIF('[1]TrialBalance (YTD)'!$C:$C,B970,'[1]TrialBalance (YTD)'!$E:$E),SUMIF('[1]TrialBalance (YTD)'!$G:$G,B970,'[1]TrialBalance (YTD)'!$I:$I))</f>
        <v>#VALUE!</v>
      </c>
      <c r="G970" s="5">
        <f>IFERROR(INDEX('[1]TrialBalance (YTD)'!$G:$S,MATCH([1]TBMapping!$C972,'[1]TrialBalance (YTD)'!G:G,0),MATCH([1]TBMapping!H$3,'[1]TrialBalance (YTD)'!$G$7:$Z$7,0)),0)</f>
        <v>0</v>
      </c>
      <c r="H970" s="5" t="e">
        <f>SUMIF('[1]TrialBalance (YTD)'!G:G,B970,'[1]TrialBalance (YTD)'!H:H)</f>
        <v>#VALUE!</v>
      </c>
      <c r="I970" s="5">
        <f>IFERROR(INDEX('[1]TrialBalance (YTD)'!$G:$S,MATCH([1]TBMapping!$C972,'[1]TrialBalance (YTD)'!G:G,0),MATCH([1]TBMapping!J$3,'[1]TrialBalance (YTD)'!$G$7:$Z$7,0)),0)</f>
        <v>0</v>
      </c>
      <c r="K970" s="5" t="e">
        <f>SUMIF('[1]TrialBalance (Quarter)'!$A:$A,B970,'[1]TrialBalance (Quarter)'!$B:$B)</f>
        <v>#VALUE!</v>
      </c>
      <c r="L970" s="5">
        <f>IFERROR(INDEX('[1]TrialBalance (Quarter)'!$A:$L,MATCH([1]TBMapping!$C972,'[1]TrialBalance (Quarter)'!A:A,0),MATCH([1]TBMapping!M$3,'[1]TrialBalance (Quarter)'!$7:$7,0)),0)</f>
        <v>0</v>
      </c>
      <c r="M970" s="5">
        <f>IFERROR(INDEX('[1]TrialBalance (Quarter)'!$A:$L,MATCH([1]TBMapping!$C972,'[1]TrialBalance (Quarter)'!A:A,0),MATCH([1]TBMapping!N$3,'[1]TrialBalance (Quarter)'!$7:$7,0)),0)</f>
        <v>0</v>
      </c>
      <c r="N970" s="5">
        <f>IFERROR(INDEX('[1]TrialBalance (Quarter)'!$A:$L,MATCH([1]TBMapping!$C972,'[1]TrialBalance (Quarter)'!A:A,0),MATCH([1]TBMapping!O$3,'[1]TrialBalance (Quarter)'!$7:$7,0)),0)</f>
        <v>0</v>
      </c>
    </row>
    <row r="971" spans="1:14">
      <c r="A971" s="2">
        <v>19</v>
      </c>
      <c r="B971" s="3">
        <v>393524</v>
      </c>
      <c r="C971" s="11" t="s">
        <v>782</v>
      </c>
      <c r="D971" s="11" t="s">
        <v>11</v>
      </c>
      <c r="E971" s="11"/>
      <c r="F971" s="5" t="e">
        <f>IF(DataExtraction="Manual",SUMIF('[1]TrialBalance (YTD)'!$C:$C,B971,'[1]TrialBalance (YTD)'!$E:$E),SUMIF('[1]TrialBalance (YTD)'!$G:$G,B971,'[1]TrialBalance (YTD)'!$I:$I))</f>
        <v>#VALUE!</v>
      </c>
      <c r="G971" s="5">
        <f>IFERROR(INDEX('[1]TrialBalance (YTD)'!$G:$S,MATCH([1]TBMapping!$C973,'[1]TrialBalance (YTD)'!G:G,0),MATCH([1]TBMapping!H$3,'[1]TrialBalance (YTD)'!$G$7:$Z$7,0)),0)</f>
        <v>0</v>
      </c>
      <c r="H971" s="5" t="e">
        <f>SUMIF('[1]TrialBalance (YTD)'!G:G,B971,'[1]TrialBalance (YTD)'!H:H)</f>
        <v>#VALUE!</v>
      </c>
      <c r="I971" s="5">
        <f>IFERROR(INDEX('[1]TrialBalance (YTD)'!$G:$S,MATCH([1]TBMapping!$C973,'[1]TrialBalance (YTD)'!G:G,0),MATCH([1]TBMapping!J$3,'[1]TrialBalance (YTD)'!$G$7:$Z$7,0)),0)</f>
        <v>0</v>
      </c>
      <c r="K971" s="5" t="e">
        <f>SUMIF('[1]TrialBalance (Quarter)'!$A:$A,B971,'[1]TrialBalance (Quarter)'!$B:$B)</f>
        <v>#VALUE!</v>
      </c>
      <c r="L971" s="5">
        <f>IFERROR(INDEX('[1]TrialBalance (Quarter)'!$A:$L,MATCH([1]TBMapping!$C973,'[1]TrialBalance (Quarter)'!A:A,0),MATCH([1]TBMapping!M$3,'[1]TrialBalance (Quarter)'!$7:$7,0)),0)</f>
        <v>0</v>
      </c>
      <c r="M971" s="5">
        <f>IFERROR(INDEX('[1]TrialBalance (Quarter)'!$A:$L,MATCH([1]TBMapping!$C973,'[1]TrialBalance (Quarter)'!A:A,0),MATCH([1]TBMapping!N$3,'[1]TrialBalance (Quarter)'!$7:$7,0)),0)</f>
        <v>0</v>
      </c>
      <c r="N971" s="5">
        <f>IFERROR(INDEX('[1]TrialBalance (Quarter)'!$A:$L,MATCH([1]TBMapping!$C973,'[1]TrialBalance (Quarter)'!A:A,0),MATCH([1]TBMapping!O$3,'[1]TrialBalance (Quarter)'!$7:$7,0)),0)</f>
        <v>0</v>
      </c>
    </row>
    <row r="972" spans="1:14">
      <c r="A972" s="2">
        <v>19</v>
      </c>
      <c r="B972" s="3">
        <v>393525</v>
      </c>
      <c r="C972" s="10" t="s">
        <v>714</v>
      </c>
      <c r="D972" s="10" t="s">
        <v>11</v>
      </c>
      <c r="E972" s="10"/>
      <c r="F972" s="5" t="e">
        <f>IF(DataExtraction="Manual",SUMIF('[1]TrialBalance (YTD)'!$C:$C,B972,'[1]TrialBalance (YTD)'!$E:$E),SUMIF('[1]TrialBalance (YTD)'!$G:$G,B972,'[1]TrialBalance (YTD)'!$I:$I))</f>
        <v>#VALUE!</v>
      </c>
      <c r="G972" s="5">
        <f>IFERROR(INDEX('[1]TrialBalance (YTD)'!$G:$S,MATCH([1]TBMapping!$C974,'[1]TrialBalance (YTD)'!G:G,0),MATCH([1]TBMapping!H$3,'[1]TrialBalance (YTD)'!$G$7:$Z$7,0)),0)</f>
        <v>0</v>
      </c>
      <c r="H972" s="5" t="e">
        <f>SUMIF('[1]TrialBalance (YTD)'!G:G,B972,'[1]TrialBalance (YTD)'!H:H)</f>
        <v>#VALUE!</v>
      </c>
      <c r="I972" s="5">
        <f>IFERROR(INDEX('[1]TrialBalance (YTD)'!$G:$S,MATCH([1]TBMapping!$C974,'[1]TrialBalance (YTD)'!G:G,0),MATCH([1]TBMapping!J$3,'[1]TrialBalance (YTD)'!$G$7:$Z$7,0)),0)</f>
        <v>0</v>
      </c>
      <c r="K972" s="5" t="e">
        <f>SUMIF('[1]TrialBalance (Quarter)'!$A:$A,B972,'[1]TrialBalance (Quarter)'!$B:$B)</f>
        <v>#VALUE!</v>
      </c>
      <c r="L972" s="5">
        <f>IFERROR(INDEX('[1]TrialBalance (Quarter)'!$A:$L,MATCH([1]TBMapping!$C974,'[1]TrialBalance (Quarter)'!A:A,0),MATCH([1]TBMapping!M$3,'[1]TrialBalance (Quarter)'!$7:$7,0)),0)</f>
        <v>0</v>
      </c>
      <c r="M972" s="5">
        <f>IFERROR(INDEX('[1]TrialBalance (Quarter)'!$A:$L,MATCH([1]TBMapping!$C974,'[1]TrialBalance (Quarter)'!A:A,0),MATCH([1]TBMapping!N$3,'[1]TrialBalance (Quarter)'!$7:$7,0)),0)</f>
        <v>0</v>
      </c>
      <c r="N972" s="5">
        <f>IFERROR(INDEX('[1]TrialBalance (Quarter)'!$A:$L,MATCH([1]TBMapping!$C974,'[1]TrialBalance (Quarter)'!A:A,0),MATCH([1]TBMapping!O$3,'[1]TrialBalance (Quarter)'!$7:$7,0)),0)</f>
        <v>0</v>
      </c>
    </row>
    <row r="973" spans="1:14">
      <c r="A973" s="2">
        <v>19</v>
      </c>
      <c r="B973" s="3">
        <v>393526</v>
      </c>
      <c r="C973" s="11" t="s">
        <v>783</v>
      </c>
      <c r="D973" s="11" t="s">
        <v>11</v>
      </c>
      <c r="E973" s="11"/>
      <c r="F973" s="5" t="e">
        <f>IF(DataExtraction="Manual",SUMIF('[1]TrialBalance (YTD)'!$C:$C,B973,'[1]TrialBalance (YTD)'!$E:$E),SUMIF('[1]TrialBalance (YTD)'!$G:$G,B973,'[1]TrialBalance (YTD)'!$I:$I))</f>
        <v>#VALUE!</v>
      </c>
      <c r="G973" s="5">
        <f>IFERROR(INDEX('[1]TrialBalance (YTD)'!$G:$S,MATCH([1]TBMapping!$C975,'[1]TrialBalance (YTD)'!G:G,0),MATCH([1]TBMapping!H$3,'[1]TrialBalance (YTD)'!$G$7:$Z$7,0)),0)</f>
        <v>0</v>
      </c>
      <c r="H973" s="5" t="e">
        <f>SUMIF('[1]TrialBalance (YTD)'!G:G,B973,'[1]TrialBalance (YTD)'!H:H)</f>
        <v>#VALUE!</v>
      </c>
      <c r="I973" s="5">
        <f>IFERROR(INDEX('[1]TrialBalance (YTD)'!$G:$S,MATCH([1]TBMapping!$C975,'[1]TrialBalance (YTD)'!G:G,0),MATCH([1]TBMapping!J$3,'[1]TrialBalance (YTD)'!$G$7:$Z$7,0)),0)</f>
        <v>0</v>
      </c>
      <c r="K973" s="5" t="e">
        <f>SUMIF('[1]TrialBalance (Quarter)'!$A:$A,B973,'[1]TrialBalance (Quarter)'!$B:$B)</f>
        <v>#VALUE!</v>
      </c>
      <c r="L973" s="5">
        <f>IFERROR(INDEX('[1]TrialBalance (Quarter)'!$A:$L,MATCH([1]TBMapping!$C975,'[1]TrialBalance (Quarter)'!A:A,0),MATCH([1]TBMapping!M$3,'[1]TrialBalance (Quarter)'!$7:$7,0)),0)</f>
        <v>0</v>
      </c>
      <c r="M973" s="5">
        <f>IFERROR(INDEX('[1]TrialBalance (Quarter)'!$A:$L,MATCH([1]TBMapping!$C975,'[1]TrialBalance (Quarter)'!A:A,0),MATCH([1]TBMapping!N$3,'[1]TrialBalance (Quarter)'!$7:$7,0)),0)</f>
        <v>0</v>
      </c>
      <c r="N973" s="5">
        <f>IFERROR(INDEX('[1]TrialBalance (Quarter)'!$A:$L,MATCH([1]TBMapping!$C975,'[1]TrialBalance (Quarter)'!A:A,0),MATCH([1]TBMapping!O$3,'[1]TrialBalance (Quarter)'!$7:$7,0)),0)</f>
        <v>0</v>
      </c>
    </row>
    <row r="974" spans="1:14">
      <c r="A974" s="2">
        <v>19</v>
      </c>
      <c r="B974" s="3">
        <v>393527</v>
      </c>
      <c r="C974" s="10" t="s">
        <v>784</v>
      </c>
      <c r="D974" s="10" t="s">
        <v>11</v>
      </c>
      <c r="E974" s="10"/>
      <c r="F974" s="5" t="e">
        <f>IF(DataExtraction="Manual",SUMIF('[1]TrialBalance (YTD)'!$C:$C,B974,'[1]TrialBalance (YTD)'!$E:$E),SUMIF('[1]TrialBalance (YTD)'!$G:$G,B974,'[1]TrialBalance (YTD)'!$I:$I))</f>
        <v>#VALUE!</v>
      </c>
      <c r="G974" s="5">
        <f>IFERROR(INDEX('[1]TrialBalance (YTD)'!$G:$S,MATCH([1]TBMapping!$C976,'[1]TrialBalance (YTD)'!G:G,0),MATCH([1]TBMapping!H$3,'[1]TrialBalance (YTD)'!$G$7:$Z$7,0)),0)</f>
        <v>0</v>
      </c>
      <c r="H974" s="5" t="e">
        <f>SUMIF('[1]TrialBalance (YTD)'!G:G,B974,'[1]TrialBalance (YTD)'!H:H)</f>
        <v>#VALUE!</v>
      </c>
      <c r="I974" s="5">
        <f>IFERROR(INDEX('[1]TrialBalance (YTD)'!$G:$S,MATCH([1]TBMapping!$C976,'[1]TrialBalance (YTD)'!G:G,0),MATCH([1]TBMapping!J$3,'[1]TrialBalance (YTD)'!$G$7:$Z$7,0)),0)</f>
        <v>0</v>
      </c>
      <c r="K974" s="5" t="e">
        <f>SUMIF('[1]TrialBalance (Quarter)'!$A:$A,B974,'[1]TrialBalance (Quarter)'!$B:$B)</f>
        <v>#VALUE!</v>
      </c>
      <c r="L974" s="5">
        <f>IFERROR(INDEX('[1]TrialBalance (Quarter)'!$A:$L,MATCH([1]TBMapping!$C976,'[1]TrialBalance (Quarter)'!A:A,0),MATCH([1]TBMapping!M$3,'[1]TrialBalance (Quarter)'!$7:$7,0)),0)</f>
        <v>0</v>
      </c>
      <c r="M974" s="5">
        <f>IFERROR(INDEX('[1]TrialBalance (Quarter)'!$A:$L,MATCH([1]TBMapping!$C976,'[1]TrialBalance (Quarter)'!A:A,0),MATCH([1]TBMapping!N$3,'[1]TrialBalance (Quarter)'!$7:$7,0)),0)</f>
        <v>0</v>
      </c>
      <c r="N974" s="5">
        <f>IFERROR(INDEX('[1]TrialBalance (Quarter)'!$A:$L,MATCH([1]TBMapping!$C976,'[1]TrialBalance (Quarter)'!A:A,0),MATCH([1]TBMapping!O$3,'[1]TrialBalance (Quarter)'!$7:$7,0)),0)</f>
        <v>0</v>
      </c>
    </row>
    <row r="975" spans="1:14">
      <c r="A975" s="2">
        <v>19</v>
      </c>
      <c r="B975" s="3">
        <v>393528</v>
      </c>
      <c r="C975" s="11" t="s">
        <v>785</v>
      </c>
      <c r="D975" s="11" t="s">
        <v>11</v>
      </c>
      <c r="E975" s="11"/>
      <c r="F975" s="5" t="e">
        <f>IF(DataExtraction="Manual",SUMIF('[1]TrialBalance (YTD)'!$C:$C,B975,'[1]TrialBalance (YTD)'!$E:$E),SUMIF('[1]TrialBalance (YTD)'!$G:$G,B975,'[1]TrialBalance (YTD)'!$I:$I))</f>
        <v>#VALUE!</v>
      </c>
      <c r="G975" s="5">
        <f>IFERROR(INDEX('[1]TrialBalance (YTD)'!$G:$S,MATCH([1]TBMapping!$C977,'[1]TrialBalance (YTD)'!G:G,0),MATCH([1]TBMapping!H$3,'[1]TrialBalance (YTD)'!$G$7:$Z$7,0)),0)</f>
        <v>0</v>
      </c>
      <c r="H975" s="5" t="e">
        <f>SUMIF('[1]TrialBalance (YTD)'!G:G,B975,'[1]TrialBalance (YTD)'!H:H)</f>
        <v>#VALUE!</v>
      </c>
      <c r="I975" s="5">
        <f>IFERROR(INDEX('[1]TrialBalance (YTD)'!$G:$S,MATCH([1]TBMapping!$C977,'[1]TrialBalance (YTD)'!G:G,0),MATCH([1]TBMapping!J$3,'[1]TrialBalance (YTD)'!$G$7:$Z$7,0)),0)</f>
        <v>0</v>
      </c>
      <c r="K975" s="5" t="e">
        <f>SUMIF('[1]TrialBalance (Quarter)'!$A:$A,B975,'[1]TrialBalance (Quarter)'!$B:$B)</f>
        <v>#VALUE!</v>
      </c>
      <c r="L975" s="5">
        <f>IFERROR(INDEX('[1]TrialBalance (Quarter)'!$A:$L,MATCH([1]TBMapping!$C977,'[1]TrialBalance (Quarter)'!A:A,0),MATCH([1]TBMapping!M$3,'[1]TrialBalance (Quarter)'!$7:$7,0)),0)</f>
        <v>0</v>
      </c>
      <c r="M975" s="5">
        <f>IFERROR(INDEX('[1]TrialBalance (Quarter)'!$A:$L,MATCH([1]TBMapping!$C977,'[1]TrialBalance (Quarter)'!A:A,0),MATCH([1]TBMapping!N$3,'[1]TrialBalance (Quarter)'!$7:$7,0)),0)</f>
        <v>0</v>
      </c>
      <c r="N975" s="5">
        <f>IFERROR(INDEX('[1]TrialBalance (Quarter)'!$A:$L,MATCH([1]TBMapping!$C977,'[1]TrialBalance (Quarter)'!A:A,0),MATCH([1]TBMapping!O$3,'[1]TrialBalance (Quarter)'!$7:$7,0)),0)</f>
        <v>0</v>
      </c>
    </row>
    <row r="976" spans="1:14">
      <c r="A976" s="2">
        <v>19</v>
      </c>
      <c r="B976" s="3">
        <v>393529</v>
      </c>
      <c r="C976" s="10" t="s">
        <v>786</v>
      </c>
      <c r="D976" s="10" t="s">
        <v>11</v>
      </c>
      <c r="E976" s="10"/>
      <c r="F976" s="5" t="e">
        <f>IF(DataExtraction="Manual",SUMIF('[1]TrialBalance (YTD)'!$C:$C,B976,'[1]TrialBalance (YTD)'!$E:$E),SUMIF('[1]TrialBalance (YTD)'!$G:$G,B976,'[1]TrialBalance (YTD)'!$I:$I))</f>
        <v>#VALUE!</v>
      </c>
      <c r="G976" s="5">
        <f>IFERROR(INDEX('[1]TrialBalance (YTD)'!$G:$S,MATCH([1]TBMapping!$C978,'[1]TrialBalance (YTD)'!G:G,0),MATCH([1]TBMapping!H$3,'[1]TrialBalance (YTD)'!$G$7:$Z$7,0)),0)</f>
        <v>0</v>
      </c>
      <c r="H976" s="5" t="e">
        <f>SUMIF('[1]TrialBalance (YTD)'!G:G,B976,'[1]TrialBalance (YTD)'!H:H)</f>
        <v>#VALUE!</v>
      </c>
      <c r="I976" s="5">
        <f>IFERROR(INDEX('[1]TrialBalance (YTD)'!$G:$S,MATCH([1]TBMapping!$C978,'[1]TrialBalance (YTD)'!G:G,0),MATCH([1]TBMapping!J$3,'[1]TrialBalance (YTD)'!$G$7:$Z$7,0)),0)</f>
        <v>0</v>
      </c>
      <c r="K976" s="5" t="e">
        <f>SUMIF('[1]TrialBalance (Quarter)'!$A:$A,B976,'[1]TrialBalance (Quarter)'!$B:$B)</f>
        <v>#VALUE!</v>
      </c>
      <c r="L976" s="5">
        <f>IFERROR(INDEX('[1]TrialBalance (Quarter)'!$A:$L,MATCH([1]TBMapping!$C978,'[1]TrialBalance (Quarter)'!A:A,0),MATCH([1]TBMapping!M$3,'[1]TrialBalance (Quarter)'!$7:$7,0)),0)</f>
        <v>0</v>
      </c>
      <c r="M976" s="5">
        <f>IFERROR(INDEX('[1]TrialBalance (Quarter)'!$A:$L,MATCH([1]TBMapping!$C978,'[1]TrialBalance (Quarter)'!A:A,0),MATCH([1]TBMapping!N$3,'[1]TrialBalance (Quarter)'!$7:$7,0)),0)</f>
        <v>0</v>
      </c>
      <c r="N976" s="5">
        <f>IFERROR(INDEX('[1]TrialBalance (Quarter)'!$A:$L,MATCH([1]TBMapping!$C978,'[1]TrialBalance (Quarter)'!A:A,0),MATCH([1]TBMapping!O$3,'[1]TrialBalance (Quarter)'!$7:$7,0)),0)</f>
        <v>0</v>
      </c>
    </row>
    <row r="977" spans="1:14">
      <c r="A977" s="2">
        <v>19</v>
      </c>
      <c r="B977" s="3">
        <v>393530</v>
      </c>
      <c r="C977" s="11" t="s">
        <v>787</v>
      </c>
      <c r="D977" s="11" t="s">
        <v>11</v>
      </c>
      <c r="E977" s="11"/>
      <c r="F977" s="5" t="e">
        <f>IF(DataExtraction="Manual",SUMIF('[1]TrialBalance (YTD)'!$C:$C,B977,'[1]TrialBalance (YTD)'!$E:$E),SUMIF('[1]TrialBalance (YTD)'!$G:$G,B977,'[1]TrialBalance (YTD)'!$I:$I))</f>
        <v>#VALUE!</v>
      </c>
      <c r="G977" s="5">
        <f>IFERROR(INDEX('[1]TrialBalance (YTD)'!$G:$S,MATCH([1]TBMapping!$C979,'[1]TrialBalance (YTD)'!G:G,0),MATCH([1]TBMapping!H$3,'[1]TrialBalance (YTD)'!$G$7:$Z$7,0)),0)</f>
        <v>0</v>
      </c>
      <c r="H977" s="5" t="e">
        <f>SUMIF('[1]TrialBalance (YTD)'!G:G,B977,'[1]TrialBalance (YTD)'!H:H)</f>
        <v>#VALUE!</v>
      </c>
      <c r="I977" s="5">
        <f>IFERROR(INDEX('[1]TrialBalance (YTD)'!$G:$S,MATCH([1]TBMapping!$C979,'[1]TrialBalance (YTD)'!G:G,0),MATCH([1]TBMapping!J$3,'[1]TrialBalance (YTD)'!$G$7:$Z$7,0)),0)</f>
        <v>0</v>
      </c>
      <c r="K977" s="5" t="e">
        <f>SUMIF('[1]TrialBalance (Quarter)'!$A:$A,B977,'[1]TrialBalance (Quarter)'!$B:$B)</f>
        <v>#VALUE!</v>
      </c>
      <c r="L977" s="5">
        <f>IFERROR(INDEX('[1]TrialBalance (Quarter)'!$A:$L,MATCH([1]TBMapping!$C979,'[1]TrialBalance (Quarter)'!A:A,0),MATCH([1]TBMapping!M$3,'[1]TrialBalance (Quarter)'!$7:$7,0)),0)</f>
        <v>0</v>
      </c>
      <c r="M977" s="5">
        <f>IFERROR(INDEX('[1]TrialBalance (Quarter)'!$A:$L,MATCH([1]TBMapping!$C979,'[1]TrialBalance (Quarter)'!A:A,0),MATCH([1]TBMapping!N$3,'[1]TrialBalance (Quarter)'!$7:$7,0)),0)</f>
        <v>0</v>
      </c>
      <c r="N977" s="5">
        <f>IFERROR(INDEX('[1]TrialBalance (Quarter)'!$A:$L,MATCH([1]TBMapping!$C979,'[1]TrialBalance (Quarter)'!A:A,0),MATCH([1]TBMapping!O$3,'[1]TrialBalance (Quarter)'!$7:$7,0)),0)</f>
        <v>0</v>
      </c>
    </row>
    <row r="978" spans="1:14">
      <c r="A978" s="2">
        <v>19</v>
      </c>
      <c r="B978" s="3">
        <v>393531</v>
      </c>
      <c r="C978" s="10" t="s">
        <v>788</v>
      </c>
      <c r="D978" s="10" t="s">
        <v>11</v>
      </c>
      <c r="E978" s="10"/>
      <c r="F978" s="5" t="e">
        <f>IF(DataExtraction="Manual",SUMIF('[1]TrialBalance (YTD)'!$C:$C,B978,'[1]TrialBalance (YTD)'!$E:$E),SUMIF('[1]TrialBalance (YTD)'!$G:$G,B978,'[1]TrialBalance (YTD)'!$I:$I))</f>
        <v>#VALUE!</v>
      </c>
      <c r="G978" s="5">
        <f>IFERROR(INDEX('[1]TrialBalance (YTD)'!$G:$S,MATCH([1]TBMapping!$C980,'[1]TrialBalance (YTD)'!G:G,0),MATCH([1]TBMapping!H$3,'[1]TrialBalance (YTD)'!$G$7:$Z$7,0)),0)</f>
        <v>0</v>
      </c>
      <c r="H978" s="5" t="e">
        <f>SUMIF('[1]TrialBalance (YTD)'!G:G,B978,'[1]TrialBalance (YTD)'!H:H)</f>
        <v>#VALUE!</v>
      </c>
      <c r="I978" s="5">
        <f>IFERROR(INDEX('[1]TrialBalance (YTD)'!$G:$S,MATCH([1]TBMapping!$C980,'[1]TrialBalance (YTD)'!G:G,0),MATCH([1]TBMapping!J$3,'[1]TrialBalance (YTD)'!$G$7:$Z$7,0)),0)</f>
        <v>0</v>
      </c>
      <c r="K978" s="5" t="e">
        <f>SUMIF('[1]TrialBalance (Quarter)'!$A:$A,B978,'[1]TrialBalance (Quarter)'!$B:$B)</f>
        <v>#VALUE!</v>
      </c>
      <c r="L978" s="5">
        <f>IFERROR(INDEX('[1]TrialBalance (Quarter)'!$A:$L,MATCH([1]TBMapping!$C980,'[1]TrialBalance (Quarter)'!A:A,0),MATCH([1]TBMapping!M$3,'[1]TrialBalance (Quarter)'!$7:$7,0)),0)</f>
        <v>0</v>
      </c>
      <c r="M978" s="5">
        <f>IFERROR(INDEX('[1]TrialBalance (Quarter)'!$A:$L,MATCH([1]TBMapping!$C980,'[1]TrialBalance (Quarter)'!A:A,0),MATCH([1]TBMapping!N$3,'[1]TrialBalance (Quarter)'!$7:$7,0)),0)</f>
        <v>0</v>
      </c>
      <c r="N978" s="5">
        <f>IFERROR(INDEX('[1]TrialBalance (Quarter)'!$A:$L,MATCH([1]TBMapping!$C980,'[1]TrialBalance (Quarter)'!A:A,0),MATCH([1]TBMapping!O$3,'[1]TrialBalance (Quarter)'!$7:$7,0)),0)</f>
        <v>0</v>
      </c>
    </row>
    <row r="979" spans="1:14">
      <c r="A979" s="2">
        <v>19</v>
      </c>
      <c r="B979" s="3">
        <v>393532</v>
      </c>
      <c r="C979" s="11" t="s">
        <v>789</v>
      </c>
      <c r="D979" s="11" t="s">
        <v>11</v>
      </c>
      <c r="E979" s="11"/>
      <c r="F979" s="5" t="e">
        <f>IF(DataExtraction="Manual",SUMIF('[1]TrialBalance (YTD)'!$C:$C,B979,'[1]TrialBalance (YTD)'!$E:$E),SUMIF('[1]TrialBalance (YTD)'!$G:$G,B979,'[1]TrialBalance (YTD)'!$I:$I))</f>
        <v>#VALUE!</v>
      </c>
      <c r="G979" s="5">
        <f>IFERROR(INDEX('[1]TrialBalance (YTD)'!$G:$S,MATCH([1]TBMapping!$C981,'[1]TrialBalance (YTD)'!G:G,0),MATCH([1]TBMapping!H$3,'[1]TrialBalance (YTD)'!$G$7:$Z$7,0)),0)</f>
        <v>0</v>
      </c>
      <c r="H979" s="5" t="e">
        <f>SUMIF('[1]TrialBalance (YTD)'!G:G,B979,'[1]TrialBalance (YTD)'!H:H)</f>
        <v>#VALUE!</v>
      </c>
      <c r="I979" s="5">
        <f>IFERROR(INDEX('[1]TrialBalance (YTD)'!$G:$S,MATCH([1]TBMapping!$C981,'[1]TrialBalance (YTD)'!G:G,0),MATCH([1]TBMapping!J$3,'[1]TrialBalance (YTD)'!$G$7:$Z$7,0)),0)</f>
        <v>0</v>
      </c>
      <c r="K979" s="5" t="e">
        <f>SUMIF('[1]TrialBalance (Quarter)'!$A:$A,B979,'[1]TrialBalance (Quarter)'!$B:$B)</f>
        <v>#VALUE!</v>
      </c>
      <c r="L979" s="5">
        <f>IFERROR(INDEX('[1]TrialBalance (Quarter)'!$A:$L,MATCH([1]TBMapping!$C981,'[1]TrialBalance (Quarter)'!A:A,0),MATCH([1]TBMapping!M$3,'[1]TrialBalance (Quarter)'!$7:$7,0)),0)</f>
        <v>0</v>
      </c>
      <c r="M979" s="5">
        <f>IFERROR(INDEX('[1]TrialBalance (Quarter)'!$A:$L,MATCH([1]TBMapping!$C981,'[1]TrialBalance (Quarter)'!A:A,0),MATCH([1]TBMapping!N$3,'[1]TrialBalance (Quarter)'!$7:$7,0)),0)</f>
        <v>0</v>
      </c>
      <c r="N979" s="5">
        <f>IFERROR(INDEX('[1]TrialBalance (Quarter)'!$A:$L,MATCH([1]TBMapping!$C981,'[1]TrialBalance (Quarter)'!A:A,0),MATCH([1]TBMapping!O$3,'[1]TrialBalance (Quarter)'!$7:$7,0)),0)</f>
        <v>0</v>
      </c>
    </row>
    <row r="980" spans="1:14">
      <c r="A980" s="2">
        <v>19</v>
      </c>
      <c r="B980" s="3">
        <v>393533</v>
      </c>
      <c r="C980" s="10" t="s">
        <v>790</v>
      </c>
      <c r="D980" s="10" t="s">
        <v>11</v>
      </c>
      <c r="E980" s="10"/>
      <c r="F980" s="5" t="e">
        <f>IF(DataExtraction="Manual",SUMIF('[1]TrialBalance (YTD)'!$C:$C,B980,'[1]TrialBalance (YTD)'!$E:$E),SUMIF('[1]TrialBalance (YTD)'!$G:$G,B980,'[1]TrialBalance (YTD)'!$I:$I))</f>
        <v>#VALUE!</v>
      </c>
      <c r="G980" s="5">
        <f>IFERROR(INDEX('[1]TrialBalance (YTD)'!$G:$S,MATCH([1]TBMapping!$C982,'[1]TrialBalance (YTD)'!G:G,0),MATCH([1]TBMapping!H$3,'[1]TrialBalance (YTD)'!$G$7:$Z$7,0)),0)</f>
        <v>0</v>
      </c>
      <c r="H980" s="5" t="e">
        <f>SUMIF('[1]TrialBalance (YTD)'!G:G,B980,'[1]TrialBalance (YTD)'!H:H)</f>
        <v>#VALUE!</v>
      </c>
      <c r="I980" s="5">
        <f>IFERROR(INDEX('[1]TrialBalance (YTD)'!$G:$S,MATCH([1]TBMapping!$C982,'[1]TrialBalance (YTD)'!G:G,0),MATCH([1]TBMapping!J$3,'[1]TrialBalance (YTD)'!$G$7:$Z$7,0)),0)</f>
        <v>0</v>
      </c>
      <c r="K980" s="5" t="e">
        <f>SUMIF('[1]TrialBalance (Quarter)'!$A:$A,B980,'[1]TrialBalance (Quarter)'!$B:$B)</f>
        <v>#VALUE!</v>
      </c>
      <c r="L980" s="5">
        <f>IFERROR(INDEX('[1]TrialBalance (Quarter)'!$A:$L,MATCH([1]TBMapping!$C982,'[1]TrialBalance (Quarter)'!A:A,0),MATCH([1]TBMapping!M$3,'[1]TrialBalance (Quarter)'!$7:$7,0)),0)</f>
        <v>0</v>
      </c>
      <c r="M980" s="5">
        <f>IFERROR(INDEX('[1]TrialBalance (Quarter)'!$A:$L,MATCH([1]TBMapping!$C982,'[1]TrialBalance (Quarter)'!A:A,0),MATCH([1]TBMapping!N$3,'[1]TrialBalance (Quarter)'!$7:$7,0)),0)</f>
        <v>0</v>
      </c>
      <c r="N980" s="5">
        <f>IFERROR(INDEX('[1]TrialBalance (Quarter)'!$A:$L,MATCH([1]TBMapping!$C982,'[1]TrialBalance (Quarter)'!A:A,0),MATCH([1]TBMapping!O$3,'[1]TrialBalance (Quarter)'!$7:$7,0)),0)</f>
        <v>0</v>
      </c>
    </row>
    <row r="981" spans="1:14">
      <c r="A981" s="2">
        <v>19</v>
      </c>
      <c r="B981" s="3">
        <v>393534</v>
      </c>
      <c r="C981" s="11" t="s">
        <v>791</v>
      </c>
      <c r="D981" s="11" t="s">
        <v>11</v>
      </c>
      <c r="E981" s="11"/>
      <c r="F981" s="5" t="e">
        <f>IF(DataExtraction="Manual",SUMIF('[1]TrialBalance (YTD)'!$C:$C,B981,'[1]TrialBalance (YTD)'!$E:$E),SUMIF('[1]TrialBalance (YTD)'!$G:$G,B981,'[1]TrialBalance (YTD)'!$I:$I))</f>
        <v>#VALUE!</v>
      </c>
      <c r="G981" s="5">
        <f>IFERROR(INDEX('[1]TrialBalance (YTD)'!$G:$S,MATCH([1]TBMapping!$C983,'[1]TrialBalance (YTD)'!G:G,0),MATCH([1]TBMapping!H$3,'[1]TrialBalance (YTD)'!$G$7:$Z$7,0)),0)</f>
        <v>0</v>
      </c>
      <c r="H981" s="5" t="e">
        <f>SUMIF('[1]TrialBalance (YTD)'!G:G,B981,'[1]TrialBalance (YTD)'!H:H)</f>
        <v>#VALUE!</v>
      </c>
      <c r="I981" s="5">
        <f>IFERROR(INDEX('[1]TrialBalance (YTD)'!$G:$S,MATCH([1]TBMapping!$C983,'[1]TrialBalance (YTD)'!G:G,0),MATCH([1]TBMapping!J$3,'[1]TrialBalance (YTD)'!$G$7:$Z$7,0)),0)</f>
        <v>0</v>
      </c>
      <c r="K981" s="5" t="e">
        <f>SUMIF('[1]TrialBalance (Quarter)'!$A:$A,B981,'[1]TrialBalance (Quarter)'!$B:$B)</f>
        <v>#VALUE!</v>
      </c>
      <c r="L981" s="5">
        <f>IFERROR(INDEX('[1]TrialBalance (Quarter)'!$A:$L,MATCH([1]TBMapping!$C983,'[1]TrialBalance (Quarter)'!A:A,0),MATCH([1]TBMapping!M$3,'[1]TrialBalance (Quarter)'!$7:$7,0)),0)</f>
        <v>0</v>
      </c>
      <c r="M981" s="5">
        <f>IFERROR(INDEX('[1]TrialBalance (Quarter)'!$A:$L,MATCH([1]TBMapping!$C983,'[1]TrialBalance (Quarter)'!A:A,0),MATCH([1]TBMapping!N$3,'[1]TrialBalance (Quarter)'!$7:$7,0)),0)</f>
        <v>0</v>
      </c>
      <c r="N981" s="5">
        <f>IFERROR(INDEX('[1]TrialBalance (Quarter)'!$A:$L,MATCH([1]TBMapping!$C983,'[1]TrialBalance (Quarter)'!A:A,0),MATCH([1]TBMapping!O$3,'[1]TrialBalance (Quarter)'!$7:$7,0)),0)</f>
        <v>0</v>
      </c>
    </row>
    <row r="982" spans="1:14">
      <c r="A982" s="2">
        <v>19</v>
      </c>
      <c r="B982" s="3">
        <v>393535</v>
      </c>
      <c r="C982" s="10" t="s">
        <v>792</v>
      </c>
      <c r="D982" s="10" t="s">
        <v>11</v>
      </c>
      <c r="E982" s="10"/>
      <c r="F982" s="5" t="e">
        <f>IF(DataExtraction="Manual",SUMIF('[1]TrialBalance (YTD)'!$C:$C,B982,'[1]TrialBalance (YTD)'!$E:$E),SUMIF('[1]TrialBalance (YTD)'!$G:$G,B982,'[1]TrialBalance (YTD)'!$I:$I))</f>
        <v>#VALUE!</v>
      </c>
      <c r="G982" s="5">
        <f>IFERROR(INDEX('[1]TrialBalance (YTD)'!$G:$S,MATCH([1]TBMapping!$C984,'[1]TrialBalance (YTD)'!G:G,0),MATCH([1]TBMapping!H$3,'[1]TrialBalance (YTD)'!$G$7:$Z$7,0)),0)</f>
        <v>0</v>
      </c>
      <c r="H982" s="5" t="e">
        <f>SUMIF('[1]TrialBalance (YTD)'!G:G,B982,'[1]TrialBalance (YTD)'!H:H)</f>
        <v>#VALUE!</v>
      </c>
      <c r="I982" s="5">
        <f>IFERROR(INDEX('[1]TrialBalance (YTD)'!$G:$S,MATCH([1]TBMapping!$C984,'[1]TrialBalance (YTD)'!G:G,0),MATCH([1]TBMapping!J$3,'[1]TrialBalance (YTD)'!$G$7:$Z$7,0)),0)</f>
        <v>0</v>
      </c>
      <c r="K982" s="5" t="e">
        <f>SUMIF('[1]TrialBalance (Quarter)'!$A:$A,B982,'[1]TrialBalance (Quarter)'!$B:$B)</f>
        <v>#VALUE!</v>
      </c>
      <c r="L982" s="5">
        <f>IFERROR(INDEX('[1]TrialBalance (Quarter)'!$A:$L,MATCH([1]TBMapping!$C984,'[1]TrialBalance (Quarter)'!A:A,0),MATCH([1]TBMapping!M$3,'[1]TrialBalance (Quarter)'!$7:$7,0)),0)</f>
        <v>0</v>
      </c>
      <c r="M982" s="5">
        <f>IFERROR(INDEX('[1]TrialBalance (Quarter)'!$A:$L,MATCH([1]TBMapping!$C984,'[1]TrialBalance (Quarter)'!A:A,0),MATCH([1]TBMapping!N$3,'[1]TrialBalance (Quarter)'!$7:$7,0)),0)</f>
        <v>0</v>
      </c>
      <c r="N982" s="5">
        <f>IFERROR(INDEX('[1]TrialBalance (Quarter)'!$A:$L,MATCH([1]TBMapping!$C984,'[1]TrialBalance (Quarter)'!A:A,0),MATCH([1]TBMapping!O$3,'[1]TrialBalance (Quarter)'!$7:$7,0)),0)</f>
        <v>0</v>
      </c>
    </row>
    <row r="983" spans="1:14">
      <c r="A983" s="2">
        <v>19</v>
      </c>
      <c r="B983" s="3">
        <v>393536</v>
      </c>
      <c r="C983" s="11" t="s">
        <v>793</v>
      </c>
      <c r="D983" s="11" t="s">
        <v>11</v>
      </c>
      <c r="E983" s="11"/>
      <c r="F983" s="5" t="e">
        <f>IF(DataExtraction="Manual",SUMIF('[1]TrialBalance (YTD)'!$C:$C,B983,'[1]TrialBalance (YTD)'!$E:$E),SUMIF('[1]TrialBalance (YTD)'!$G:$G,B983,'[1]TrialBalance (YTD)'!$I:$I))</f>
        <v>#VALUE!</v>
      </c>
      <c r="G983" s="5">
        <f>IFERROR(INDEX('[1]TrialBalance (YTD)'!$G:$S,MATCH([1]TBMapping!$C985,'[1]TrialBalance (YTD)'!G:G,0),MATCH([1]TBMapping!H$3,'[1]TrialBalance (YTD)'!$G$7:$Z$7,0)),0)</f>
        <v>0</v>
      </c>
      <c r="H983" s="5" t="e">
        <f>SUMIF('[1]TrialBalance (YTD)'!G:G,B983,'[1]TrialBalance (YTD)'!H:H)</f>
        <v>#VALUE!</v>
      </c>
      <c r="I983" s="5">
        <f>IFERROR(INDEX('[1]TrialBalance (YTD)'!$G:$S,MATCH([1]TBMapping!$C985,'[1]TrialBalance (YTD)'!G:G,0),MATCH([1]TBMapping!J$3,'[1]TrialBalance (YTD)'!$G$7:$Z$7,0)),0)</f>
        <v>0</v>
      </c>
      <c r="K983" s="5" t="e">
        <f>SUMIF('[1]TrialBalance (Quarter)'!$A:$A,B983,'[1]TrialBalance (Quarter)'!$B:$B)</f>
        <v>#VALUE!</v>
      </c>
      <c r="L983" s="5">
        <f>IFERROR(INDEX('[1]TrialBalance (Quarter)'!$A:$L,MATCH([1]TBMapping!$C985,'[1]TrialBalance (Quarter)'!A:A,0),MATCH([1]TBMapping!M$3,'[1]TrialBalance (Quarter)'!$7:$7,0)),0)</f>
        <v>0</v>
      </c>
      <c r="M983" s="5">
        <f>IFERROR(INDEX('[1]TrialBalance (Quarter)'!$A:$L,MATCH([1]TBMapping!$C985,'[1]TrialBalance (Quarter)'!A:A,0),MATCH([1]TBMapping!N$3,'[1]TrialBalance (Quarter)'!$7:$7,0)),0)</f>
        <v>0</v>
      </c>
      <c r="N983" s="5">
        <f>IFERROR(INDEX('[1]TrialBalance (Quarter)'!$A:$L,MATCH([1]TBMapping!$C985,'[1]TrialBalance (Quarter)'!A:A,0),MATCH([1]TBMapping!O$3,'[1]TrialBalance (Quarter)'!$7:$7,0)),0)</f>
        <v>0</v>
      </c>
    </row>
    <row r="984" spans="1:14">
      <c r="A984" s="2">
        <v>19</v>
      </c>
      <c r="B984" s="3">
        <v>393537</v>
      </c>
      <c r="C984" s="10" t="s">
        <v>794</v>
      </c>
      <c r="D984" s="10" t="s">
        <v>11</v>
      </c>
      <c r="E984" s="10"/>
      <c r="F984" s="5" t="e">
        <f>IF(DataExtraction="Manual",SUMIF('[1]TrialBalance (YTD)'!$C:$C,B984,'[1]TrialBalance (YTD)'!$E:$E),SUMIF('[1]TrialBalance (YTD)'!$G:$G,B984,'[1]TrialBalance (YTD)'!$I:$I))</f>
        <v>#VALUE!</v>
      </c>
      <c r="G984" s="5">
        <f>IFERROR(INDEX('[1]TrialBalance (YTD)'!$G:$S,MATCH([1]TBMapping!$C986,'[1]TrialBalance (YTD)'!G:G,0),MATCH([1]TBMapping!H$3,'[1]TrialBalance (YTD)'!$G$7:$Z$7,0)),0)</f>
        <v>0</v>
      </c>
      <c r="H984" s="5" t="e">
        <f>SUMIF('[1]TrialBalance (YTD)'!G:G,B984,'[1]TrialBalance (YTD)'!H:H)</f>
        <v>#VALUE!</v>
      </c>
      <c r="I984" s="5">
        <f>IFERROR(INDEX('[1]TrialBalance (YTD)'!$G:$S,MATCH([1]TBMapping!$C986,'[1]TrialBalance (YTD)'!G:G,0),MATCH([1]TBMapping!J$3,'[1]TrialBalance (YTD)'!$G$7:$Z$7,0)),0)</f>
        <v>0</v>
      </c>
      <c r="K984" s="5" t="e">
        <f>SUMIF('[1]TrialBalance (Quarter)'!$A:$A,B984,'[1]TrialBalance (Quarter)'!$B:$B)</f>
        <v>#VALUE!</v>
      </c>
      <c r="L984" s="5">
        <f>IFERROR(INDEX('[1]TrialBalance (Quarter)'!$A:$L,MATCH([1]TBMapping!$C986,'[1]TrialBalance (Quarter)'!A:A,0),MATCH([1]TBMapping!M$3,'[1]TrialBalance (Quarter)'!$7:$7,0)),0)</f>
        <v>0</v>
      </c>
      <c r="M984" s="5">
        <f>IFERROR(INDEX('[1]TrialBalance (Quarter)'!$A:$L,MATCH([1]TBMapping!$C986,'[1]TrialBalance (Quarter)'!A:A,0),MATCH([1]TBMapping!N$3,'[1]TrialBalance (Quarter)'!$7:$7,0)),0)</f>
        <v>0</v>
      </c>
      <c r="N984" s="5">
        <f>IFERROR(INDEX('[1]TrialBalance (Quarter)'!$A:$L,MATCH([1]TBMapping!$C986,'[1]TrialBalance (Quarter)'!A:A,0),MATCH([1]TBMapping!O$3,'[1]TrialBalance (Quarter)'!$7:$7,0)),0)</f>
        <v>0</v>
      </c>
    </row>
    <row r="985" spans="1:14">
      <c r="A985" s="2">
        <v>19</v>
      </c>
      <c r="B985" s="3">
        <v>393538</v>
      </c>
      <c r="C985" s="11" t="s">
        <v>795</v>
      </c>
      <c r="D985" s="11" t="s">
        <v>11</v>
      </c>
      <c r="E985" s="11"/>
      <c r="F985" s="5" t="e">
        <f>IF(DataExtraction="Manual",SUMIF('[1]TrialBalance (YTD)'!$C:$C,B985,'[1]TrialBalance (YTD)'!$E:$E),SUMIF('[1]TrialBalance (YTD)'!$G:$G,B985,'[1]TrialBalance (YTD)'!$I:$I))</f>
        <v>#VALUE!</v>
      </c>
      <c r="G985" s="5">
        <f>IFERROR(INDEX('[1]TrialBalance (YTD)'!$G:$S,MATCH([1]TBMapping!$C987,'[1]TrialBalance (YTD)'!G:G,0),MATCH([1]TBMapping!H$3,'[1]TrialBalance (YTD)'!$G$7:$Z$7,0)),0)</f>
        <v>0</v>
      </c>
      <c r="H985" s="5" t="e">
        <f>SUMIF('[1]TrialBalance (YTD)'!G:G,B985,'[1]TrialBalance (YTD)'!H:H)</f>
        <v>#VALUE!</v>
      </c>
      <c r="I985" s="5">
        <f>IFERROR(INDEX('[1]TrialBalance (YTD)'!$G:$S,MATCH([1]TBMapping!$C987,'[1]TrialBalance (YTD)'!G:G,0),MATCH([1]TBMapping!J$3,'[1]TrialBalance (YTD)'!$G$7:$Z$7,0)),0)</f>
        <v>0</v>
      </c>
      <c r="K985" s="5" t="e">
        <f>SUMIF('[1]TrialBalance (Quarter)'!$A:$A,B985,'[1]TrialBalance (Quarter)'!$B:$B)</f>
        <v>#VALUE!</v>
      </c>
      <c r="L985" s="5">
        <f>IFERROR(INDEX('[1]TrialBalance (Quarter)'!$A:$L,MATCH([1]TBMapping!$C987,'[1]TrialBalance (Quarter)'!A:A,0),MATCH([1]TBMapping!M$3,'[1]TrialBalance (Quarter)'!$7:$7,0)),0)</f>
        <v>0</v>
      </c>
      <c r="M985" s="5">
        <f>IFERROR(INDEX('[1]TrialBalance (Quarter)'!$A:$L,MATCH([1]TBMapping!$C987,'[1]TrialBalance (Quarter)'!A:A,0),MATCH([1]TBMapping!N$3,'[1]TrialBalance (Quarter)'!$7:$7,0)),0)</f>
        <v>0</v>
      </c>
      <c r="N985" s="5">
        <f>IFERROR(INDEX('[1]TrialBalance (Quarter)'!$A:$L,MATCH([1]TBMapping!$C987,'[1]TrialBalance (Quarter)'!A:A,0),MATCH([1]TBMapping!O$3,'[1]TrialBalance (Quarter)'!$7:$7,0)),0)</f>
        <v>0</v>
      </c>
    </row>
    <row r="986" spans="1:14">
      <c r="A986" s="2">
        <v>19</v>
      </c>
      <c r="B986" s="3">
        <v>393539</v>
      </c>
      <c r="C986" s="10" t="s">
        <v>796</v>
      </c>
      <c r="D986" s="10" t="s">
        <v>11</v>
      </c>
      <c r="E986" s="10"/>
      <c r="F986" s="5" t="e">
        <f>IF(DataExtraction="Manual",SUMIF('[1]TrialBalance (YTD)'!$C:$C,B986,'[1]TrialBalance (YTD)'!$E:$E),SUMIF('[1]TrialBalance (YTD)'!$G:$G,B986,'[1]TrialBalance (YTD)'!$I:$I))</f>
        <v>#VALUE!</v>
      </c>
      <c r="G986" s="5">
        <f>IFERROR(INDEX('[1]TrialBalance (YTD)'!$G:$S,MATCH([1]TBMapping!$C988,'[1]TrialBalance (YTD)'!G:G,0),MATCH([1]TBMapping!H$3,'[1]TrialBalance (YTD)'!$G$7:$Z$7,0)),0)</f>
        <v>0</v>
      </c>
      <c r="H986" s="5" t="e">
        <f>SUMIF('[1]TrialBalance (YTD)'!G:G,B986,'[1]TrialBalance (YTD)'!H:H)</f>
        <v>#VALUE!</v>
      </c>
      <c r="I986" s="5">
        <f>IFERROR(INDEX('[1]TrialBalance (YTD)'!$G:$S,MATCH([1]TBMapping!$C988,'[1]TrialBalance (YTD)'!G:G,0),MATCH([1]TBMapping!J$3,'[1]TrialBalance (YTD)'!$G$7:$Z$7,0)),0)</f>
        <v>0</v>
      </c>
      <c r="K986" s="5" t="e">
        <f>SUMIF('[1]TrialBalance (Quarter)'!$A:$A,B986,'[1]TrialBalance (Quarter)'!$B:$B)</f>
        <v>#VALUE!</v>
      </c>
      <c r="L986" s="5">
        <f>IFERROR(INDEX('[1]TrialBalance (Quarter)'!$A:$L,MATCH([1]TBMapping!$C988,'[1]TrialBalance (Quarter)'!A:A,0),MATCH([1]TBMapping!M$3,'[1]TrialBalance (Quarter)'!$7:$7,0)),0)</f>
        <v>0</v>
      </c>
      <c r="M986" s="5">
        <f>IFERROR(INDEX('[1]TrialBalance (Quarter)'!$A:$L,MATCH([1]TBMapping!$C988,'[1]TrialBalance (Quarter)'!A:A,0),MATCH([1]TBMapping!N$3,'[1]TrialBalance (Quarter)'!$7:$7,0)),0)</f>
        <v>0</v>
      </c>
      <c r="N986" s="5">
        <f>IFERROR(INDEX('[1]TrialBalance (Quarter)'!$A:$L,MATCH([1]TBMapping!$C988,'[1]TrialBalance (Quarter)'!A:A,0),MATCH([1]TBMapping!O$3,'[1]TrialBalance (Quarter)'!$7:$7,0)),0)</f>
        <v>0</v>
      </c>
    </row>
    <row r="987" spans="1:14">
      <c r="A987" s="2">
        <v>19</v>
      </c>
      <c r="B987" s="3">
        <v>393540</v>
      </c>
      <c r="C987" s="11" t="s">
        <v>797</v>
      </c>
      <c r="D987" s="11" t="s">
        <v>11</v>
      </c>
      <c r="E987" s="11"/>
      <c r="F987" s="5" t="e">
        <f>IF(DataExtraction="Manual",SUMIF('[1]TrialBalance (YTD)'!$C:$C,B987,'[1]TrialBalance (YTD)'!$E:$E),SUMIF('[1]TrialBalance (YTD)'!$G:$G,B987,'[1]TrialBalance (YTD)'!$I:$I))</f>
        <v>#VALUE!</v>
      </c>
      <c r="G987" s="5">
        <f>IFERROR(INDEX('[1]TrialBalance (YTD)'!$G:$S,MATCH([1]TBMapping!$C989,'[1]TrialBalance (YTD)'!G:G,0),MATCH([1]TBMapping!H$3,'[1]TrialBalance (YTD)'!$G$7:$Z$7,0)),0)</f>
        <v>0</v>
      </c>
      <c r="H987" s="5" t="e">
        <f>SUMIF('[1]TrialBalance (YTD)'!G:G,B987,'[1]TrialBalance (YTD)'!H:H)</f>
        <v>#VALUE!</v>
      </c>
      <c r="I987" s="5">
        <f>IFERROR(INDEX('[1]TrialBalance (YTD)'!$G:$S,MATCH([1]TBMapping!$C989,'[1]TrialBalance (YTD)'!G:G,0),MATCH([1]TBMapping!J$3,'[1]TrialBalance (YTD)'!$G$7:$Z$7,0)),0)</f>
        <v>0</v>
      </c>
      <c r="K987" s="5" t="e">
        <f>SUMIF('[1]TrialBalance (Quarter)'!$A:$A,B987,'[1]TrialBalance (Quarter)'!$B:$B)</f>
        <v>#VALUE!</v>
      </c>
      <c r="L987" s="5">
        <f>IFERROR(INDEX('[1]TrialBalance (Quarter)'!$A:$L,MATCH([1]TBMapping!$C989,'[1]TrialBalance (Quarter)'!A:A,0),MATCH([1]TBMapping!M$3,'[1]TrialBalance (Quarter)'!$7:$7,0)),0)</f>
        <v>0</v>
      </c>
      <c r="M987" s="5">
        <f>IFERROR(INDEX('[1]TrialBalance (Quarter)'!$A:$L,MATCH([1]TBMapping!$C989,'[1]TrialBalance (Quarter)'!A:A,0),MATCH([1]TBMapping!N$3,'[1]TrialBalance (Quarter)'!$7:$7,0)),0)</f>
        <v>0</v>
      </c>
      <c r="N987" s="5">
        <f>IFERROR(INDEX('[1]TrialBalance (Quarter)'!$A:$L,MATCH([1]TBMapping!$C989,'[1]TrialBalance (Quarter)'!A:A,0),MATCH([1]TBMapping!O$3,'[1]TrialBalance (Quarter)'!$7:$7,0)),0)</f>
        <v>0</v>
      </c>
    </row>
    <row r="988" spans="1:14">
      <c r="A988" s="2">
        <v>19</v>
      </c>
      <c r="B988" s="3">
        <v>393541</v>
      </c>
      <c r="C988" s="10" t="s">
        <v>798</v>
      </c>
      <c r="D988" s="10" t="s">
        <v>11</v>
      </c>
      <c r="E988" s="10"/>
      <c r="F988" s="5" t="e">
        <f>IF(DataExtraction="Manual",SUMIF('[1]TrialBalance (YTD)'!$C:$C,B988,'[1]TrialBalance (YTD)'!$E:$E),SUMIF('[1]TrialBalance (YTD)'!$G:$G,B988,'[1]TrialBalance (YTD)'!$I:$I))</f>
        <v>#VALUE!</v>
      </c>
      <c r="G988" s="5">
        <f>IFERROR(INDEX('[1]TrialBalance (YTD)'!$G:$S,MATCH([1]TBMapping!$C990,'[1]TrialBalance (YTD)'!G:G,0),MATCH([1]TBMapping!H$3,'[1]TrialBalance (YTD)'!$G$7:$Z$7,0)),0)</f>
        <v>0</v>
      </c>
      <c r="H988" s="5" t="e">
        <f>SUMIF('[1]TrialBalance (YTD)'!G:G,B988,'[1]TrialBalance (YTD)'!H:H)</f>
        <v>#VALUE!</v>
      </c>
      <c r="I988" s="5">
        <f>IFERROR(INDEX('[1]TrialBalance (YTD)'!$G:$S,MATCH([1]TBMapping!$C990,'[1]TrialBalance (YTD)'!G:G,0),MATCH([1]TBMapping!J$3,'[1]TrialBalance (YTD)'!$G$7:$Z$7,0)),0)</f>
        <v>0</v>
      </c>
      <c r="K988" s="5" t="e">
        <f>SUMIF('[1]TrialBalance (Quarter)'!$A:$A,B988,'[1]TrialBalance (Quarter)'!$B:$B)</f>
        <v>#VALUE!</v>
      </c>
      <c r="L988" s="5">
        <f>IFERROR(INDEX('[1]TrialBalance (Quarter)'!$A:$L,MATCH([1]TBMapping!$C990,'[1]TrialBalance (Quarter)'!A:A,0),MATCH([1]TBMapping!M$3,'[1]TrialBalance (Quarter)'!$7:$7,0)),0)</f>
        <v>0</v>
      </c>
      <c r="M988" s="5">
        <f>IFERROR(INDEX('[1]TrialBalance (Quarter)'!$A:$L,MATCH([1]TBMapping!$C990,'[1]TrialBalance (Quarter)'!A:A,0),MATCH([1]TBMapping!N$3,'[1]TrialBalance (Quarter)'!$7:$7,0)),0)</f>
        <v>0</v>
      </c>
      <c r="N988" s="5">
        <f>IFERROR(INDEX('[1]TrialBalance (Quarter)'!$A:$L,MATCH([1]TBMapping!$C990,'[1]TrialBalance (Quarter)'!A:A,0),MATCH([1]TBMapping!O$3,'[1]TrialBalance (Quarter)'!$7:$7,0)),0)</f>
        <v>0</v>
      </c>
    </row>
    <row r="989" spans="1:14">
      <c r="A989" s="2">
        <v>19</v>
      </c>
      <c r="B989" s="3">
        <v>393542</v>
      </c>
      <c r="C989" s="11" t="s">
        <v>799</v>
      </c>
      <c r="D989" s="11" t="s">
        <v>11</v>
      </c>
      <c r="E989" s="11"/>
      <c r="F989" s="5" t="e">
        <f>IF(DataExtraction="Manual",SUMIF('[1]TrialBalance (YTD)'!$C:$C,B989,'[1]TrialBalance (YTD)'!$E:$E),SUMIF('[1]TrialBalance (YTD)'!$G:$G,B989,'[1]TrialBalance (YTD)'!$I:$I))</f>
        <v>#VALUE!</v>
      </c>
      <c r="G989" s="5">
        <f>IFERROR(INDEX('[1]TrialBalance (YTD)'!$G:$S,MATCH([1]TBMapping!$C991,'[1]TrialBalance (YTD)'!G:G,0),MATCH([1]TBMapping!H$3,'[1]TrialBalance (YTD)'!$G$7:$Z$7,0)),0)</f>
        <v>0</v>
      </c>
      <c r="H989" s="5" t="e">
        <f>SUMIF('[1]TrialBalance (YTD)'!G:G,B989,'[1]TrialBalance (YTD)'!H:H)</f>
        <v>#VALUE!</v>
      </c>
      <c r="I989" s="5">
        <f>IFERROR(INDEX('[1]TrialBalance (YTD)'!$G:$S,MATCH([1]TBMapping!$C991,'[1]TrialBalance (YTD)'!G:G,0),MATCH([1]TBMapping!J$3,'[1]TrialBalance (YTD)'!$G$7:$Z$7,0)),0)</f>
        <v>0</v>
      </c>
      <c r="K989" s="5" t="e">
        <f>SUMIF('[1]TrialBalance (Quarter)'!$A:$A,B989,'[1]TrialBalance (Quarter)'!$B:$B)</f>
        <v>#VALUE!</v>
      </c>
      <c r="L989" s="5">
        <f>IFERROR(INDEX('[1]TrialBalance (Quarter)'!$A:$L,MATCH([1]TBMapping!$C991,'[1]TrialBalance (Quarter)'!A:A,0),MATCH([1]TBMapping!M$3,'[1]TrialBalance (Quarter)'!$7:$7,0)),0)</f>
        <v>0</v>
      </c>
      <c r="M989" s="5">
        <f>IFERROR(INDEX('[1]TrialBalance (Quarter)'!$A:$L,MATCH([1]TBMapping!$C991,'[1]TrialBalance (Quarter)'!A:A,0),MATCH([1]TBMapping!N$3,'[1]TrialBalance (Quarter)'!$7:$7,0)),0)</f>
        <v>0</v>
      </c>
      <c r="N989" s="5">
        <f>IFERROR(INDEX('[1]TrialBalance (Quarter)'!$A:$L,MATCH([1]TBMapping!$C991,'[1]TrialBalance (Quarter)'!A:A,0),MATCH([1]TBMapping!O$3,'[1]TrialBalance (Quarter)'!$7:$7,0)),0)</f>
        <v>0</v>
      </c>
    </row>
    <row r="990" spans="1:14">
      <c r="A990" s="2">
        <v>19</v>
      </c>
      <c r="B990" s="3">
        <v>393543</v>
      </c>
      <c r="C990" s="10" t="s">
        <v>800</v>
      </c>
      <c r="D990" s="10" t="s">
        <v>11</v>
      </c>
      <c r="E990" s="10"/>
      <c r="F990" s="5" t="e">
        <f>IF(DataExtraction="Manual",SUMIF('[1]TrialBalance (YTD)'!$C:$C,B990,'[1]TrialBalance (YTD)'!$E:$E),SUMIF('[1]TrialBalance (YTD)'!$G:$G,B990,'[1]TrialBalance (YTD)'!$I:$I))</f>
        <v>#VALUE!</v>
      </c>
      <c r="G990" s="5">
        <f>IFERROR(INDEX('[1]TrialBalance (YTD)'!$G:$S,MATCH([1]TBMapping!$C992,'[1]TrialBalance (YTD)'!G:G,0),MATCH([1]TBMapping!H$3,'[1]TrialBalance (YTD)'!$G$7:$Z$7,0)),0)</f>
        <v>0</v>
      </c>
      <c r="H990" s="5" t="e">
        <f>SUMIF('[1]TrialBalance (YTD)'!G:G,B990,'[1]TrialBalance (YTD)'!H:H)</f>
        <v>#VALUE!</v>
      </c>
      <c r="I990" s="5">
        <f>IFERROR(INDEX('[1]TrialBalance (YTD)'!$G:$S,MATCH([1]TBMapping!$C992,'[1]TrialBalance (YTD)'!G:G,0),MATCH([1]TBMapping!J$3,'[1]TrialBalance (YTD)'!$G$7:$Z$7,0)),0)</f>
        <v>0</v>
      </c>
      <c r="K990" s="5" t="e">
        <f>SUMIF('[1]TrialBalance (Quarter)'!$A:$A,B990,'[1]TrialBalance (Quarter)'!$B:$B)</f>
        <v>#VALUE!</v>
      </c>
      <c r="L990" s="5">
        <f>IFERROR(INDEX('[1]TrialBalance (Quarter)'!$A:$L,MATCH([1]TBMapping!$C992,'[1]TrialBalance (Quarter)'!A:A,0),MATCH([1]TBMapping!M$3,'[1]TrialBalance (Quarter)'!$7:$7,0)),0)</f>
        <v>0</v>
      </c>
      <c r="M990" s="5">
        <f>IFERROR(INDEX('[1]TrialBalance (Quarter)'!$A:$L,MATCH([1]TBMapping!$C992,'[1]TrialBalance (Quarter)'!A:A,0),MATCH([1]TBMapping!N$3,'[1]TrialBalance (Quarter)'!$7:$7,0)),0)</f>
        <v>0</v>
      </c>
      <c r="N990" s="5">
        <f>IFERROR(INDEX('[1]TrialBalance (Quarter)'!$A:$L,MATCH([1]TBMapping!$C992,'[1]TrialBalance (Quarter)'!A:A,0),MATCH([1]TBMapping!O$3,'[1]TrialBalance (Quarter)'!$7:$7,0)),0)</f>
        <v>0</v>
      </c>
    </row>
    <row r="991" spans="1:14">
      <c r="A991" s="2">
        <v>19</v>
      </c>
      <c r="B991" s="3">
        <v>393544</v>
      </c>
      <c r="C991" s="11" t="s">
        <v>801</v>
      </c>
      <c r="D991" s="11" t="s">
        <v>11</v>
      </c>
      <c r="E991" s="11"/>
      <c r="F991" s="5" t="e">
        <f>IF(DataExtraction="Manual",SUMIF('[1]TrialBalance (YTD)'!$C:$C,B991,'[1]TrialBalance (YTD)'!$E:$E),SUMIF('[1]TrialBalance (YTD)'!$G:$G,B991,'[1]TrialBalance (YTD)'!$I:$I))</f>
        <v>#VALUE!</v>
      </c>
      <c r="G991" s="5">
        <f>IFERROR(INDEX('[1]TrialBalance (YTD)'!$G:$S,MATCH([1]TBMapping!$C993,'[1]TrialBalance (YTD)'!G:G,0),MATCH([1]TBMapping!H$3,'[1]TrialBalance (YTD)'!$G$7:$Z$7,0)),0)</f>
        <v>0</v>
      </c>
      <c r="H991" s="5" t="e">
        <f>SUMIF('[1]TrialBalance (YTD)'!G:G,B991,'[1]TrialBalance (YTD)'!H:H)</f>
        <v>#VALUE!</v>
      </c>
      <c r="I991" s="5">
        <f>IFERROR(INDEX('[1]TrialBalance (YTD)'!$G:$S,MATCH([1]TBMapping!$C993,'[1]TrialBalance (YTD)'!G:G,0),MATCH([1]TBMapping!J$3,'[1]TrialBalance (YTD)'!$G$7:$Z$7,0)),0)</f>
        <v>0</v>
      </c>
      <c r="K991" s="5" t="e">
        <f>SUMIF('[1]TrialBalance (Quarter)'!$A:$A,B991,'[1]TrialBalance (Quarter)'!$B:$B)</f>
        <v>#VALUE!</v>
      </c>
      <c r="L991" s="5">
        <f>IFERROR(INDEX('[1]TrialBalance (Quarter)'!$A:$L,MATCH([1]TBMapping!$C993,'[1]TrialBalance (Quarter)'!A:A,0),MATCH([1]TBMapping!M$3,'[1]TrialBalance (Quarter)'!$7:$7,0)),0)</f>
        <v>0</v>
      </c>
      <c r="M991" s="5">
        <f>IFERROR(INDEX('[1]TrialBalance (Quarter)'!$A:$L,MATCH([1]TBMapping!$C993,'[1]TrialBalance (Quarter)'!A:A,0),MATCH([1]TBMapping!N$3,'[1]TrialBalance (Quarter)'!$7:$7,0)),0)</f>
        <v>0</v>
      </c>
      <c r="N991" s="5">
        <f>IFERROR(INDEX('[1]TrialBalance (Quarter)'!$A:$L,MATCH([1]TBMapping!$C993,'[1]TrialBalance (Quarter)'!A:A,0),MATCH([1]TBMapping!O$3,'[1]TrialBalance (Quarter)'!$7:$7,0)),0)</f>
        <v>0</v>
      </c>
    </row>
    <row r="992" spans="1:14">
      <c r="A992" s="2">
        <v>19</v>
      </c>
      <c r="B992" s="3">
        <v>393545</v>
      </c>
      <c r="C992" s="10" t="s">
        <v>802</v>
      </c>
      <c r="D992" s="10" t="s">
        <v>11</v>
      </c>
      <c r="E992" s="10"/>
      <c r="F992" s="5" t="e">
        <f>IF(DataExtraction="Manual",SUMIF('[1]TrialBalance (YTD)'!$C:$C,B992,'[1]TrialBalance (YTD)'!$E:$E),SUMIF('[1]TrialBalance (YTD)'!$G:$G,B992,'[1]TrialBalance (YTD)'!$I:$I))</f>
        <v>#VALUE!</v>
      </c>
      <c r="G992" s="5">
        <f>IFERROR(INDEX('[1]TrialBalance (YTD)'!$G:$S,MATCH([1]TBMapping!$C994,'[1]TrialBalance (YTD)'!G:G,0),MATCH([1]TBMapping!H$3,'[1]TrialBalance (YTD)'!$G$7:$Z$7,0)),0)</f>
        <v>0</v>
      </c>
      <c r="H992" s="5" t="e">
        <f>SUMIF('[1]TrialBalance (YTD)'!G:G,B992,'[1]TrialBalance (YTD)'!H:H)</f>
        <v>#VALUE!</v>
      </c>
      <c r="I992" s="5">
        <f>IFERROR(INDEX('[1]TrialBalance (YTD)'!$G:$S,MATCH([1]TBMapping!$C994,'[1]TrialBalance (YTD)'!G:G,0),MATCH([1]TBMapping!J$3,'[1]TrialBalance (YTD)'!$G$7:$Z$7,0)),0)</f>
        <v>0</v>
      </c>
      <c r="K992" s="5" t="e">
        <f>SUMIF('[1]TrialBalance (Quarter)'!$A:$A,B992,'[1]TrialBalance (Quarter)'!$B:$B)</f>
        <v>#VALUE!</v>
      </c>
      <c r="L992" s="5">
        <f>IFERROR(INDEX('[1]TrialBalance (Quarter)'!$A:$L,MATCH([1]TBMapping!$C994,'[1]TrialBalance (Quarter)'!A:A,0),MATCH([1]TBMapping!M$3,'[1]TrialBalance (Quarter)'!$7:$7,0)),0)</f>
        <v>0</v>
      </c>
      <c r="M992" s="5">
        <f>IFERROR(INDEX('[1]TrialBalance (Quarter)'!$A:$L,MATCH([1]TBMapping!$C994,'[1]TrialBalance (Quarter)'!A:A,0),MATCH([1]TBMapping!N$3,'[1]TrialBalance (Quarter)'!$7:$7,0)),0)</f>
        <v>0</v>
      </c>
      <c r="N992" s="5">
        <f>IFERROR(INDEX('[1]TrialBalance (Quarter)'!$A:$L,MATCH([1]TBMapping!$C994,'[1]TrialBalance (Quarter)'!A:A,0),MATCH([1]TBMapping!O$3,'[1]TrialBalance (Quarter)'!$7:$7,0)),0)</f>
        <v>0</v>
      </c>
    </row>
    <row r="993" spans="1:14">
      <c r="A993" s="2">
        <v>19</v>
      </c>
      <c r="B993" s="3">
        <v>393546</v>
      </c>
      <c r="C993" s="11" t="s">
        <v>803</v>
      </c>
      <c r="D993" s="11" t="s">
        <v>11</v>
      </c>
      <c r="E993" s="11"/>
      <c r="F993" s="5" t="e">
        <f>IF(DataExtraction="Manual",SUMIF('[1]TrialBalance (YTD)'!$C:$C,B993,'[1]TrialBalance (YTD)'!$E:$E),SUMIF('[1]TrialBalance (YTD)'!$G:$G,B993,'[1]TrialBalance (YTD)'!$I:$I))</f>
        <v>#VALUE!</v>
      </c>
      <c r="G993" s="5">
        <f>IFERROR(INDEX('[1]TrialBalance (YTD)'!$G:$S,MATCH([1]TBMapping!$C995,'[1]TrialBalance (YTD)'!G:G,0),MATCH([1]TBMapping!H$3,'[1]TrialBalance (YTD)'!$G$7:$Z$7,0)),0)</f>
        <v>0</v>
      </c>
      <c r="H993" s="5" t="e">
        <f>SUMIF('[1]TrialBalance (YTD)'!G:G,B993,'[1]TrialBalance (YTD)'!H:H)</f>
        <v>#VALUE!</v>
      </c>
      <c r="I993" s="5">
        <f>IFERROR(INDEX('[1]TrialBalance (YTD)'!$G:$S,MATCH([1]TBMapping!$C995,'[1]TrialBalance (YTD)'!G:G,0),MATCH([1]TBMapping!J$3,'[1]TrialBalance (YTD)'!$G$7:$Z$7,0)),0)</f>
        <v>0</v>
      </c>
      <c r="K993" s="5" t="e">
        <f>SUMIF('[1]TrialBalance (Quarter)'!$A:$A,B993,'[1]TrialBalance (Quarter)'!$B:$B)</f>
        <v>#VALUE!</v>
      </c>
      <c r="L993" s="5">
        <f>IFERROR(INDEX('[1]TrialBalance (Quarter)'!$A:$L,MATCH([1]TBMapping!$C995,'[1]TrialBalance (Quarter)'!A:A,0),MATCH([1]TBMapping!M$3,'[1]TrialBalance (Quarter)'!$7:$7,0)),0)</f>
        <v>0</v>
      </c>
      <c r="M993" s="5">
        <f>IFERROR(INDEX('[1]TrialBalance (Quarter)'!$A:$L,MATCH([1]TBMapping!$C995,'[1]TrialBalance (Quarter)'!A:A,0),MATCH([1]TBMapping!N$3,'[1]TrialBalance (Quarter)'!$7:$7,0)),0)</f>
        <v>0</v>
      </c>
      <c r="N993" s="5">
        <f>IFERROR(INDEX('[1]TrialBalance (Quarter)'!$A:$L,MATCH([1]TBMapping!$C995,'[1]TrialBalance (Quarter)'!A:A,0),MATCH([1]TBMapping!O$3,'[1]TrialBalance (Quarter)'!$7:$7,0)),0)</f>
        <v>0</v>
      </c>
    </row>
    <row r="994" spans="1:14">
      <c r="A994" s="2">
        <v>19</v>
      </c>
      <c r="B994" s="3">
        <v>393547</v>
      </c>
      <c r="C994" s="10" t="s">
        <v>804</v>
      </c>
      <c r="D994" s="10" t="s">
        <v>11</v>
      </c>
      <c r="E994" s="10"/>
      <c r="F994" s="5" t="e">
        <f>IF(DataExtraction="Manual",SUMIF('[1]TrialBalance (YTD)'!$C:$C,B994,'[1]TrialBalance (YTD)'!$E:$E),SUMIF('[1]TrialBalance (YTD)'!$G:$G,B994,'[1]TrialBalance (YTD)'!$I:$I))</f>
        <v>#VALUE!</v>
      </c>
      <c r="G994" s="5">
        <f>IFERROR(INDEX('[1]TrialBalance (YTD)'!$G:$S,MATCH([1]TBMapping!$C996,'[1]TrialBalance (YTD)'!G:G,0),MATCH([1]TBMapping!H$3,'[1]TrialBalance (YTD)'!$G$7:$Z$7,0)),0)</f>
        <v>0</v>
      </c>
      <c r="H994" s="5" t="e">
        <f>SUMIF('[1]TrialBalance (YTD)'!G:G,B994,'[1]TrialBalance (YTD)'!H:H)</f>
        <v>#VALUE!</v>
      </c>
      <c r="I994" s="5">
        <f>IFERROR(INDEX('[1]TrialBalance (YTD)'!$G:$S,MATCH([1]TBMapping!$C996,'[1]TrialBalance (YTD)'!G:G,0),MATCH([1]TBMapping!J$3,'[1]TrialBalance (YTD)'!$G$7:$Z$7,0)),0)</f>
        <v>0</v>
      </c>
      <c r="K994" s="5" t="e">
        <f>SUMIF('[1]TrialBalance (Quarter)'!$A:$A,B994,'[1]TrialBalance (Quarter)'!$B:$B)</f>
        <v>#VALUE!</v>
      </c>
      <c r="L994" s="5">
        <f>IFERROR(INDEX('[1]TrialBalance (Quarter)'!$A:$L,MATCH([1]TBMapping!$C996,'[1]TrialBalance (Quarter)'!A:A,0),MATCH([1]TBMapping!M$3,'[1]TrialBalance (Quarter)'!$7:$7,0)),0)</f>
        <v>0</v>
      </c>
      <c r="M994" s="5">
        <f>IFERROR(INDEX('[1]TrialBalance (Quarter)'!$A:$L,MATCH([1]TBMapping!$C996,'[1]TrialBalance (Quarter)'!A:A,0),MATCH([1]TBMapping!N$3,'[1]TrialBalance (Quarter)'!$7:$7,0)),0)</f>
        <v>0</v>
      </c>
      <c r="N994" s="5">
        <f>IFERROR(INDEX('[1]TrialBalance (Quarter)'!$A:$L,MATCH([1]TBMapping!$C996,'[1]TrialBalance (Quarter)'!A:A,0),MATCH([1]TBMapping!O$3,'[1]TrialBalance (Quarter)'!$7:$7,0)),0)</f>
        <v>0</v>
      </c>
    </row>
    <row r="995" spans="1:14">
      <c r="A995" s="2">
        <v>19</v>
      </c>
      <c r="B995" s="3">
        <v>393548</v>
      </c>
      <c r="C995" s="11" t="s">
        <v>805</v>
      </c>
      <c r="D995" s="11" t="s">
        <v>11</v>
      </c>
      <c r="E995" s="11"/>
      <c r="F995" s="5" t="e">
        <f>IF(DataExtraction="Manual",SUMIF('[1]TrialBalance (YTD)'!$C:$C,B995,'[1]TrialBalance (YTD)'!$E:$E),SUMIF('[1]TrialBalance (YTD)'!$G:$G,B995,'[1]TrialBalance (YTD)'!$I:$I))</f>
        <v>#VALUE!</v>
      </c>
      <c r="G995" s="5">
        <f>IFERROR(INDEX('[1]TrialBalance (YTD)'!$G:$S,MATCH([1]TBMapping!$C997,'[1]TrialBalance (YTD)'!G:G,0),MATCH([1]TBMapping!H$3,'[1]TrialBalance (YTD)'!$G$7:$Z$7,0)),0)</f>
        <v>0</v>
      </c>
      <c r="H995" s="5" t="e">
        <f>SUMIF('[1]TrialBalance (YTD)'!G:G,B995,'[1]TrialBalance (YTD)'!H:H)</f>
        <v>#VALUE!</v>
      </c>
      <c r="I995" s="5">
        <f>IFERROR(INDEX('[1]TrialBalance (YTD)'!$G:$S,MATCH([1]TBMapping!$C997,'[1]TrialBalance (YTD)'!G:G,0),MATCH([1]TBMapping!J$3,'[1]TrialBalance (YTD)'!$G$7:$Z$7,0)),0)</f>
        <v>0</v>
      </c>
      <c r="K995" s="5" t="e">
        <f>SUMIF('[1]TrialBalance (Quarter)'!$A:$A,B995,'[1]TrialBalance (Quarter)'!$B:$B)</f>
        <v>#VALUE!</v>
      </c>
      <c r="L995" s="5">
        <f>IFERROR(INDEX('[1]TrialBalance (Quarter)'!$A:$L,MATCH([1]TBMapping!$C997,'[1]TrialBalance (Quarter)'!A:A,0),MATCH([1]TBMapping!M$3,'[1]TrialBalance (Quarter)'!$7:$7,0)),0)</f>
        <v>0</v>
      </c>
      <c r="M995" s="5">
        <f>IFERROR(INDEX('[1]TrialBalance (Quarter)'!$A:$L,MATCH([1]TBMapping!$C997,'[1]TrialBalance (Quarter)'!A:A,0),MATCH([1]TBMapping!N$3,'[1]TrialBalance (Quarter)'!$7:$7,0)),0)</f>
        <v>0</v>
      </c>
      <c r="N995" s="5">
        <f>IFERROR(INDEX('[1]TrialBalance (Quarter)'!$A:$L,MATCH([1]TBMapping!$C997,'[1]TrialBalance (Quarter)'!A:A,0),MATCH([1]TBMapping!O$3,'[1]TrialBalance (Quarter)'!$7:$7,0)),0)</f>
        <v>0</v>
      </c>
    </row>
    <row r="996" spans="1:14">
      <c r="A996" s="2">
        <v>19</v>
      </c>
      <c r="B996" s="3">
        <v>393549</v>
      </c>
      <c r="C996" s="10" t="s">
        <v>806</v>
      </c>
      <c r="D996" s="10" t="s">
        <v>11</v>
      </c>
      <c r="E996" s="10"/>
      <c r="F996" s="5" t="e">
        <f>IF(DataExtraction="Manual",SUMIF('[1]TrialBalance (YTD)'!$C:$C,B996,'[1]TrialBalance (YTD)'!$E:$E),SUMIF('[1]TrialBalance (YTD)'!$G:$G,B996,'[1]TrialBalance (YTD)'!$I:$I))</f>
        <v>#VALUE!</v>
      </c>
      <c r="G996" s="5">
        <f>IFERROR(INDEX('[1]TrialBalance (YTD)'!$G:$S,MATCH([1]TBMapping!$C998,'[1]TrialBalance (YTD)'!G:G,0),MATCH([1]TBMapping!H$3,'[1]TrialBalance (YTD)'!$G$7:$Z$7,0)),0)</f>
        <v>0</v>
      </c>
      <c r="H996" s="5" t="e">
        <f>SUMIF('[1]TrialBalance (YTD)'!G:G,B996,'[1]TrialBalance (YTD)'!H:H)</f>
        <v>#VALUE!</v>
      </c>
      <c r="I996" s="5">
        <f>IFERROR(INDEX('[1]TrialBalance (YTD)'!$G:$S,MATCH([1]TBMapping!$C998,'[1]TrialBalance (YTD)'!G:G,0),MATCH([1]TBMapping!J$3,'[1]TrialBalance (YTD)'!$G$7:$Z$7,0)),0)</f>
        <v>0</v>
      </c>
      <c r="K996" s="5" t="e">
        <f>SUMIF('[1]TrialBalance (Quarter)'!$A:$A,B996,'[1]TrialBalance (Quarter)'!$B:$B)</f>
        <v>#VALUE!</v>
      </c>
      <c r="L996" s="5">
        <f>IFERROR(INDEX('[1]TrialBalance (Quarter)'!$A:$L,MATCH([1]TBMapping!$C998,'[1]TrialBalance (Quarter)'!A:A,0),MATCH([1]TBMapping!M$3,'[1]TrialBalance (Quarter)'!$7:$7,0)),0)</f>
        <v>0</v>
      </c>
      <c r="M996" s="5">
        <f>IFERROR(INDEX('[1]TrialBalance (Quarter)'!$A:$L,MATCH([1]TBMapping!$C998,'[1]TrialBalance (Quarter)'!A:A,0),MATCH([1]TBMapping!N$3,'[1]TrialBalance (Quarter)'!$7:$7,0)),0)</f>
        <v>0</v>
      </c>
      <c r="N996" s="5">
        <f>IFERROR(INDEX('[1]TrialBalance (Quarter)'!$A:$L,MATCH([1]TBMapping!$C998,'[1]TrialBalance (Quarter)'!A:A,0),MATCH([1]TBMapping!O$3,'[1]TrialBalance (Quarter)'!$7:$7,0)),0)</f>
        <v>0</v>
      </c>
    </row>
    <row r="997" spans="1:14">
      <c r="A997" s="2">
        <v>19</v>
      </c>
      <c r="B997" s="3">
        <v>393550</v>
      </c>
      <c r="C997" s="11" t="s">
        <v>807</v>
      </c>
      <c r="D997" s="11" t="s">
        <v>11</v>
      </c>
      <c r="E997" s="11"/>
      <c r="F997" s="5" t="e">
        <f>IF(DataExtraction="Manual",SUMIF('[1]TrialBalance (YTD)'!$C:$C,B997,'[1]TrialBalance (YTD)'!$E:$E),SUMIF('[1]TrialBalance (YTD)'!$G:$G,B997,'[1]TrialBalance (YTD)'!$I:$I))</f>
        <v>#VALUE!</v>
      </c>
      <c r="G997" s="5">
        <f>IFERROR(INDEX('[1]TrialBalance (YTD)'!$G:$S,MATCH([1]TBMapping!$C999,'[1]TrialBalance (YTD)'!G:G,0),MATCH([1]TBMapping!H$3,'[1]TrialBalance (YTD)'!$G$7:$Z$7,0)),0)</f>
        <v>0</v>
      </c>
      <c r="H997" s="5" t="e">
        <f>SUMIF('[1]TrialBalance (YTD)'!G:G,B997,'[1]TrialBalance (YTD)'!H:H)</f>
        <v>#VALUE!</v>
      </c>
      <c r="I997" s="5">
        <f>IFERROR(INDEX('[1]TrialBalance (YTD)'!$G:$S,MATCH([1]TBMapping!$C999,'[1]TrialBalance (YTD)'!G:G,0),MATCH([1]TBMapping!J$3,'[1]TrialBalance (YTD)'!$G$7:$Z$7,0)),0)</f>
        <v>0</v>
      </c>
      <c r="K997" s="5" t="e">
        <f>SUMIF('[1]TrialBalance (Quarter)'!$A:$A,B997,'[1]TrialBalance (Quarter)'!$B:$B)</f>
        <v>#VALUE!</v>
      </c>
      <c r="L997" s="5">
        <f>IFERROR(INDEX('[1]TrialBalance (Quarter)'!$A:$L,MATCH([1]TBMapping!$C999,'[1]TrialBalance (Quarter)'!A:A,0),MATCH([1]TBMapping!M$3,'[1]TrialBalance (Quarter)'!$7:$7,0)),0)</f>
        <v>0</v>
      </c>
      <c r="M997" s="5">
        <f>IFERROR(INDEX('[1]TrialBalance (Quarter)'!$A:$L,MATCH([1]TBMapping!$C999,'[1]TrialBalance (Quarter)'!A:A,0),MATCH([1]TBMapping!N$3,'[1]TrialBalance (Quarter)'!$7:$7,0)),0)</f>
        <v>0</v>
      </c>
      <c r="N997" s="5">
        <f>IFERROR(INDEX('[1]TrialBalance (Quarter)'!$A:$L,MATCH([1]TBMapping!$C999,'[1]TrialBalance (Quarter)'!A:A,0),MATCH([1]TBMapping!O$3,'[1]TrialBalance (Quarter)'!$7:$7,0)),0)</f>
        <v>0</v>
      </c>
    </row>
    <row r="998" spans="1:14">
      <c r="A998" s="2">
        <v>19</v>
      </c>
      <c r="B998" s="3">
        <v>393551</v>
      </c>
      <c r="C998" s="10" t="s">
        <v>808</v>
      </c>
      <c r="D998" s="10" t="s">
        <v>11</v>
      </c>
      <c r="E998" s="10"/>
      <c r="F998" s="5" t="e">
        <f>IF(DataExtraction="Manual",SUMIF('[1]TrialBalance (YTD)'!$C:$C,B998,'[1]TrialBalance (YTD)'!$E:$E),SUMIF('[1]TrialBalance (YTD)'!$G:$G,B998,'[1]TrialBalance (YTD)'!$I:$I))</f>
        <v>#VALUE!</v>
      </c>
      <c r="G998" s="5">
        <f>IFERROR(INDEX('[1]TrialBalance (YTD)'!$G:$S,MATCH([1]TBMapping!$C1000,'[1]TrialBalance (YTD)'!G:G,0),MATCH([1]TBMapping!H$3,'[1]TrialBalance (YTD)'!$G$7:$Z$7,0)),0)</f>
        <v>0</v>
      </c>
      <c r="H998" s="5" t="e">
        <f>SUMIF('[1]TrialBalance (YTD)'!G:G,B998,'[1]TrialBalance (YTD)'!H:H)</f>
        <v>#VALUE!</v>
      </c>
      <c r="I998" s="5">
        <f>IFERROR(INDEX('[1]TrialBalance (YTD)'!$G:$S,MATCH([1]TBMapping!$C1000,'[1]TrialBalance (YTD)'!G:G,0),MATCH([1]TBMapping!J$3,'[1]TrialBalance (YTD)'!$G$7:$Z$7,0)),0)</f>
        <v>0</v>
      </c>
      <c r="K998" s="5" t="e">
        <f>SUMIF('[1]TrialBalance (Quarter)'!$A:$A,B998,'[1]TrialBalance (Quarter)'!$B:$B)</f>
        <v>#VALUE!</v>
      </c>
      <c r="L998" s="5">
        <f>IFERROR(INDEX('[1]TrialBalance (Quarter)'!$A:$L,MATCH([1]TBMapping!$C1000,'[1]TrialBalance (Quarter)'!A:A,0),MATCH([1]TBMapping!M$3,'[1]TrialBalance (Quarter)'!$7:$7,0)),0)</f>
        <v>0</v>
      </c>
      <c r="M998" s="5">
        <f>IFERROR(INDEX('[1]TrialBalance (Quarter)'!$A:$L,MATCH([1]TBMapping!$C1000,'[1]TrialBalance (Quarter)'!A:A,0),MATCH([1]TBMapping!N$3,'[1]TrialBalance (Quarter)'!$7:$7,0)),0)</f>
        <v>0</v>
      </c>
      <c r="N998" s="5">
        <f>IFERROR(INDEX('[1]TrialBalance (Quarter)'!$A:$L,MATCH([1]TBMapping!$C1000,'[1]TrialBalance (Quarter)'!A:A,0),MATCH([1]TBMapping!O$3,'[1]TrialBalance (Quarter)'!$7:$7,0)),0)</f>
        <v>0</v>
      </c>
    </row>
    <row r="999" spans="1:14">
      <c r="A999" s="2">
        <v>19</v>
      </c>
      <c r="B999" s="3">
        <v>393552</v>
      </c>
      <c r="C999" s="11" t="s">
        <v>809</v>
      </c>
      <c r="D999" s="11" t="s">
        <v>11</v>
      </c>
      <c r="E999" s="11"/>
      <c r="F999" s="5" t="e">
        <f>IF(DataExtraction="Manual",SUMIF('[1]TrialBalance (YTD)'!$C:$C,B999,'[1]TrialBalance (YTD)'!$E:$E),SUMIF('[1]TrialBalance (YTD)'!$G:$G,B999,'[1]TrialBalance (YTD)'!$I:$I))</f>
        <v>#VALUE!</v>
      </c>
      <c r="G999" s="5">
        <f>IFERROR(INDEX('[1]TrialBalance (YTD)'!$G:$S,MATCH([1]TBMapping!$C1001,'[1]TrialBalance (YTD)'!G:G,0),MATCH([1]TBMapping!H$3,'[1]TrialBalance (YTD)'!$G$7:$Z$7,0)),0)</f>
        <v>0</v>
      </c>
      <c r="H999" s="5" t="e">
        <f>SUMIF('[1]TrialBalance (YTD)'!G:G,B999,'[1]TrialBalance (YTD)'!H:H)</f>
        <v>#VALUE!</v>
      </c>
      <c r="I999" s="5">
        <f>IFERROR(INDEX('[1]TrialBalance (YTD)'!$G:$S,MATCH([1]TBMapping!$C1001,'[1]TrialBalance (YTD)'!G:G,0),MATCH([1]TBMapping!J$3,'[1]TrialBalance (YTD)'!$G$7:$Z$7,0)),0)</f>
        <v>0</v>
      </c>
      <c r="K999" s="5" t="e">
        <f>SUMIF('[1]TrialBalance (Quarter)'!$A:$A,B999,'[1]TrialBalance (Quarter)'!$B:$B)</f>
        <v>#VALUE!</v>
      </c>
      <c r="L999" s="5">
        <f>IFERROR(INDEX('[1]TrialBalance (Quarter)'!$A:$L,MATCH([1]TBMapping!$C1001,'[1]TrialBalance (Quarter)'!A:A,0),MATCH([1]TBMapping!M$3,'[1]TrialBalance (Quarter)'!$7:$7,0)),0)</f>
        <v>0</v>
      </c>
      <c r="M999" s="5">
        <f>IFERROR(INDEX('[1]TrialBalance (Quarter)'!$A:$L,MATCH([1]TBMapping!$C1001,'[1]TrialBalance (Quarter)'!A:A,0),MATCH([1]TBMapping!N$3,'[1]TrialBalance (Quarter)'!$7:$7,0)),0)</f>
        <v>0</v>
      </c>
      <c r="N999" s="5">
        <f>IFERROR(INDEX('[1]TrialBalance (Quarter)'!$A:$L,MATCH([1]TBMapping!$C1001,'[1]TrialBalance (Quarter)'!A:A,0),MATCH([1]TBMapping!O$3,'[1]TrialBalance (Quarter)'!$7:$7,0)),0)</f>
        <v>0</v>
      </c>
    </row>
    <row r="1000" spans="1:14">
      <c r="A1000" s="2">
        <v>19</v>
      </c>
      <c r="B1000" s="3">
        <v>393553</v>
      </c>
      <c r="C1000" s="10" t="s">
        <v>810</v>
      </c>
      <c r="D1000" s="10" t="s">
        <v>11</v>
      </c>
      <c r="E1000" s="10"/>
      <c r="F1000" s="5" t="e">
        <f>IF(DataExtraction="Manual",SUMIF('[1]TrialBalance (YTD)'!$C:$C,B1000,'[1]TrialBalance (YTD)'!$E:$E),SUMIF('[1]TrialBalance (YTD)'!$G:$G,B1000,'[1]TrialBalance (YTD)'!$I:$I))</f>
        <v>#VALUE!</v>
      </c>
      <c r="G1000" s="5">
        <f>IFERROR(INDEX('[1]TrialBalance (YTD)'!$G:$S,MATCH([1]TBMapping!$C1002,'[1]TrialBalance (YTD)'!G:G,0),MATCH([1]TBMapping!H$3,'[1]TrialBalance (YTD)'!$G$7:$Z$7,0)),0)</f>
        <v>0</v>
      </c>
      <c r="H1000" s="5" t="e">
        <f>SUMIF('[1]TrialBalance (YTD)'!G:G,B1000,'[1]TrialBalance (YTD)'!H:H)</f>
        <v>#VALUE!</v>
      </c>
      <c r="I1000" s="5">
        <f>IFERROR(INDEX('[1]TrialBalance (YTD)'!$G:$S,MATCH([1]TBMapping!$C1002,'[1]TrialBalance (YTD)'!G:G,0),MATCH([1]TBMapping!J$3,'[1]TrialBalance (YTD)'!$G$7:$Z$7,0)),0)</f>
        <v>0</v>
      </c>
      <c r="K1000" s="5" t="e">
        <f>SUMIF('[1]TrialBalance (Quarter)'!$A:$A,B1000,'[1]TrialBalance (Quarter)'!$B:$B)</f>
        <v>#VALUE!</v>
      </c>
      <c r="L1000" s="5">
        <f>IFERROR(INDEX('[1]TrialBalance (Quarter)'!$A:$L,MATCH([1]TBMapping!$C1002,'[1]TrialBalance (Quarter)'!A:A,0),MATCH([1]TBMapping!M$3,'[1]TrialBalance (Quarter)'!$7:$7,0)),0)</f>
        <v>0</v>
      </c>
      <c r="M1000" s="5">
        <f>IFERROR(INDEX('[1]TrialBalance (Quarter)'!$A:$L,MATCH([1]TBMapping!$C1002,'[1]TrialBalance (Quarter)'!A:A,0),MATCH([1]TBMapping!N$3,'[1]TrialBalance (Quarter)'!$7:$7,0)),0)</f>
        <v>0</v>
      </c>
      <c r="N1000" s="5">
        <f>IFERROR(INDEX('[1]TrialBalance (Quarter)'!$A:$L,MATCH([1]TBMapping!$C1002,'[1]TrialBalance (Quarter)'!A:A,0),MATCH([1]TBMapping!O$3,'[1]TrialBalance (Quarter)'!$7:$7,0)),0)</f>
        <v>0</v>
      </c>
    </row>
    <row r="1001" spans="1:14">
      <c r="A1001" s="2">
        <v>19</v>
      </c>
      <c r="B1001" s="3">
        <v>393554</v>
      </c>
      <c r="C1001" s="11" t="s">
        <v>811</v>
      </c>
      <c r="D1001" s="11" t="s">
        <v>11</v>
      </c>
      <c r="E1001" s="11"/>
      <c r="F1001" s="5" t="e">
        <f>IF(DataExtraction="Manual",SUMIF('[1]TrialBalance (YTD)'!$C:$C,B1001,'[1]TrialBalance (YTD)'!$E:$E),SUMIF('[1]TrialBalance (YTD)'!$G:$G,B1001,'[1]TrialBalance (YTD)'!$I:$I))</f>
        <v>#VALUE!</v>
      </c>
      <c r="G1001" s="5">
        <f>IFERROR(INDEX('[1]TrialBalance (YTD)'!$G:$S,MATCH([1]TBMapping!$C1003,'[1]TrialBalance (YTD)'!G:G,0),MATCH([1]TBMapping!H$3,'[1]TrialBalance (YTD)'!$G$7:$Z$7,0)),0)</f>
        <v>0</v>
      </c>
      <c r="H1001" s="5" t="e">
        <f>SUMIF('[1]TrialBalance (YTD)'!G:G,B1001,'[1]TrialBalance (YTD)'!H:H)</f>
        <v>#VALUE!</v>
      </c>
      <c r="I1001" s="5">
        <f>IFERROR(INDEX('[1]TrialBalance (YTD)'!$G:$S,MATCH([1]TBMapping!$C1003,'[1]TrialBalance (YTD)'!G:G,0),MATCH([1]TBMapping!J$3,'[1]TrialBalance (YTD)'!$G$7:$Z$7,0)),0)</f>
        <v>0</v>
      </c>
      <c r="K1001" s="5" t="e">
        <f>SUMIF('[1]TrialBalance (Quarter)'!$A:$A,B1001,'[1]TrialBalance (Quarter)'!$B:$B)</f>
        <v>#VALUE!</v>
      </c>
      <c r="L1001" s="5">
        <f>IFERROR(INDEX('[1]TrialBalance (Quarter)'!$A:$L,MATCH([1]TBMapping!$C1003,'[1]TrialBalance (Quarter)'!A:A,0),MATCH([1]TBMapping!M$3,'[1]TrialBalance (Quarter)'!$7:$7,0)),0)</f>
        <v>0</v>
      </c>
      <c r="M1001" s="5">
        <f>IFERROR(INDEX('[1]TrialBalance (Quarter)'!$A:$L,MATCH([1]TBMapping!$C1003,'[1]TrialBalance (Quarter)'!A:A,0),MATCH([1]TBMapping!N$3,'[1]TrialBalance (Quarter)'!$7:$7,0)),0)</f>
        <v>0</v>
      </c>
      <c r="N1001" s="5">
        <f>IFERROR(INDEX('[1]TrialBalance (Quarter)'!$A:$L,MATCH([1]TBMapping!$C1003,'[1]TrialBalance (Quarter)'!A:A,0),MATCH([1]TBMapping!O$3,'[1]TrialBalance (Quarter)'!$7:$7,0)),0)</f>
        <v>0</v>
      </c>
    </row>
    <row r="1002" spans="1:14">
      <c r="A1002" s="2">
        <v>19</v>
      </c>
      <c r="B1002" s="3">
        <v>393555</v>
      </c>
      <c r="C1002" s="10" t="s">
        <v>812</v>
      </c>
      <c r="D1002" s="10" t="s">
        <v>11</v>
      </c>
      <c r="E1002" s="10"/>
      <c r="F1002" s="5" t="e">
        <f>IF(DataExtraction="Manual",SUMIF('[1]TrialBalance (YTD)'!$C:$C,B1002,'[1]TrialBalance (YTD)'!$E:$E),SUMIF('[1]TrialBalance (YTD)'!$G:$G,B1002,'[1]TrialBalance (YTD)'!$I:$I))</f>
        <v>#VALUE!</v>
      </c>
      <c r="G1002" s="5">
        <f>IFERROR(INDEX('[1]TrialBalance (YTD)'!$G:$S,MATCH([1]TBMapping!$C1004,'[1]TrialBalance (YTD)'!G:G,0),MATCH([1]TBMapping!H$3,'[1]TrialBalance (YTD)'!$G$7:$Z$7,0)),0)</f>
        <v>0</v>
      </c>
      <c r="H1002" s="5" t="e">
        <f>SUMIF('[1]TrialBalance (YTD)'!G:G,B1002,'[1]TrialBalance (YTD)'!H:H)</f>
        <v>#VALUE!</v>
      </c>
      <c r="I1002" s="5">
        <f>IFERROR(INDEX('[1]TrialBalance (YTD)'!$G:$S,MATCH([1]TBMapping!$C1004,'[1]TrialBalance (YTD)'!G:G,0),MATCH([1]TBMapping!J$3,'[1]TrialBalance (YTD)'!$G$7:$Z$7,0)),0)</f>
        <v>0</v>
      </c>
      <c r="K1002" s="5" t="e">
        <f>SUMIF('[1]TrialBalance (Quarter)'!$A:$A,B1002,'[1]TrialBalance (Quarter)'!$B:$B)</f>
        <v>#VALUE!</v>
      </c>
      <c r="L1002" s="5">
        <f>IFERROR(INDEX('[1]TrialBalance (Quarter)'!$A:$L,MATCH([1]TBMapping!$C1004,'[1]TrialBalance (Quarter)'!A:A,0),MATCH([1]TBMapping!M$3,'[1]TrialBalance (Quarter)'!$7:$7,0)),0)</f>
        <v>0</v>
      </c>
      <c r="M1002" s="5">
        <f>IFERROR(INDEX('[1]TrialBalance (Quarter)'!$A:$L,MATCH([1]TBMapping!$C1004,'[1]TrialBalance (Quarter)'!A:A,0),MATCH([1]TBMapping!N$3,'[1]TrialBalance (Quarter)'!$7:$7,0)),0)</f>
        <v>0</v>
      </c>
      <c r="N1002" s="5">
        <f>IFERROR(INDEX('[1]TrialBalance (Quarter)'!$A:$L,MATCH([1]TBMapping!$C1004,'[1]TrialBalance (Quarter)'!A:A,0),MATCH([1]TBMapping!O$3,'[1]TrialBalance (Quarter)'!$7:$7,0)),0)</f>
        <v>0</v>
      </c>
    </row>
    <row r="1003" spans="1:14">
      <c r="A1003" s="2">
        <v>19</v>
      </c>
      <c r="B1003" s="3">
        <v>393556</v>
      </c>
      <c r="C1003" s="11" t="s">
        <v>813</v>
      </c>
      <c r="D1003" s="11" t="s">
        <v>11</v>
      </c>
      <c r="E1003" s="11"/>
      <c r="F1003" s="5" t="e">
        <f>IF(DataExtraction="Manual",SUMIF('[1]TrialBalance (YTD)'!$C:$C,B1003,'[1]TrialBalance (YTD)'!$E:$E),SUMIF('[1]TrialBalance (YTD)'!$G:$G,B1003,'[1]TrialBalance (YTD)'!$I:$I))</f>
        <v>#VALUE!</v>
      </c>
      <c r="G1003" s="5">
        <f>IFERROR(INDEX('[1]TrialBalance (YTD)'!$G:$S,MATCH([1]TBMapping!$C1005,'[1]TrialBalance (YTD)'!G:G,0),MATCH([1]TBMapping!H$3,'[1]TrialBalance (YTD)'!$G$7:$Z$7,0)),0)</f>
        <v>0</v>
      </c>
      <c r="H1003" s="5" t="e">
        <f>SUMIF('[1]TrialBalance (YTD)'!G:G,B1003,'[1]TrialBalance (YTD)'!H:H)</f>
        <v>#VALUE!</v>
      </c>
      <c r="I1003" s="5">
        <f>IFERROR(INDEX('[1]TrialBalance (YTD)'!$G:$S,MATCH([1]TBMapping!$C1005,'[1]TrialBalance (YTD)'!G:G,0),MATCH([1]TBMapping!J$3,'[1]TrialBalance (YTD)'!$G$7:$Z$7,0)),0)</f>
        <v>0</v>
      </c>
      <c r="K1003" s="5" t="e">
        <f>SUMIF('[1]TrialBalance (Quarter)'!$A:$A,B1003,'[1]TrialBalance (Quarter)'!$B:$B)</f>
        <v>#VALUE!</v>
      </c>
      <c r="L1003" s="5">
        <f>IFERROR(INDEX('[1]TrialBalance (Quarter)'!$A:$L,MATCH([1]TBMapping!$C1005,'[1]TrialBalance (Quarter)'!A:A,0),MATCH([1]TBMapping!M$3,'[1]TrialBalance (Quarter)'!$7:$7,0)),0)</f>
        <v>0</v>
      </c>
      <c r="M1003" s="5">
        <f>IFERROR(INDEX('[1]TrialBalance (Quarter)'!$A:$L,MATCH([1]TBMapping!$C1005,'[1]TrialBalance (Quarter)'!A:A,0),MATCH([1]TBMapping!N$3,'[1]TrialBalance (Quarter)'!$7:$7,0)),0)</f>
        <v>0</v>
      </c>
      <c r="N1003" s="5">
        <f>IFERROR(INDEX('[1]TrialBalance (Quarter)'!$A:$L,MATCH([1]TBMapping!$C1005,'[1]TrialBalance (Quarter)'!A:A,0),MATCH([1]TBMapping!O$3,'[1]TrialBalance (Quarter)'!$7:$7,0)),0)</f>
        <v>0</v>
      </c>
    </row>
    <row r="1004" spans="1:14">
      <c r="A1004" s="2">
        <v>19</v>
      </c>
      <c r="B1004" s="3">
        <v>393557</v>
      </c>
      <c r="C1004" s="10" t="s">
        <v>814</v>
      </c>
      <c r="D1004" s="10" t="s">
        <v>11</v>
      </c>
      <c r="E1004" s="10"/>
      <c r="F1004" s="5" t="e">
        <f>IF(DataExtraction="Manual",SUMIF('[1]TrialBalance (YTD)'!$C:$C,B1004,'[1]TrialBalance (YTD)'!$E:$E),SUMIF('[1]TrialBalance (YTD)'!$G:$G,B1004,'[1]TrialBalance (YTD)'!$I:$I))</f>
        <v>#VALUE!</v>
      </c>
      <c r="G1004" s="5">
        <f>IFERROR(INDEX('[1]TrialBalance (YTD)'!$G:$S,MATCH([1]TBMapping!$C1006,'[1]TrialBalance (YTD)'!G:G,0),MATCH([1]TBMapping!H$3,'[1]TrialBalance (YTD)'!$G$7:$Z$7,0)),0)</f>
        <v>0</v>
      </c>
      <c r="H1004" s="5" t="e">
        <f>SUMIF('[1]TrialBalance (YTD)'!G:G,B1004,'[1]TrialBalance (YTD)'!H:H)</f>
        <v>#VALUE!</v>
      </c>
      <c r="I1004" s="5">
        <f>IFERROR(INDEX('[1]TrialBalance (YTD)'!$G:$S,MATCH([1]TBMapping!$C1006,'[1]TrialBalance (YTD)'!G:G,0),MATCH([1]TBMapping!J$3,'[1]TrialBalance (YTD)'!$G$7:$Z$7,0)),0)</f>
        <v>0</v>
      </c>
      <c r="K1004" s="5" t="e">
        <f>SUMIF('[1]TrialBalance (Quarter)'!$A:$A,B1004,'[1]TrialBalance (Quarter)'!$B:$B)</f>
        <v>#VALUE!</v>
      </c>
      <c r="L1004" s="5">
        <f>IFERROR(INDEX('[1]TrialBalance (Quarter)'!$A:$L,MATCH([1]TBMapping!$C1006,'[1]TrialBalance (Quarter)'!A:A,0),MATCH([1]TBMapping!M$3,'[1]TrialBalance (Quarter)'!$7:$7,0)),0)</f>
        <v>0</v>
      </c>
      <c r="M1004" s="5">
        <f>IFERROR(INDEX('[1]TrialBalance (Quarter)'!$A:$L,MATCH([1]TBMapping!$C1006,'[1]TrialBalance (Quarter)'!A:A,0),MATCH([1]TBMapping!N$3,'[1]TrialBalance (Quarter)'!$7:$7,0)),0)</f>
        <v>0</v>
      </c>
      <c r="N1004" s="5">
        <f>IFERROR(INDEX('[1]TrialBalance (Quarter)'!$A:$L,MATCH([1]TBMapping!$C1006,'[1]TrialBalance (Quarter)'!A:A,0),MATCH([1]TBMapping!O$3,'[1]TrialBalance (Quarter)'!$7:$7,0)),0)</f>
        <v>0</v>
      </c>
    </row>
    <row r="1005" spans="1:14">
      <c r="A1005" s="2">
        <v>19</v>
      </c>
      <c r="B1005" s="3">
        <v>393558</v>
      </c>
      <c r="C1005" s="11" t="s">
        <v>815</v>
      </c>
      <c r="D1005" s="11" t="s">
        <v>11</v>
      </c>
      <c r="E1005" s="11"/>
      <c r="F1005" s="5" t="e">
        <f>IF(DataExtraction="Manual",SUMIF('[1]TrialBalance (YTD)'!$C:$C,B1005,'[1]TrialBalance (YTD)'!$E:$E),SUMIF('[1]TrialBalance (YTD)'!$G:$G,B1005,'[1]TrialBalance (YTD)'!$I:$I))</f>
        <v>#VALUE!</v>
      </c>
      <c r="G1005" s="5">
        <f>IFERROR(INDEX('[1]TrialBalance (YTD)'!$G:$S,MATCH([1]TBMapping!$C1007,'[1]TrialBalance (YTD)'!G:G,0),MATCH([1]TBMapping!H$3,'[1]TrialBalance (YTD)'!$G$7:$Z$7,0)),0)</f>
        <v>0</v>
      </c>
      <c r="H1005" s="5" t="e">
        <f>SUMIF('[1]TrialBalance (YTD)'!G:G,B1005,'[1]TrialBalance (YTD)'!H:H)</f>
        <v>#VALUE!</v>
      </c>
      <c r="I1005" s="5">
        <f>IFERROR(INDEX('[1]TrialBalance (YTD)'!$G:$S,MATCH([1]TBMapping!$C1007,'[1]TrialBalance (YTD)'!G:G,0),MATCH([1]TBMapping!J$3,'[1]TrialBalance (YTD)'!$G$7:$Z$7,0)),0)</f>
        <v>0</v>
      </c>
      <c r="K1005" s="5" t="e">
        <f>SUMIF('[1]TrialBalance (Quarter)'!$A:$A,B1005,'[1]TrialBalance (Quarter)'!$B:$B)</f>
        <v>#VALUE!</v>
      </c>
      <c r="L1005" s="5">
        <f>IFERROR(INDEX('[1]TrialBalance (Quarter)'!$A:$L,MATCH([1]TBMapping!$C1007,'[1]TrialBalance (Quarter)'!A:A,0),MATCH([1]TBMapping!M$3,'[1]TrialBalance (Quarter)'!$7:$7,0)),0)</f>
        <v>0</v>
      </c>
      <c r="M1005" s="5">
        <f>IFERROR(INDEX('[1]TrialBalance (Quarter)'!$A:$L,MATCH([1]TBMapping!$C1007,'[1]TrialBalance (Quarter)'!A:A,0),MATCH([1]TBMapping!N$3,'[1]TrialBalance (Quarter)'!$7:$7,0)),0)</f>
        <v>0</v>
      </c>
      <c r="N1005" s="5">
        <f>IFERROR(INDEX('[1]TrialBalance (Quarter)'!$A:$L,MATCH([1]TBMapping!$C1007,'[1]TrialBalance (Quarter)'!A:A,0),MATCH([1]TBMapping!O$3,'[1]TrialBalance (Quarter)'!$7:$7,0)),0)</f>
        <v>0</v>
      </c>
    </row>
    <row r="1006" spans="1:14">
      <c r="A1006" s="2">
        <v>19</v>
      </c>
      <c r="B1006" s="3">
        <v>393559</v>
      </c>
      <c r="C1006" s="10" t="s">
        <v>816</v>
      </c>
      <c r="D1006" s="10" t="s">
        <v>11</v>
      </c>
      <c r="E1006" s="10"/>
      <c r="F1006" s="5" t="e">
        <f>IF(DataExtraction="Manual",SUMIF('[1]TrialBalance (YTD)'!$C:$C,B1006,'[1]TrialBalance (YTD)'!$E:$E),SUMIF('[1]TrialBalance (YTD)'!$G:$G,B1006,'[1]TrialBalance (YTD)'!$I:$I))</f>
        <v>#VALUE!</v>
      </c>
      <c r="G1006" s="5">
        <f>IFERROR(INDEX('[1]TrialBalance (YTD)'!$G:$S,MATCH([1]TBMapping!$C1008,'[1]TrialBalance (YTD)'!G:G,0),MATCH([1]TBMapping!H$3,'[1]TrialBalance (YTD)'!$G$7:$Z$7,0)),0)</f>
        <v>0</v>
      </c>
      <c r="H1006" s="5" t="e">
        <f>SUMIF('[1]TrialBalance (YTD)'!G:G,B1006,'[1]TrialBalance (YTD)'!H:H)</f>
        <v>#VALUE!</v>
      </c>
      <c r="I1006" s="5">
        <f>IFERROR(INDEX('[1]TrialBalance (YTD)'!$G:$S,MATCH([1]TBMapping!$C1008,'[1]TrialBalance (YTD)'!G:G,0),MATCH([1]TBMapping!J$3,'[1]TrialBalance (YTD)'!$G$7:$Z$7,0)),0)</f>
        <v>0</v>
      </c>
      <c r="K1006" s="5" t="e">
        <f>SUMIF('[1]TrialBalance (Quarter)'!$A:$A,B1006,'[1]TrialBalance (Quarter)'!$B:$B)</f>
        <v>#VALUE!</v>
      </c>
      <c r="L1006" s="5">
        <f>IFERROR(INDEX('[1]TrialBalance (Quarter)'!$A:$L,MATCH([1]TBMapping!$C1008,'[1]TrialBalance (Quarter)'!A:A,0),MATCH([1]TBMapping!M$3,'[1]TrialBalance (Quarter)'!$7:$7,0)),0)</f>
        <v>0</v>
      </c>
      <c r="M1006" s="5">
        <f>IFERROR(INDEX('[1]TrialBalance (Quarter)'!$A:$L,MATCH([1]TBMapping!$C1008,'[1]TrialBalance (Quarter)'!A:A,0),MATCH([1]TBMapping!N$3,'[1]TrialBalance (Quarter)'!$7:$7,0)),0)</f>
        <v>0</v>
      </c>
      <c r="N1006" s="5">
        <f>IFERROR(INDEX('[1]TrialBalance (Quarter)'!$A:$L,MATCH([1]TBMapping!$C1008,'[1]TrialBalance (Quarter)'!A:A,0),MATCH([1]TBMapping!O$3,'[1]TrialBalance (Quarter)'!$7:$7,0)),0)</f>
        <v>0</v>
      </c>
    </row>
    <row r="1007" spans="1:14">
      <c r="A1007" s="2">
        <v>19</v>
      </c>
      <c r="B1007" s="3">
        <v>393560</v>
      </c>
      <c r="C1007" s="11" t="s">
        <v>817</v>
      </c>
      <c r="D1007" s="11" t="s">
        <v>11</v>
      </c>
      <c r="E1007" s="11"/>
      <c r="F1007" s="5" t="e">
        <f>IF(DataExtraction="Manual",SUMIF('[1]TrialBalance (YTD)'!$C:$C,B1007,'[1]TrialBalance (YTD)'!$E:$E),SUMIF('[1]TrialBalance (YTD)'!$G:$G,B1007,'[1]TrialBalance (YTD)'!$I:$I))</f>
        <v>#VALUE!</v>
      </c>
      <c r="G1007" s="5">
        <f>IFERROR(INDEX('[1]TrialBalance (YTD)'!$G:$S,MATCH([1]TBMapping!$C1009,'[1]TrialBalance (YTD)'!G:G,0),MATCH([1]TBMapping!H$3,'[1]TrialBalance (YTD)'!$G$7:$Z$7,0)),0)</f>
        <v>0</v>
      </c>
      <c r="H1007" s="5" t="e">
        <f>SUMIF('[1]TrialBalance (YTD)'!G:G,B1007,'[1]TrialBalance (YTD)'!H:H)</f>
        <v>#VALUE!</v>
      </c>
      <c r="I1007" s="5">
        <f>IFERROR(INDEX('[1]TrialBalance (YTD)'!$G:$S,MATCH([1]TBMapping!$C1009,'[1]TrialBalance (YTD)'!G:G,0),MATCH([1]TBMapping!J$3,'[1]TrialBalance (YTD)'!$G$7:$Z$7,0)),0)</f>
        <v>0</v>
      </c>
      <c r="K1007" s="5" t="e">
        <f>SUMIF('[1]TrialBalance (Quarter)'!$A:$A,B1007,'[1]TrialBalance (Quarter)'!$B:$B)</f>
        <v>#VALUE!</v>
      </c>
      <c r="L1007" s="5">
        <f>IFERROR(INDEX('[1]TrialBalance (Quarter)'!$A:$L,MATCH([1]TBMapping!$C1009,'[1]TrialBalance (Quarter)'!A:A,0),MATCH([1]TBMapping!M$3,'[1]TrialBalance (Quarter)'!$7:$7,0)),0)</f>
        <v>0</v>
      </c>
      <c r="M1007" s="5">
        <f>IFERROR(INDEX('[1]TrialBalance (Quarter)'!$A:$L,MATCH([1]TBMapping!$C1009,'[1]TrialBalance (Quarter)'!A:A,0),MATCH([1]TBMapping!N$3,'[1]TrialBalance (Quarter)'!$7:$7,0)),0)</f>
        <v>0</v>
      </c>
      <c r="N1007" s="5">
        <f>IFERROR(INDEX('[1]TrialBalance (Quarter)'!$A:$L,MATCH([1]TBMapping!$C1009,'[1]TrialBalance (Quarter)'!A:A,0),MATCH([1]TBMapping!O$3,'[1]TrialBalance (Quarter)'!$7:$7,0)),0)</f>
        <v>0</v>
      </c>
    </row>
    <row r="1008" spans="1:14">
      <c r="A1008" s="2">
        <v>19</v>
      </c>
      <c r="B1008" s="3">
        <v>393561</v>
      </c>
      <c r="C1008" s="10" t="s">
        <v>818</v>
      </c>
      <c r="D1008" s="10" t="s">
        <v>11</v>
      </c>
      <c r="E1008" s="10"/>
      <c r="F1008" s="5" t="e">
        <f>IF(DataExtraction="Manual",SUMIF('[1]TrialBalance (YTD)'!$C:$C,B1008,'[1]TrialBalance (YTD)'!$E:$E),SUMIF('[1]TrialBalance (YTD)'!$G:$G,B1008,'[1]TrialBalance (YTD)'!$I:$I))</f>
        <v>#VALUE!</v>
      </c>
      <c r="G1008" s="5">
        <f>IFERROR(INDEX('[1]TrialBalance (YTD)'!$G:$S,MATCH([1]TBMapping!$C1010,'[1]TrialBalance (YTD)'!G:G,0),MATCH([1]TBMapping!H$3,'[1]TrialBalance (YTD)'!$G$7:$Z$7,0)),0)</f>
        <v>0</v>
      </c>
      <c r="H1008" s="5" t="e">
        <f>SUMIF('[1]TrialBalance (YTD)'!G:G,B1008,'[1]TrialBalance (YTD)'!H:H)</f>
        <v>#VALUE!</v>
      </c>
      <c r="I1008" s="5">
        <f>IFERROR(INDEX('[1]TrialBalance (YTD)'!$G:$S,MATCH([1]TBMapping!$C1010,'[1]TrialBalance (YTD)'!G:G,0),MATCH([1]TBMapping!J$3,'[1]TrialBalance (YTD)'!$G$7:$Z$7,0)),0)</f>
        <v>0</v>
      </c>
      <c r="K1008" s="5" t="e">
        <f>SUMIF('[1]TrialBalance (Quarter)'!$A:$A,B1008,'[1]TrialBalance (Quarter)'!$B:$B)</f>
        <v>#VALUE!</v>
      </c>
      <c r="L1008" s="5">
        <f>IFERROR(INDEX('[1]TrialBalance (Quarter)'!$A:$L,MATCH([1]TBMapping!$C1010,'[1]TrialBalance (Quarter)'!A:A,0),MATCH([1]TBMapping!M$3,'[1]TrialBalance (Quarter)'!$7:$7,0)),0)</f>
        <v>0</v>
      </c>
      <c r="M1008" s="5">
        <f>IFERROR(INDEX('[1]TrialBalance (Quarter)'!$A:$L,MATCH([1]TBMapping!$C1010,'[1]TrialBalance (Quarter)'!A:A,0),MATCH([1]TBMapping!N$3,'[1]TrialBalance (Quarter)'!$7:$7,0)),0)</f>
        <v>0</v>
      </c>
      <c r="N1008" s="5">
        <f>IFERROR(INDEX('[1]TrialBalance (Quarter)'!$A:$L,MATCH([1]TBMapping!$C1010,'[1]TrialBalance (Quarter)'!A:A,0),MATCH([1]TBMapping!O$3,'[1]TrialBalance (Quarter)'!$7:$7,0)),0)</f>
        <v>0</v>
      </c>
    </row>
    <row r="1009" spans="1:14">
      <c r="A1009" s="2">
        <v>19</v>
      </c>
      <c r="B1009" s="3">
        <v>393562</v>
      </c>
      <c r="C1009" s="11" t="s">
        <v>819</v>
      </c>
      <c r="D1009" s="11" t="s">
        <v>11</v>
      </c>
      <c r="E1009" s="11"/>
      <c r="F1009" s="5" t="e">
        <f>IF(DataExtraction="Manual",SUMIF('[1]TrialBalance (YTD)'!$C:$C,B1009,'[1]TrialBalance (YTD)'!$E:$E),SUMIF('[1]TrialBalance (YTD)'!$G:$G,B1009,'[1]TrialBalance (YTD)'!$I:$I))</f>
        <v>#VALUE!</v>
      </c>
      <c r="G1009" s="5">
        <f>IFERROR(INDEX('[1]TrialBalance (YTD)'!$G:$S,MATCH([1]TBMapping!$C1011,'[1]TrialBalance (YTD)'!G:G,0),MATCH([1]TBMapping!H$3,'[1]TrialBalance (YTD)'!$G$7:$Z$7,0)),0)</f>
        <v>0</v>
      </c>
      <c r="H1009" s="5" t="e">
        <f>SUMIF('[1]TrialBalance (YTD)'!G:G,B1009,'[1]TrialBalance (YTD)'!H:H)</f>
        <v>#VALUE!</v>
      </c>
      <c r="I1009" s="5">
        <f>IFERROR(INDEX('[1]TrialBalance (YTD)'!$G:$S,MATCH([1]TBMapping!$C1011,'[1]TrialBalance (YTD)'!G:G,0),MATCH([1]TBMapping!J$3,'[1]TrialBalance (YTD)'!$G$7:$Z$7,0)),0)</f>
        <v>0</v>
      </c>
      <c r="K1009" s="5" t="e">
        <f>SUMIF('[1]TrialBalance (Quarter)'!$A:$A,B1009,'[1]TrialBalance (Quarter)'!$B:$B)</f>
        <v>#VALUE!</v>
      </c>
      <c r="L1009" s="5">
        <f>IFERROR(INDEX('[1]TrialBalance (Quarter)'!$A:$L,MATCH([1]TBMapping!$C1011,'[1]TrialBalance (Quarter)'!A:A,0),MATCH([1]TBMapping!M$3,'[1]TrialBalance (Quarter)'!$7:$7,0)),0)</f>
        <v>0</v>
      </c>
      <c r="M1009" s="5">
        <f>IFERROR(INDEX('[1]TrialBalance (Quarter)'!$A:$L,MATCH([1]TBMapping!$C1011,'[1]TrialBalance (Quarter)'!A:A,0),MATCH([1]TBMapping!N$3,'[1]TrialBalance (Quarter)'!$7:$7,0)),0)</f>
        <v>0</v>
      </c>
      <c r="N1009" s="5">
        <f>IFERROR(INDEX('[1]TrialBalance (Quarter)'!$A:$L,MATCH([1]TBMapping!$C1011,'[1]TrialBalance (Quarter)'!A:A,0),MATCH([1]TBMapping!O$3,'[1]TrialBalance (Quarter)'!$7:$7,0)),0)</f>
        <v>0</v>
      </c>
    </row>
    <row r="1010" spans="1:14">
      <c r="A1010" s="2">
        <v>19</v>
      </c>
      <c r="B1010" s="3">
        <v>393563</v>
      </c>
      <c r="C1010" s="10" t="s">
        <v>820</v>
      </c>
      <c r="D1010" s="10" t="s">
        <v>11</v>
      </c>
      <c r="E1010" s="10"/>
      <c r="F1010" s="5" t="e">
        <f>IF(DataExtraction="Manual",SUMIF('[1]TrialBalance (YTD)'!$C:$C,B1010,'[1]TrialBalance (YTD)'!$E:$E),SUMIF('[1]TrialBalance (YTD)'!$G:$G,B1010,'[1]TrialBalance (YTD)'!$I:$I))</f>
        <v>#VALUE!</v>
      </c>
      <c r="G1010" s="5">
        <f>IFERROR(INDEX('[1]TrialBalance (YTD)'!$G:$S,MATCH([1]TBMapping!$C1012,'[1]TrialBalance (YTD)'!G:G,0),MATCH([1]TBMapping!H$3,'[1]TrialBalance (YTD)'!$G$7:$Z$7,0)),0)</f>
        <v>0</v>
      </c>
      <c r="H1010" s="5" t="e">
        <f>SUMIF('[1]TrialBalance (YTD)'!G:G,B1010,'[1]TrialBalance (YTD)'!H:H)</f>
        <v>#VALUE!</v>
      </c>
      <c r="I1010" s="5">
        <f>IFERROR(INDEX('[1]TrialBalance (YTD)'!$G:$S,MATCH([1]TBMapping!$C1012,'[1]TrialBalance (YTD)'!G:G,0),MATCH([1]TBMapping!J$3,'[1]TrialBalance (YTD)'!$G$7:$Z$7,0)),0)</f>
        <v>0</v>
      </c>
      <c r="K1010" s="5" t="e">
        <f>SUMIF('[1]TrialBalance (Quarter)'!$A:$A,B1010,'[1]TrialBalance (Quarter)'!$B:$B)</f>
        <v>#VALUE!</v>
      </c>
      <c r="L1010" s="5">
        <f>IFERROR(INDEX('[1]TrialBalance (Quarter)'!$A:$L,MATCH([1]TBMapping!$C1012,'[1]TrialBalance (Quarter)'!A:A,0),MATCH([1]TBMapping!M$3,'[1]TrialBalance (Quarter)'!$7:$7,0)),0)</f>
        <v>0</v>
      </c>
      <c r="M1010" s="5">
        <f>IFERROR(INDEX('[1]TrialBalance (Quarter)'!$A:$L,MATCH([1]TBMapping!$C1012,'[1]TrialBalance (Quarter)'!A:A,0),MATCH([1]TBMapping!N$3,'[1]TrialBalance (Quarter)'!$7:$7,0)),0)</f>
        <v>0</v>
      </c>
      <c r="N1010" s="5">
        <f>IFERROR(INDEX('[1]TrialBalance (Quarter)'!$A:$L,MATCH([1]TBMapping!$C1012,'[1]TrialBalance (Quarter)'!A:A,0),MATCH([1]TBMapping!O$3,'[1]TrialBalance (Quarter)'!$7:$7,0)),0)</f>
        <v>0</v>
      </c>
    </row>
    <row r="1011" spans="1:14">
      <c r="A1011" s="2">
        <v>19</v>
      </c>
      <c r="B1011" s="3">
        <v>393564</v>
      </c>
      <c r="C1011" s="11" t="s">
        <v>821</v>
      </c>
      <c r="D1011" s="11" t="s">
        <v>11</v>
      </c>
      <c r="E1011" s="11"/>
      <c r="F1011" s="5" t="e">
        <f>IF(DataExtraction="Manual",SUMIF('[1]TrialBalance (YTD)'!$C:$C,B1011,'[1]TrialBalance (YTD)'!$E:$E),SUMIF('[1]TrialBalance (YTD)'!$G:$G,B1011,'[1]TrialBalance (YTD)'!$I:$I))</f>
        <v>#VALUE!</v>
      </c>
      <c r="G1011" s="5">
        <f>IFERROR(INDEX('[1]TrialBalance (YTD)'!$G:$S,MATCH([1]TBMapping!$C1013,'[1]TrialBalance (YTD)'!G:G,0),MATCH([1]TBMapping!H$3,'[1]TrialBalance (YTD)'!$G$7:$Z$7,0)),0)</f>
        <v>0</v>
      </c>
      <c r="H1011" s="5" t="e">
        <f>SUMIF('[1]TrialBalance (YTD)'!G:G,B1011,'[1]TrialBalance (YTD)'!H:H)</f>
        <v>#VALUE!</v>
      </c>
      <c r="I1011" s="5">
        <f>IFERROR(INDEX('[1]TrialBalance (YTD)'!$G:$S,MATCH([1]TBMapping!$C1013,'[1]TrialBalance (YTD)'!G:G,0),MATCH([1]TBMapping!J$3,'[1]TrialBalance (YTD)'!$G$7:$Z$7,0)),0)</f>
        <v>0</v>
      </c>
      <c r="K1011" s="5" t="e">
        <f>SUMIF('[1]TrialBalance (Quarter)'!$A:$A,B1011,'[1]TrialBalance (Quarter)'!$B:$B)</f>
        <v>#VALUE!</v>
      </c>
      <c r="L1011" s="5">
        <f>IFERROR(INDEX('[1]TrialBalance (Quarter)'!$A:$L,MATCH([1]TBMapping!$C1013,'[1]TrialBalance (Quarter)'!A:A,0),MATCH([1]TBMapping!M$3,'[1]TrialBalance (Quarter)'!$7:$7,0)),0)</f>
        <v>0</v>
      </c>
      <c r="M1011" s="5">
        <f>IFERROR(INDEX('[1]TrialBalance (Quarter)'!$A:$L,MATCH([1]TBMapping!$C1013,'[1]TrialBalance (Quarter)'!A:A,0),MATCH([1]TBMapping!N$3,'[1]TrialBalance (Quarter)'!$7:$7,0)),0)</f>
        <v>0</v>
      </c>
      <c r="N1011" s="5">
        <f>IFERROR(INDEX('[1]TrialBalance (Quarter)'!$A:$L,MATCH([1]TBMapping!$C1013,'[1]TrialBalance (Quarter)'!A:A,0),MATCH([1]TBMapping!O$3,'[1]TrialBalance (Quarter)'!$7:$7,0)),0)</f>
        <v>0</v>
      </c>
    </row>
    <row r="1012" spans="1:14">
      <c r="A1012" s="2">
        <v>19</v>
      </c>
      <c r="B1012" s="3">
        <v>393565</v>
      </c>
      <c r="C1012" s="10" t="s">
        <v>822</v>
      </c>
      <c r="D1012" s="10" t="s">
        <v>11</v>
      </c>
      <c r="E1012" s="10"/>
      <c r="F1012" s="5" t="e">
        <f>IF(DataExtraction="Manual",SUMIF('[1]TrialBalance (YTD)'!$C:$C,B1012,'[1]TrialBalance (YTD)'!$E:$E),SUMIF('[1]TrialBalance (YTD)'!$G:$G,B1012,'[1]TrialBalance (YTD)'!$I:$I))</f>
        <v>#VALUE!</v>
      </c>
      <c r="G1012" s="5">
        <f>IFERROR(INDEX('[1]TrialBalance (YTD)'!$G:$S,MATCH([1]TBMapping!$C1014,'[1]TrialBalance (YTD)'!G:G,0),MATCH([1]TBMapping!H$3,'[1]TrialBalance (YTD)'!$G$7:$Z$7,0)),0)</f>
        <v>0</v>
      </c>
      <c r="H1012" s="5" t="e">
        <f>SUMIF('[1]TrialBalance (YTD)'!G:G,B1012,'[1]TrialBalance (YTD)'!H:H)</f>
        <v>#VALUE!</v>
      </c>
      <c r="I1012" s="5">
        <f>IFERROR(INDEX('[1]TrialBalance (YTD)'!$G:$S,MATCH([1]TBMapping!$C1014,'[1]TrialBalance (YTD)'!G:G,0),MATCH([1]TBMapping!J$3,'[1]TrialBalance (YTD)'!$G$7:$Z$7,0)),0)</f>
        <v>0</v>
      </c>
      <c r="K1012" s="5" t="e">
        <f>SUMIF('[1]TrialBalance (Quarter)'!$A:$A,B1012,'[1]TrialBalance (Quarter)'!$B:$B)</f>
        <v>#VALUE!</v>
      </c>
      <c r="L1012" s="5">
        <f>IFERROR(INDEX('[1]TrialBalance (Quarter)'!$A:$L,MATCH([1]TBMapping!$C1014,'[1]TrialBalance (Quarter)'!A:A,0),MATCH([1]TBMapping!M$3,'[1]TrialBalance (Quarter)'!$7:$7,0)),0)</f>
        <v>0</v>
      </c>
      <c r="M1012" s="5">
        <f>IFERROR(INDEX('[1]TrialBalance (Quarter)'!$A:$L,MATCH([1]TBMapping!$C1014,'[1]TrialBalance (Quarter)'!A:A,0),MATCH([1]TBMapping!N$3,'[1]TrialBalance (Quarter)'!$7:$7,0)),0)</f>
        <v>0</v>
      </c>
      <c r="N1012" s="5">
        <f>IFERROR(INDEX('[1]TrialBalance (Quarter)'!$A:$L,MATCH([1]TBMapping!$C1014,'[1]TrialBalance (Quarter)'!A:A,0),MATCH([1]TBMapping!O$3,'[1]TrialBalance (Quarter)'!$7:$7,0)),0)</f>
        <v>0</v>
      </c>
    </row>
    <row r="1013" spans="1:14">
      <c r="A1013" s="2">
        <v>19</v>
      </c>
      <c r="B1013" s="3">
        <v>393566</v>
      </c>
      <c r="C1013" s="11" t="s">
        <v>823</v>
      </c>
      <c r="D1013" s="11" t="s">
        <v>11</v>
      </c>
      <c r="E1013" s="11"/>
      <c r="F1013" s="5" t="e">
        <f>IF(DataExtraction="Manual",SUMIF('[1]TrialBalance (YTD)'!$C:$C,B1013,'[1]TrialBalance (YTD)'!$E:$E),SUMIF('[1]TrialBalance (YTD)'!$G:$G,B1013,'[1]TrialBalance (YTD)'!$I:$I))</f>
        <v>#VALUE!</v>
      </c>
      <c r="G1013" s="5">
        <f>IFERROR(INDEX('[1]TrialBalance (YTD)'!$G:$S,MATCH([1]TBMapping!$C1015,'[1]TrialBalance (YTD)'!G:G,0),MATCH([1]TBMapping!H$3,'[1]TrialBalance (YTD)'!$G$7:$Z$7,0)),0)</f>
        <v>0</v>
      </c>
      <c r="H1013" s="5" t="e">
        <f>SUMIF('[1]TrialBalance (YTD)'!G:G,B1013,'[1]TrialBalance (YTD)'!H:H)</f>
        <v>#VALUE!</v>
      </c>
      <c r="I1013" s="5">
        <f>IFERROR(INDEX('[1]TrialBalance (YTD)'!$G:$S,MATCH([1]TBMapping!$C1015,'[1]TrialBalance (YTD)'!G:G,0),MATCH([1]TBMapping!J$3,'[1]TrialBalance (YTD)'!$G$7:$Z$7,0)),0)</f>
        <v>0</v>
      </c>
      <c r="K1013" s="5" t="e">
        <f>SUMIF('[1]TrialBalance (Quarter)'!$A:$A,B1013,'[1]TrialBalance (Quarter)'!$B:$B)</f>
        <v>#VALUE!</v>
      </c>
      <c r="L1013" s="5">
        <f>IFERROR(INDEX('[1]TrialBalance (Quarter)'!$A:$L,MATCH([1]TBMapping!$C1015,'[1]TrialBalance (Quarter)'!A:A,0),MATCH([1]TBMapping!M$3,'[1]TrialBalance (Quarter)'!$7:$7,0)),0)</f>
        <v>0</v>
      </c>
      <c r="M1013" s="5">
        <f>IFERROR(INDEX('[1]TrialBalance (Quarter)'!$A:$L,MATCH([1]TBMapping!$C1015,'[1]TrialBalance (Quarter)'!A:A,0),MATCH([1]TBMapping!N$3,'[1]TrialBalance (Quarter)'!$7:$7,0)),0)</f>
        <v>0</v>
      </c>
      <c r="N1013" s="5">
        <f>IFERROR(INDEX('[1]TrialBalance (Quarter)'!$A:$L,MATCH([1]TBMapping!$C1015,'[1]TrialBalance (Quarter)'!A:A,0),MATCH([1]TBMapping!O$3,'[1]TrialBalance (Quarter)'!$7:$7,0)),0)</f>
        <v>0</v>
      </c>
    </row>
    <row r="1014" spans="1:14">
      <c r="A1014" s="2">
        <v>19</v>
      </c>
      <c r="B1014" s="3">
        <v>393567</v>
      </c>
      <c r="C1014" s="10" t="s">
        <v>824</v>
      </c>
      <c r="D1014" s="10" t="s">
        <v>11</v>
      </c>
      <c r="E1014" s="10"/>
      <c r="F1014" s="5" t="e">
        <f>IF(DataExtraction="Manual",SUMIF('[1]TrialBalance (YTD)'!$C:$C,B1014,'[1]TrialBalance (YTD)'!$E:$E),SUMIF('[1]TrialBalance (YTD)'!$G:$G,B1014,'[1]TrialBalance (YTD)'!$I:$I))</f>
        <v>#VALUE!</v>
      </c>
      <c r="G1014" s="5">
        <f>IFERROR(INDEX('[1]TrialBalance (YTD)'!$G:$S,MATCH([1]TBMapping!$C1016,'[1]TrialBalance (YTD)'!G:G,0),MATCH([1]TBMapping!H$3,'[1]TrialBalance (YTD)'!$G$7:$Z$7,0)),0)</f>
        <v>0</v>
      </c>
      <c r="H1014" s="5" t="e">
        <f>SUMIF('[1]TrialBalance (YTD)'!G:G,B1014,'[1]TrialBalance (YTD)'!H:H)</f>
        <v>#VALUE!</v>
      </c>
      <c r="I1014" s="5">
        <f>IFERROR(INDEX('[1]TrialBalance (YTD)'!$G:$S,MATCH([1]TBMapping!$C1016,'[1]TrialBalance (YTD)'!G:G,0),MATCH([1]TBMapping!J$3,'[1]TrialBalance (YTD)'!$G$7:$Z$7,0)),0)</f>
        <v>0</v>
      </c>
      <c r="K1014" s="5" t="e">
        <f>SUMIF('[1]TrialBalance (Quarter)'!$A:$A,B1014,'[1]TrialBalance (Quarter)'!$B:$B)</f>
        <v>#VALUE!</v>
      </c>
      <c r="L1014" s="5">
        <f>IFERROR(INDEX('[1]TrialBalance (Quarter)'!$A:$L,MATCH([1]TBMapping!$C1016,'[1]TrialBalance (Quarter)'!A:A,0),MATCH([1]TBMapping!M$3,'[1]TrialBalance (Quarter)'!$7:$7,0)),0)</f>
        <v>0</v>
      </c>
      <c r="M1014" s="5">
        <f>IFERROR(INDEX('[1]TrialBalance (Quarter)'!$A:$L,MATCH([1]TBMapping!$C1016,'[1]TrialBalance (Quarter)'!A:A,0),MATCH([1]TBMapping!N$3,'[1]TrialBalance (Quarter)'!$7:$7,0)),0)</f>
        <v>0</v>
      </c>
      <c r="N1014" s="5">
        <f>IFERROR(INDEX('[1]TrialBalance (Quarter)'!$A:$L,MATCH([1]TBMapping!$C1016,'[1]TrialBalance (Quarter)'!A:A,0),MATCH([1]TBMapping!O$3,'[1]TrialBalance (Quarter)'!$7:$7,0)),0)</f>
        <v>0</v>
      </c>
    </row>
    <row r="1015" spans="1:14">
      <c r="A1015" s="2">
        <v>19</v>
      </c>
      <c r="B1015" s="3">
        <v>393800</v>
      </c>
      <c r="C1015" s="11" t="s">
        <v>825</v>
      </c>
      <c r="D1015" s="11" t="s">
        <v>11</v>
      </c>
      <c r="E1015" s="11"/>
      <c r="F1015" s="5" t="e">
        <f>IF(DataExtraction="Manual",SUMIF('[1]TrialBalance (YTD)'!$C:$C,B1015,'[1]TrialBalance (YTD)'!$E:$E),SUMIF('[1]TrialBalance (YTD)'!$G:$G,B1015,'[1]TrialBalance (YTD)'!$I:$I))</f>
        <v>#VALUE!</v>
      </c>
      <c r="G1015" s="5">
        <f>IFERROR(INDEX('[1]TrialBalance (YTD)'!$G:$S,MATCH([1]TBMapping!$C1017,'[1]TrialBalance (YTD)'!G:G,0),MATCH([1]TBMapping!H$3,'[1]TrialBalance (YTD)'!$G$7:$Z$7,0)),0)</f>
        <v>0</v>
      </c>
      <c r="H1015" s="5" t="e">
        <f>SUMIF('[1]TrialBalance (YTD)'!G:G,B1015,'[1]TrialBalance (YTD)'!H:H)</f>
        <v>#VALUE!</v>
      </c>
      <c r="I1015" s="5">
        <f>IFERROR(INDEX('[1]TrialBalance (YTD)'!$G:$S,MATCH([1]TBMapping!$C1017,'[1]TrialBalance (YTD)'!G:G,0),MATCH([1]TBMapping!J$3,'[1]TrialBalance (YTD)'!$G$7:$Z$7,0)),0)</f>
        <v>0</v>
      </c>
      <c r="K1015" s="5" t="e">
        <f>SUMIF('[1]TrialBalance (Quarter)'!$A:$A,B1015,'[1]TrialBalance (Quarter)'!$B:$B)</f>
        <v>#VALUE!</v>
      </c>
      <c r="L1015" s="5">
        <f>IFERROR(INDEX('[1]TrialBalance (Quarter)'!$A:$L,MATCH([1]TBMapping!$C1017,'[1]TrialBalance (Quarter)'!A:A,0),MATCH([1]TBMapping!M$3,'[1]TrialBalance (Quarter)'!$7:$7,0)),0)</f>
        <v>0</v>
      </c>
      <c r="M1015" s="5">
        <f>IFERROR(INDEX('[1]TrialBalance (Quarter)'!$A:$L,MATCH([1]TBMapping!$C1017,'[1]TrialBalance (Quarter)'!A:A,0),MATCH([1]TBMapping!N$3,'[1]TrialBalance (Quarter)'!$7:$7,0)),0)</f>
        <v>0</v>
      </c>
      <c r="N1015" s="5">
        <f>IFERROR(INDEX('[1]TrialBalance (Quarter)'!$A:$L,MATCH([1]TBMapping!$C1017,'[1]TrialBalance (Quarter)'!A:A,0),MATCH([1]TBMapping!O$3,'[1]TrialBalance (Quarter)'!$7:$7,0)),0)</f>
        <v>0</v>
      </c>
    </row>
    <row r="1016" spans="1:14">
      <c r="B1016" s="3">
        <v>393999</v>
      </c>
      <c r="C1016" s="10" t="s">
        <v>826</v>
      </c>
      <c r="D1016" s="10" t="s">
        <v>16</v>
      </c>
      <c r="E1016" s="10"/>
      <c r="F1016" s="5" t="e">
        <f>IF(DataExtraction="Manual",SUMIF('[1]TrialBalance (YTD)'!$C:$C,B1016,'[1]TrialBalance (YTD)'!$E:$E),SUMIF('[1]TrialBalance (YTD)'!$G:$G,B1016,'[1]TrialBalance (YTD)'!$I:$I))</f>
        <v>#VALUE!</v>
      </c>
      <c r="G1016" s="5">
        <f>IFERROR(INDEX('[1]TrialBalance (YTD)'!$G:$S,MATCH([1]TBMapping!$C1018,'[1]TrialBalance (YTD)'!G:G,0),MATCH([1]TBMapping!H$3,'[1]TrialBalance (YTD)'!$G$7:$Z$7,0)),0)</f>
        <v>0</v>
      </c>
      <c r="H1016" s="5" t="e">
        <f>SUMIF('[1]TrialBalance (YTD)'!G:G,B1016,'[1]TrialBalance (YTD)'!H:H)</f>
        <v>#VALUE!</v>
      </c>
      <c r="I1016" s="5">
        <f>IFERROR(INDEX('[1]TrialBalance (YTD)'!$G:$S,MATCH([1]TBMapping!$C1018,'[1]TrialBalance (YTD)'!G:G,0),MATCH([1]TBMapping!J$3,'[1]TrialBalance (YTD)'!$G$7:$Z$7,0)),0)</f>
        <v>0</v>
      </c>
      <c r="K1016" s="5" t="e">
        <f>SUMIF('[1]TrialBalance (Quarter)'!$A:$A,B1016,'[1]TrialBalance (Quarter)'!$B:$B)</f>
        <v>#VALUE!</v>
      </c>
      <c r="L1016" s="5">
        <f>IFERROR(INDEX('[1]TrialBalance (Quarter)'!$A:$L,MATCH([1]TBMapping!$C1018,'[1]TrialBalance (Quarter)'!A:A,0),MATCH([1]TBMapping!M$3,'[1]TrialBalance (Quarter)'!$7:$7,0)),0)</f>
        <v>0</v>
      </c>
      <c r="M1016" s="5">
        <f>IFERROR(INDEX('[1]TrialBalance (Quarter)'!$A:$L,MATCH([1]TBMapping!$C1018,'[1]TrialBalance (Quarter)'!A:A,0),MATCH([1]TBMapping!N$3,'[1]TrialBalance (Quarter)'!$7:$7,0)),0)</f>
        <v>0</v>
      </c>
      <c r="N1016" s="5">
        <f>IFERROR(INDEX('[1]TrialBalance (Quarter)'!$A:$L,MATCH([1]TBMapping!$C1018,'[1]TrialBalance (Quarter)'!A:A,0),MATCH([1]TBMapping!O$3,'[1]TrialBalance (Quarter)'!$7:$7,0)),0)</f>
        <v>0</v>
      </c>
    </row>
    <row r="1017" spans="1:14">
      <c r="B1017" s="3">
        <v>399997</v>
      </c>
      <c r="C1017" s="11" t="s">
        <v>827</v>
      </c>
      <c r="D1017" s="11" t="s">
        <v>16</v>
      </c>
      <c r="E1017" s="11"/>
      <c r="F1017" s="5" t="e">
        <f>IF(DataExtraction="Manual",SUMIF('[1]TrialBalance (YTD)'!$C:$C,B1017,'[1]TrialBalance (YTD)'!$E:$E),SUMIF('[1]TrialBalance (YTD)'!$G:$G,B1017,'[1]TrialBalance (YTD)'!$I:$I))</f>
        <v>#VALUE!</v>
      </c>
      <c r="G1017" s="5">
        <f>IFERROR(INDEX('[1]TrialBalance (YTD)'!$G:$S,MATCH([1]TBMapping!$C1019,'[1]TrialBalance (YTD)'!G:G,0),MATCH([1]TBMapping!H$3,'[1]TrialBalance (YTD)'!$G$7:$Z$7,0)),0)</f>
        <v>0</v>
      </c>
      <c r="H1017" s="5" t="e">
        <f>SUMIF('[1]TrialBalance (YTD)'!G:G,B1017,'[1]TrialBalance (YTD)'!H:H)</f>
        <v>#VALUE!</v>
      </c>
      <c r="I1017" s="5">
        <f>IFERROR(INDEX('[1]TrialBalance (YTD)'!$G:$S,MATCH([1]TBMapping!$C1019,'[1]TrialBalance (YTD)'!G:G,0),MATCH([1]TBMapping!J$3,'[1]TrialBalance (YTD)'!$G$7:$Z$7,0)),0)</f>
        <v>0</v>
      </c>
      <c r="K1017" s="5" t="e">
        <f>SUMIF('[1]TrialBalance (Quarter)'!$A:$A,B1017,'[1]TrialBalance (Quarter)'!$B:$B)</f>
        <v>#VALUE!</v>
      </c>
      <c r="L1017" s="5">
        <f>IFERROR(INDEX('[1]TrialBalance (Quarter)'!$A:$L,MATCH([1]TBMapping!$C1019,'[1]TrialBalance (Quarter)'!A:A,0),MATCH([1]TBMapping!M$3,'[1]TrialBalance (Quarter)'!$7:$7,0)),0)</f>
        <v>0</v>
      </c>
      <c r="M1017" s="5">
        <f>IFERROR(INDEX('[1]TrialBalance (Quarter)'!$A:$L,MATCH([1]TBMapping!$C1019,'[1]TrialBalance (Quarter)'!A:A,0),MATCH([1]TBMapping!N$3,'[1]TrialBalance (Quarter)'!$7:$7,0)),0)</f>
        <v>0</v>
      </c>
      <c r="N1017" s="5">
        <f>IFERROR(INDEX('[1]TrialBalance (Quarter)'!$A:$L,MATCH([1]TBMapping!$C1019,'[1]TrialBalance (Quarter)'!A:A,0),MATCH([1]TBMapping!O$3,'[1]TrialBalance (Quarter)'!$7:$7,0)),0)</f>
        <v>0</v>
      </c>
    </row>
    <row r="1018" spans="1:14">
      <c r="B1018" s="3">
        <v>399998</v>
      </c>
      <c r="C1018" s="10" t="s">
        <v>828</v>
      </c>
      <c r="D1018" s="10" t="s">
        <v>16</v>
      </c>
      <c r="E1018" s="10"/>
      <c r="F1018" s="5" t="e">
        <f>IF(DataExtraction="Manual",SUMIF('[1]TrialBalance (YTD)'!$C:$C,B1018,'[1]TrialBalance (YTD)'!$E:$E),SUMIF('[1]TrialBalance (YTD)'!$G:$G,B1018,'[1]TrialBalance (YTD)'!$I:$I))</f>
        <v>#VALUE!</v>
      </c>
      <c r="G1018" s="5">
        <f>IFERROR(INDEX('[1]TrialBalance (YTD)'!$G:$S,MATCH([1]TBMapping!$C1020,'[1]TrialBalance (YTD)'!G:G,0),MATCH([1]TBMapping!H$3,'[1]TrialBalance (YTD)'!$G$7:$Z$7,0)),0)</f>
        <v>0</v>
      </c>
      <c r="H1018" s="5" t="e">
        <f>SUMIF('[1]TrialBalance (YTD)'!G:G,B1018,'[1]TrialBalance (YTD)'!H:H)</f>
        <v>#VALUE!</v>
      </c>
      <c r="I1018" s="5">
        <f>IFERROR(INDEX('[1]TrialBalance (YTD)'!$G:$S,MATCH([1]TBMapping!$C1020,'[1]TrialBalance (YTD)'!G:G,0),MATCH([1]TBMapping!J$3,'[1]TrialBalance (YTD)'!$G$7:$Z$7,0)),0)</f>
        <v>0</v>
      </c>
      <c r="K1018" s="5" t="e">
        <f>SUMIF('[1]TrialBalance (Quarter)'!$A:$A,B1018,'[1]TrialBalance (Quarter)'!$B:$B)</f>
        <v>#VALUE!</v>
      </c>
      <c r="L1018" s="5">
        <f>IFERROR(INDEX('[1]TrialBalance (Quarter)'!$A:$L,MATCH([1]TBMapping!$C1020,'[1]TrialBalance (Quarter)'!A:A,0),MATCH([1]TBMapping!M$3,'[1]TrialBalance (Quarter)'!$7:$7,0)),0)</f>
        <v>0</v>
      </c>
      <c r="M1018" s="5">
        <f>IFERROR(INDEX('[1]TrialBalance (Quarter)'!$A:$L,MATCH([1]TBMapping!$C1020,'[1]TrialBalance (Quarter)'!A:A,0),MATCH([1]TBMapping!N$3,'[1]TrialBalance (Quarter)'!$7:$7,0)),0)</f>
        <v>0</v>
      </c>
      <c r="N1018" s="5">
        <f>IFERROR(INDEX('[1]TrialBalance (Quarter)'!$A:$L,MATCH([1]TBMapping!$C1020,'[1]TrialBalance (Quarter)'!A:A,0),MATCH([1]TBMapping!O$3,'[1]TrialBalance (Quarter)'!$7:$7,0)),0)</f>
        <v>0</v>
      </c>
    </row>
    <row r="1019" spans="1:14">
      <c r="B1019" s="3">
        <v>399999</v>
      </c>
      <c r="C1019" s="11" t="s">
        <v>829</v>
      </c>
      <c r="D1019" s="11" t="s">
        <v>16</v>
      </c>
      <c r="E1019" s="11"/>
      <c r="F1019" s="5" t="e">
        <f>IF(DataExtraction="Manual",SUMIF('[1]TrialBalance (YTD)'!$C:$C,B1019,'[1]TrialBalance (YTD)'!$E:$E),SUMIF('[1]TrialBalance (YTD)'!$G:$G,B1019,'[1]TrialBalance (YTD)'!$I:$I))</f>
        <v>#VALUE!</v>
      </c>
      <c r="G1019" s="5">
        <f>IFERROR(INDEX('[1]TrialBalance (YTD)'!$G:$S,MATCH([1]TBMapping!$C1021,'[1]TrialBalance (YTD)'!G:G,0),MATCH([1]TBMapping!H$3,'[1]TrialBalance (YTD)'!$G$7:$Z$7,0)),0)</f>
        <v>0</v>
      </c>
      <c r="H1019" s="5" t="e">
        <f>SUMIF('[1]TrialBalance (YTD)'!G:G,B1019,'[1]TrialBalance (YTD)'!H:H)</f>
        <v>#VALUE!</v>
      </c>
      <c r="I1019" s="5">
        <f>IFERROR(INDEX('[1]TrialBalance (YTD)'!$G:$S,MATCH([1]TBMapping!$C1021,'[1]TrialBalance (YTD)'!G:G,0),MATCH([1]TBMapping!J$3,'[1]TrialBalance (YTD)'!$G$7:$Z$7,0)),0)</f>
        <v>0</v>
      </c>
      <c r="K1019" s="5" t="e">
        <f>SUMIF('[1]TrialBalance (Quarter)'!$A:$A,B1019,'[1]TrialBalance (Quarter)'!$B:$B)</f>
        <v>#VALUE!</v>
      </c>
      <c r="L1019" s="5">
        <f>IFERROR(INDEX('[1]TrialBalance (Quarter)'!$A:$L,MATCH([1]TBMapping!$C1021,'[1]TrialBalance (Quarter)'!A:A,0),MATCH([1]TBMapping!M$3,'[1]TrialBalance (Quarter)'!$7:$7,0)),0)</f>
        <v>0</v>
      </c>
      <c r="M1019" s="5">
        <f>IFERROR(INDEX('[1]TrialBalance (Quarter)'!$A:$L,MATCH([1]TBMapping!$C1021,'[1]TrialBalance (Quarter)'!A:A,0),MATCH([1]TBMapping!N$3,'[1]TrialBalance (Quarter)'!$7:$7,0)),0)</f>
        <v>0</v>
      </c>
      <c r="N1019" s="5">
        <f>IFERROR(INDEX('[1]TrialBalance (Quarter)'!$A:$L,MATCH([1]TBMapping!$C1021,'[1]TrialBalance (Quarter)'!A:A,0),MATCH([1]TBMapping!O$3,'[1]TrialBalance (Quarter)'!$7:$7,0)),0)</f>
        <v>0</v>
      </c>
    </row>
    <row r="1020" spans="1:14">
      <c r="B1020" s="3">
        <v>400000</v>
      </c>
      <c r="C1020" s="10" t="s">
        <v>830</v>
      </c>
      <c r="D1020" s="10" t="s">
        <v>5</v>
      </c>
      <c r="E1020" s="10"/>
      <c r="F1020" s="5" t="e">
        <f>IF(DataExtraction="Manual",SUMIF('[1]TrialBalance (YTD)'!$C:$C,B1020,'[1]TrialBalance (YTD)'!$E:$E),SUMIF('[1]TrialBalance (YTD)'!$G:$G,B1020,'[1]TrialBalance (YTD)'!$I:$I))</f>
        <v>#VALUE!</v>
      </c>
      <c r="G1020" s="5">
        <f>IFERROR(INDEX('[1]TrialBalance (YTD)'!$G:$S,MATCH([1]TBMapping!$C1022,'[1]TrialBalance (YTD)'!G:G,0),MATCH([1]TBMapping!H$3,'[1]TrialBalance (YTD)'!$G$7:$Z$7,0)),0)</f>
        <v>0</v>
      </c>
      <c r="H1020" s="5" t="e">
        <f>SUMIF('[1]TrialBalance (YTD)'!G:G,B1020,'[1]TrialBalance (YTD)'!H:H)</f>
        <v>#VALUE!</v>
      </c>
      <c r="I1020" s="5">
        <f>IFERROR(INDEX('[1]TrialBalance (YTD)'!$G:$S,MATCH([1]TBMapping!$C1022,'[1]TrialBalance (YTD)'!G:G,0),MATCH([1]TBMapping!J$3,'[1]TrialBalance (YTD)'!$G$7:$Z$7,0)),0)</f>
        <v>0</v>
      </c>
      <c r="K1020" s="5" t="e">
        <f>SUMIF('[1]TrialBalance (Quarter)'!$A:$A,B1020,'[1]TrialBalance (Quarter)'!$B:$B)</f>
        <v>#VALUE!</v>
      </c>
      <c r="L1020" s="5">
        <f>IFERROR(INDEX('[1]TrialBalance (Quarter)'!$A:$L,MATCH([1]TBMapping!$C1022,'[1]TrialBalance (Quarter)'!A:A,0),MATCH([1]TBMapping!M$3,'[1]TrialBalance (Quarter)'!$7:$7,0)),0)</f>
        <v>0</v>
      </c>
      <c r="M1020" s="5">
        <f>IFERROR(INDEX('[1]TrialBalance (Quarter)'!$A:$L,MATCH([1]TBMapping!$C1022,'[1]TrialBalance (Quarter)'!A:A,0),MATCH([1]TBMapping!N$3,'[1]TrialBalance (Quarter)'!$7:$7,0)),0)</f>
        <v>0</v>
      </c>
      <c r="N1020" s="5">
        <f>IFERROR(INDEX('[1]TrialBalance (Quarter)'!$A:$L,MATCH([1]TBMapping!$C1022,'[1]TrialBalance (Quarter)'!A:A,0),MATCH([1]TBMapping!O$3,'[1]TrialBalance (Quarter)'!$7:$7,0)),0)</f>
        <v>0</v>
      </c>
    </row>
    <row r="1021" spans="1:14">
      <c r="B1021" s="3">
        <v>410000</v>
      </c>
      <c r="C1021" s="11" t="s">
        <v>831</v>
      </c>
      <c r="D1021" s="11" t="s">
        <v>5</v>
      </c>
      <c r="E1021" s="11"/>
      <c r="F1021" s="5" t="e">
        <f>IF(DataExtraction="Manual",SUMIF('[1]TrialBalance (YTD)'!$C:$C,B1021,'[1]TrialBalance (YTD)'!$E:$E),SUMIF('[1]TrialBalance (YTD)'!$G:$G,B1021,'[1]TrialBalance (YTD)'!$I:$I))</f>
        <v>#VALUE!</v>
      </c>
      <c r="G1021" s="5">
        <f>IFERROR(INDEX('[1]TrialBalance (YTD)'!$G:$S,MATCH([1]TBMapping!$C1023,'[1]TrialBalance (YTD)'!G:G,0),MATCH([1]TBMapping!H$3,'[1]TrialBalance (YTD)'!$G$7:$Z$7,0)),0)</f>
        <v>0</v>
      </c>
      <c r="H1021" s="5" t="e">
        <f>SUMIF('[1]TrialBalance (YTD)'!G:G,B1021,'[1]TrialBalance (YTD)'!H:H)</f>
        <v>#VALUE!</v>
      </c>
      <c r="I1021" s="5">
        <f>IFERROR(INDEX('[1]TrialBalance (YTD)'!$G:$S,MATCH([1]TBMapping!$C1023,'[1]TrialBalance (YTD)'!G:G,0),MATCH([1]TBMapping!J$3,'[1]TrialBalance (YTD)'!$G$7:$Z$7,0)),0)</f>
        <v>0</v>
      </c>
      <c r="K1021" s="5" t="e">
        <f>SUMIF('[1]TrialBalance (Quarter)'!$A:$A,B1021,'[1]TrialBalance (Quarter)'!$B:$B)</f>
        <v>#VALUE!</v>
      </c>
      <c r="L1021" s="5">
        <f>IFERROR(INDEX('[1]TrialBalance (Quarter)'!$A:$L,MATCH([1]TBMapping!$C1023,'[1]TrialBalance (Quarter)'!A:A,0),MATCH([1]TBMapping!M$3,'[1]TrialBalance (Quarter)'!$7:$7,0)),0)</f>
        <v>0</v>
      </c>
      <c r="M1021" s="5">
        <f>IFERROR(INDEX('[1]TrialBalance (Quarter)'!$A:$L,MATCH([1]TBMapping!$C1023,'[1]TrialBalance (Quarter)'!A:A,0),MATCH([1]TBMapping!N$3,'[1]TrialBalance (Quarter)'!$7:$7,0)),0)</f>
        <v>0</v>
      </c>
      <c r="N1021" s="5">
        <f>IFERROR(INDEX('[1]TrialBalance (Quarter)'!$A:$L,MATCH([1]TBMapping!$C1023,'[1]TrialBalance (Quarter)'!A:A,0),MATCH([1]TBMapping!O$3,'[1]TrialBalance (Quarter)'!$7:$7,0)),0)</f>
        <v>0</v>
      </c>
    </row>
    <row r="1022" spans="1:14">
      <c r="B1022" s="3">
        <v>411000</v>
      </c>
      <c r="C1022" s="10" t="s">
        <v>832</v>
      </c>
      <c r="D1022" s="10" t="s">
        <v>5</v>
      </c>
      <c r="E1022" s="10"/>
      <c r="F1022" s="5" t="e">
        <f>IF(DataExtraction="Manual",SUMIF('[1]TrialBalance (YTD)'!$C:$C,B1022,'[1]TrialBalance (YTD)'!$E:$E),SUMIF('[1]TrialBalance (YTD)'!$G:$G,B1022,'[1]TrialBalance (YTD)'!$I:$I))</f>
        <v>#VALUE!</v>
      </c>
      <c r="G1022" s="5">
        <f>IFERROR(INDEX('[1]TrialBalance (YTD)'!$G:$S,MATCH([1]TBMapping!$C1024,'[1]TrialBalance (YTD)'!G:G,0),MATCH([1]TBMapping!H$3,'[1]TrialBalance (YTD)'!$G$7:$Z$7,0)),0)</f>
        <v>0</v>
      </c>
      <c r="H1022" s="5" t="e">
        <f>SUMIF('[1]TrialBalance (YTD)'!G:G,B1022,'[1]TrialBalance (YTD)'!H:H)</f>
        <v>#VALUE!</v>
      </c>
      <c r="I1022" s="5">
        <f>IFERROR(INDEX('[1]TrialBalance (YTD)'!$G:$S,MATCH([1]TBMapping!$C1024,'[1]TrialBalance (YTD)'!G:G,0),MATCH([1]TBMapping!J$3,'[1]TrialBalance (YTD)'!$G$7:$Z$7,0)),0)</f>
        <v>0</v>
      </c>
      <c r="K1022" s="5" t="e">
        <f>SUMIF('[1]TrialBalance (Quarter)'!$A:$A,B1022,'[1]TrialBalance (Quarter)'!$B:$B)</f>
        <v>#VALUE!</v>
      </c>
      <c r="L1022" s="5">
        <f>IFERROR(INDEX('[1]TrialBalance (Quarter)'!$A:$L,MATCH([1]TBMapping!$C1024,'[1]TrialBalance (Quarter)'!A:A,0),MATCH([1]TBMapping!M$3,'[1]TrialBalance (Quarter)'!$7:$7,0)),0)</f>
        <v>0</v>
      </c>
      <c r="M1022" s="5">
        <f>IFERROR(INDEX('[1]TrialBalance (Quarter)'!$A:$L,MATCH([1]TBMapping!$C1024,'[1]TrialBalance (Quarter)'!A:A,0),MATCH([1]TBMapping!N$3,'[1]TrialBalance (Quarter)'!$7:$7,0)),0)</f>
        <v>0</v>
      </c>
      <c r="N1022" s="5">
        <f>IFERROR(INDEX('[1]TrialBalance (Quarter)'!$A:$L,MATCH([1]TBMapping!$C1024,'[1]TrialBalance (Quarter)'!A:A,0),MATCH([1]TBMapping!O$3,'[1]TrialBalance (Quarter)'!$7:$7,0)),0)</f>
        <v>0</v>
      </c>
    </row>
    <row r="1023" spans="1:14">
      <c r="A1023" s="2">
        <v>20</v>
      </c>
      <c r="B1023" s="3">
        <v>411100</v>
      </c>
      <c r="C1023" s="11" t="s">
        <v>833</v>
      </c>
      <c r="D1023" s="11" t="s">
        <v>11</v>
      </c>
      <c r="E1023" s="11"/>
      <c r="F1023" s="5" t="e">
        <f>IF(DataExtraction="Manual",SUMIF('[1]TrialBalance (YTD)'!$C:$C,B1023,'[1]TrialBalance (YTD)'!$E:$E),SUMIF('[1]TrialBalance (YTD)'!$G:$G,B1023,'[1]TrialBalance (YTD)'!$I:$I))</f>
        <v>#VALUE!</v>
      </c>
      <c r="G1023" s="5">
        <f>IFERROR(INDEX('[1]TrialBalance (YTD)'!$G:$S,MATCH([1]TBMapping!$C1025,'[1]TrialBalance (YTD)'!G:G,0),MATCH([1]TBMapping!H$3,'[1]TrialBalance (YTD)'!$G$7:$Z$7,0)),0)</f>
        <v>0</v>
      </c>
      <c r="H1023" s="5" t="e">
        <f>SUMIF('[1]TrialBalance (YTD)'!G:G,B1023,'[1]TrialBalance (YTD)'!H:H)</f>
        <v>#VALUE!</v>
      </c>
      <c r="I1023" s="5">
        <f>IFERROR(INDEX('[1]TrialBalance (YTD)'!$G:$S,MATCH([1]TBMapping!$C1025,'[1]TrialBalance (YTD)'!G:G,0),MATCH([1]TBMapping!J$3,'[1]TrialBalance (YTD)'!$G$7:$Z$7,0)),0)</f>
        <v>-50000</v>
      </c>
      <c r="K1023" s="5" t="e">
        <f>SUMIF('[1]TrialBalance (Quarter)'!$A:$A,B1023,'[1]TrialBalance (Quarter)'!$B:$B)</f>
        <v>#VALUE!</v>
      </c>
      <c r="L1023" s="5">
        <f>IFERROR(INDEX('[1]TrialBalance (Quarter)'!$A:$L,MATCH([1]TBMapping!$C1025,'[1]TrialBalance (Quarter)'!A:A,0),MATCH([1]TBMapping!M$3,'[1]TrialBalance (Quarter)'!$7:$7,0)),0)</f>
        <v>0</v>
      </c>
      <c r="M1023" s="5">
        <f>IFERROR(INDEX('[1]TrialBalance (Quarter)'!$A:$L,MATCH([1]TBMapping!$C1025,'[1]TrialBalance (Quarter)'!A:A,0),MATCH([1]TBMapping!N$3,'[1]TrialBalance (Quarter)'!$7:$7,0)),0)</f>
        <v>0</v>
      </c>
      <c r="N1023" s="5">
        <f>IFERROR(INDEX('[1]TrialBalance (Quarter)'!$A:$L,MATCH([1]TBMapping!$C1025,'[1]TrialBalance (Quarter)'!A:A,0),MATCH([1]TBMapping!O$3,'[1]TrialBalance (Quarter)'!$7:$7,0)),0)</f>
        <v>0</v>
      </c>
    </row>
    <row r="1024" spans="1:14">
      <c r="A1024" s="2">
        <v>20</v>
      </c>
      <c r="B1024" s="3">
        <v>411112</v>
      </c>
      <c r="C1024" s="10" t="s">
        <v>508</v>
      </c>
      <c r="D1024" s="10" t="s">
        <v>11</v>
      </c>
      <c r="E1024" s="10"/>
      <c r="F1024" s="5" t="e">
        <f>IF(DataExtraction="Manual",SUMIF('[1]TrialBalance (YTD)'!$C:$C,B1024,'[1]TrialBalance (YTD)'!$E:$E),SUMIF('[1]TrialBalance (YTD)'!$G:$G,B1024,'[1]TrialBalance (YTD)'!$I:$I))</f>
        <v>#VALUE!</v>
      </c>
      <c r="G1024" s="5">
        <f>IFERROR(INDEX('[1]TrialBalance (YTD)'!$G:$S,MATCH([1]TBMapping!$C1026,'[1]TrialBalance (YTD)'!G:G,0),MATCH([1]TBMapping!H$3,'[1]TrialBalance (YTD)'!$G$7:$Z$7,0)),0)</f>
        <v>0</v>
      </c>
      <c r="H1024" s="5" t="e">
        <f>SUMIF('[1]TrialBalance (YTD)'!G:G,B1024,'[1]TrialBalance (YTD)'!H:H)</f>
        <v>#VALUE!</v>
      </c>
      <c r="I1024" s="5">
        <f>IFERROR(INDEX('[1]TrialBalance (YTD)'!$G:$S,MATCH([1]TBMapping!$C1026,'[1]TrialBalance (YTD)'!G:G,0),MATCH([1]TBMapping!J$3,'[1]TrialBalance (YTD)'!$G$7:$Z$7,0)),0)</f>
        <v>0</v>
      </c>
      <c r="K1024" s="5" t="e">
        <f>SUMIF('[1]TrialBalance (Quarter)'!$A:$A,B1024,'[1]TrialBalance (Quarter)'!$B:$B)</f>
        <v>#VALUE!</v>
      </c>
      <c r="L1024" s="5">
        <f>IFERROR(INDEX('[1]TrialBalance (Quarter)'!$A:$L,MATCH([1]TBMapping!$C1026,'[1]TrialBalance (Quarter)'!A:A,0),MATCH([1]TBMapping!M$3,'[1]TrialBalance (Quarter)'!$7:$7,0)),0)</f>
        <v>0</v>
      </c>
      <c r="M1024" s="5">
        <f>IFERROR(INDEX('[1]TrialBalance (Quarter)'!$A:$L,MATCH([1]TBMapping!$C1026,'[1]TrialBalance (Quarter)'!A:A,0),MATCH([1]TBMapping!N$3,'[1]TrialBalance (Quarter)'!$7:$7,0)),0)</f>
        <v>0</v>
      </c>
      <c r="N1024" s="5">
        <f>IFERROR(INDEX('[1]TrialBalance (Quarter)'!$A:$L,MATCH([1]TBMapping!$C1026,'[1]TrialBalance (Quarter)'!A:A,0),MATCH([1]TBMapping!O$3,'[1]TrialBalance (Quarter)'!$7:$7,0)),0)</f>
        <v>0</v>
      </c>
    </row>
    <row r="1025" spans="1:14">
      <c r="A1025" s="2">
        <v>20</v>
      </c>
      <c r="B1025" s="3">
        <v>411150</v>
      </c>
      <c r="C1025" s="11" t="s">
        <v>834</v>
      </c>
      <c r="D1025" s="11" t="s">
        <v>11</v>
      </c>
      <c r="E1025" s="11"/>
      <c r="F1025" s="5" t="e">
        <f>IF(DataExtraction="Manual",SUMIF('[1]TrialBalance (YTD)'!$C:$C,B1025,'[1]TrialBalance (YTD)'!$E:$E),SUMIF('[1]TrialBalance (YTD)'!$G:$G,B1025,'[1]TrialBalance (YTD)'!$I:$I))</f>
        <v>#VALUE!</v>
      </c>
      <c r="G1025" s="5">
        <f>IFERROR(INDEX('[1]TrialBalance (YTD)'!$G:$S,MATCH([1]TBMapping!$C1027,'[1]TrialBalance (YTD)'!G:G,0),MATCH([1]TBMapping!H$3,'[1]TrialBalance (YTD)'!$G$7:$Z$7,0)),0)</f>
        <v>0</v>
      </c>
      <c r="H1025" s="5" t="e">
        <f>SUMIF('[1]TrialBalance (YTD)'!G:G,B1025,'[1]TrialBalance (YTD)'!H:H)</f>
        <v>#VALUE!</v>
      </c>
      <c r="I1025" s="5">
        <f>IFERROR(INDEX('[1]TrialBalance (YTD)'!$G:$S,MATCH([1]TBMapping!$C1027,'[1]TrialBalance (YTD)'!G:G,0),MATCH([1]TBMapping!J$3,'[1]TrialBalance (YTD)'!$G$7:$Z$7,0)),0)</f>
        <v>0</v>
      </c>
      <c r="K1025" s="5" t="e">
        <f>SUMIF('[1]TrialBalance (Quarter)'!$A:$A,B1025,'[1]TrialBalance (Quarter)'!$B:$B)</f>
        <v>#VALUE!</v>
      </c>
      <c r="L1025" s="5">
        <f>IFERROR(INDEX('[1]TrialBalance (Quarter)'!$A:$L,MATCH([1]TBMapping!$C1027,'[1]TrialBalance (Quarter)'!A:A,0),MATCH([1]TBMapping!M$3,'[1]TrialBalance (Quarter)'!$7:$7,0)),0)</f>
        <v>0</v>
      </c>
      <c r="M1025" s="5">
        <f>IFERROR(INDEX('[1]TrialBalance (Quarter)'!$A:$L,MATCH([1]TBMapping!$C1027,'[1]TrialBalance (Quarter)'!A:A,0),MATCH([1]TBMapping!N$3,'[1]TrialBalance (Quarter)'!$7:$7,0)),0)</f>
        <v>0</v>
      </c>
      <c r="N1025" s="5">
        <f>IFERROR(INDEX('[1]TrialBalance (Quarter)'!$A:$L,MATCH([1]TBMapping!$C1027,'[1]TrialBalance (Quarter)'!A:A,0),MATCH([1]TBMapping!O$3,'[1]TrialBalance (Quarter)'!$7:$7,0)),0)</f>
        <v>0</v>
      </c>
    </row>
    <row r="1026" spans="1:14">
      <c r="A1026" s="2">
        <v>20</v>
      </c>
      <c r="B1026" s="3">
        <v>411160</v>
      </c>
      <c r="C1026" s="10" t="s">
        <v>835</v>
      </c>
      <c r="D1026" s="10" t="s">
        <v>11</v>
      </c>
      <c r="E1026" s="10"/>
      <c r="F1026" s="5" t="e">
        <f>IF(DataExtraction="Manual",SUMIF('[1]TrialBalance (YTD)'!$C:$C,B1026,'[1]TrialBalance (YTD)'!$E:$E),SUMIF('[1]TrialBalance (YTD)'!$G:$G,B1026,'[1]TrialBalance (YTD)'!$I:$I))</f>
        <v>#VALUE!</v>
      </c>
      <c r="G1026" s="5">
        <f>IFERROR(INDEX('[1]TrialBalance (YTD)'!$G:$S,MATCH([1]TBMapping!$C1028,'[1]TrialBalance (YTD)'!G:G,0),MATCH([1]TBMapping!H$3,'[1]TrialBalance (YTD)'!$G$7:$Z$7,0)),0)</f>
        <v>0</v>
      </c>
      <c r="H1026" s="5" t="e">
        <f>SUMIF('[1]TrialBalance (YTD)'!G:G,B1026,'[1]TrialBalance (YTD)'!H:H)</f>
        <v>#VALUE!</v>
      </c>
      <c r="I1026" s="5">
        <f>IFERROR(INDEX('[1]TrialBalance (YTD)'!$G:$S,MATCH([1]TBMapping!$C1028,'[1]TrialBalance (YTD)'!G:G,0),MATCH([1]TBMapping!J$3,'[1]TrialBalance (YTD)'!$G$7:$Z$7,0)),0)</f>
        <v>0</v>
      </c>
      <c r="K1026" s="5" t="e">
        <f>SUMIF('[1]TrialBalance (Quarter)'!$A:$A,B1026,'[1]TrialBalance (Quarter)'!$B:$B)</f>
        <v>#VALUE!</v>
      </c>
      <c r="L1026" s="5">
        <f>IFERROR(INDEX('[1]TrialBalance (Quarter)'!$A:$L,MATCH([1]TBMapping!$C1028,'[1]TrialBalance (Quarter)'!A:A,0),MATCH([1]TBMapping!M$3,'[1]TrialBalance (Quarter)'!$7:$7,0)),0)</f>
        <v>0</v>
      </c>
      <c r="M1026" s="5">
        <f>IFERROR(INDEX('[1]TrialBalance (Quarter)'!$A:$L,MATCH([1]TBMapping!$C1028,'[1]TrialBalance (Quarter)'!A:A,0),MATCH([1]TBMapping!N$3,'[1]TrialBalance (Quarter)'!$7:$7,0)),0)</f>
        <v>0</v>
      </c>
      <c r="N1026" s="5">
        <f>IFERROR(INDEX('[1]TrialBalance (Quarter)'!$A:$L,MATCH([1]TBMapping!$C1028,'[1]TrialBalance (Quarter)'!A:A,0),MATCH([1]TBMapping!O$3,'[1]TrialBalance (Quarter)'!$7:$7,0)),0)</f>
        <v>0</v>
      </c>
    </row>
    <row r="1027" spans="1:14">
      <c r="B1027" s="3">
        <v>411199</v>
      </c>
      <c r="C1027" s="11" t="s">
        <v>836</v>
      </c>
      <c r="D1027" s="11" t="s">
        <v>837</v>
      </c>
      <c r="E1027" s="11"/>
      <c r="F1027" s="5" t="e">
        <f>IF(DataExtraction="Manual",SUMIF('[1]TrialBalance (YTD)'!$C:$C,B1027,'[1]TrialBalance (YTD)'!$E:$E),SUMIF('[1]TrialBalance (YTD)'!$G:$G,B1027,'[1]TrialBalance (YTD)'!$I:$I))</f>
        <v>#VALUE!</v>
      </c>
      <c r="G1027" s="5">
        <f>IFERROR(INDEX('[1]TrialBalance (YTD)'!$G:$S,MATCH([1]TBMapping!$C1029,'[1]TrialBalance (YTD)'!G:G,0),MATCH([1]TBMapping!H$3,'[1]TrialBalance (YTD)'!$G$7:$Z$7,0)),0)</f>
        <v>0</v>
      </c>
      <c r="H1027" s="5" t="e">
        <f>SUMIF('[1]TrialBalance (YTD)'!G:G,B1027,'[1]TrialBalance (YTD)'!H:H)</f>
        <v>#VALUE!</v>
      </c>
      <c r="I1027" s="5">
        <f>IFERROR(INDEX('[1]TrialBalance (YTD)'!$G:$S,MATCH([1]TBMapping!$C1029,'[1]TrialBalance (YTD)'!G:G,0),MATCH([1]TBMapping!J$3,'[1]TrialBalance (YTD)'!$G$7:$Z$7,0)),0)</f>
        <v>0</v>
      </c>
      <c r="K1027" s="5" t="e">
        <f>SUMIF('[1]TrialBalance (Quarter)'!$A:$A,B1027,'[1]TrialBalance (Quarter)'!$B:$B)</f>
        <v>#VALUE!</v>
      </c>
      <c r="L1027" s="5">
        <f>IFERROR(INDEX('[1]TrialBalance (Quarter)'!$A:$L,MATCH([1]TBMapping!$C1029,'[1]TrialBalance (Quarter)'!A:A,0),MATCH([1]TBMapping!M$3,'[1]TrialBalance (Quarter)'!$7:$7,0)),0)</f>
        <v>0</v>
      </c>
      <c r="M1027" s="5">
        <f>IFERROR(INDEX('[1]TrialBalance (Quarter)'!$A:$L,MATCH([1]TBMapping!$C1029,'[1]TrialBalance (Quarter)'!A:A,0),MATCH([1]TBMapping!N$3,'[1]TrialBalance (Quarter)'!$7:$7,0)),0)</f>
        <v>0</v>
      </c>
      <c r="N1027" s="5">
        <f>IFERROR(INDEX('[1]TrialBalance (Quarter)'!$A:$L,MATCH([1]TBMapping!$C1029,'[1]TrialBalance (Quarter)'!A:A,0),MATCH([1]TBMapping!O$3,'[1]TrialBalance (Quarter)'!$7:$7,0)),0)</f>
        <v>0</v>
      </c>
    </row>
    <row r="1028" spans="1:14">
      <c r="A1028" s="2">
        <v>20</v>
      </c>
      <c r="B1028" s="3">
        <v>411200</v>
      </c>
      <c r="C1028" s="10" t="s">
        <v>838</v>
      </c>
      <c r="D1028" s="10" t="s">
        <v>11</v>
      </c>
      <c r="E1028" s="10"/>
      <c r="F1028" s="5" t="e">
        <f>IF(DataExtraction="Manual",SUMIF('[1]TrialBalance (YTD)'!$C:$C,B1028,'[1]TrialBalance (YTD)'!$E:$E),SUMIF('[1]TrialBalance (YTD)'!$G:$G,B1028,'[1]TrialBalance (YTD)'!$I:$I))</f>
        <v>#VALUE!</v>
      </c>
      <c r="G1028" s="5">
        <f>IFERROR(INDEX('[1]TrialBalance (YTD)'!$G:$S,MATCH([1]TBMapping!$C1030,'[1]TrialBalance (YTD)'!G:G,0),MATCH([1]TBMapping!H$3,'[1]TrialBalance (YTD)'!$G$7:$Z$7,0)),0)</f>
        <v>0</v>
      </c>
      <c r="H1028" s="5" t="e">
        <f>SUMIF('[1]TrialBalance (YTD)'!G:G,B1028,'[1]TrialBalance (YTD)'!H:H)</f>
        <v>#VALUE!</v>
      </c>
      <c r="I1028" s="5">
        <f>IFERROR(INDEX('[1]TrialBalance (YTD)'!$G:$S,MATCH([1]TBMapping!$C1030,'[1]TrialBalance (YTD)'!G:G,0),MATCH([1]TBMapping!J$3,'[1]TrialBalance (YTD)'!$G$7:$Z$7,0)),0)</f>
        <v>0</v>
      </c>
      <c r="K1028" s="5" t="e">
        <f>SUMIF('[1]TrialBalance (Quarter)'!$A:$A,B1028,'[1]TrialBalance (Quarter)'!$B:$B)</f>
        <v>#VALUE!</v>
      </c>
      <c r="L1028" s="5">
        <f>IFERROR(INDEX('[1]TrialBalance (Quarter)'!$A:$L,MATCH([1]TBMapping!$C1030,'[1]TrialBalance (Quarter)'!A:A,0),MATCH([1]TBMapping!M$3,'[1]TrialBalance (Quarter)'!$7:$7,0)),0)</f>
        <v>0</v>
      </c>
      <c r="M1028" s="5">
        <f>IFERROR(INDEX('[1]TrialBalance (Quarter)'!$A:$L,MATCH([1]TBMapping!$C1030,'[1]TrialBalance (Quarter)'!A:A,0),MATCH([1]TBMapping!N$3,'[1]TrialBalance (Quarter)'!$7:$7,0)),0)</f>
        <v>0</v>
      </c>
      <c r="N1028" s="5">
        <f>IFERROR(INDEX('[1]TrialBalance (Quarter)'!$A:$L,MATCH([1]TBMapping!$C1030,'[1]TrialBalance (Quarter)'!A:A,0),MATCH([1]TBMapping!O$3,'[1]TrialBalance (Quarter)'!$7:$7,0)),0)</f>
        <v>0</v>
      </c>
    </row>
    <row r="1029" spans="1:14">
      <c r="A1029" s="2">
        <v>20</v>
      </c>
      <c r="B1029" s="3">
        <v>411212</v>
      </c>
      <c r="C1029" s="11" t="s">
        <v>508</v>
      </c>
      <c r="D1029" s="11" t="s">
        <v>11</v>
      </c>
      <c r="E1029" s="11"/>
      <c r="F1029" s="5" t="e">
        <f>IF(DataExtraction="Manual",SUMIF('[1]TrialBalance (YTD)'!$C:$C,B1029,'[1]TrialBalance (YTD)'!$E:$E),SUMIF('[1]TrialBalance (YTD)'!$G:$G,B1029,'[1]TrialBalance (YTD)'!$I:$I))</f>
        <v>#VALUE!</v>
      </c>
      <c r="G1029" s="5">
        <f>IFERROR(INDEX('[1]TrialBalance (YTD)'!$G:$S,MATCH([1]TBMapping!$C1031,'[1]TrialBalance (YTD)'!G:G,0),MATCH([1]TBMapping!H$3,'[1]TrialBalance (YTD)'!$G$7:$Z$7,0)),0)</f>
        <v>0</v>
      </c>
      <c r="H1029" s="5" t="e">
        <f>SUMIF('[1]TrialBalance (YTD)'!G:G,B1029,'[1]TrialBalance (YTD)'!H:H)</f>
        <v>#VALUE!</v>
      </c>
      <c r="I1029" s="5">
        <f>IFERROR(INDEX('[1]TrialBalance (YTD)'!$G:$S,MATCH([1]TBMapping!$C1031,'[1]TrialBalance (YTD)'!G:G,0),MATCH([1]TBMapping!J$3,'[1]TrialBalance (YTD)'!$G$7:$Z$7,0)),0)</f>
        <v>0</v>
      </c>
      <c r="K1029" s="5" t="e">
        <f>SUMIF('[1]TrialBalance (Quarter)'!$A:$A,B1029,'[1]TrialBalance (Quarter)'!$B:$B)</f>
        <v>#VALUE!</v>
      </c>
      <c r="L1029" s="5">
        <f>IFERROR(INDEX('[1]TrialBalance (Quarter)'!$A:$L,MATCH([1]TBMapping!$C1031,'[1]TrialBalance (Quarter)'!A:A,0),MATCH([1]TBMapping!M$3,'[1]TrialBalance (Quarter)'!$7:$7,0)),0)</f>
        <v>0</v>
      </c>
      <c r="M1029" s="5">
        <f>IFERROR(INDEX('[1]TrialBalance (Quarter)'!$A:$L,MATCH([1]TBMapping!$C1031,'[1]TrialBalance (Quarter)'!A:A,0),MATCH([1]TBMapping!N$3,'[1]TrialBalance (Quarter)'!$7:$7,0)),0)</f>
        <v>0</v>
      </c>
      <c r="N1029" s="5">
        <f>IFERROR(INDEX('[1]TrialBalance (Quarter)'!$A:$L,MATCH([1]TBMapping!$C1031,'[1]TrialBalance (Quarter)'!A:A,0),MATCH([1]TBMapping!O$3,'[1]TrialBalance (Quarter)'!$7:$7,0)),0)</f>
        <v>0</v>
      </c>
    </row>
    <row r="1030" spans="1:14">
      <c r="A1030" s="2">
        <v>20</v>
      </c>
      <c r="B1030" s="3">
        <v>411250</v>
      </c>
      <c r="C1030" s="10" t="s">
        <v>839</v>
      </c>
      <c r="D1030" s="10" t="s">
        <v>11</v>
      </c>
      <c r="E1030" s="10"/>
      <c r="F1030" s="5" t="e">
        <f>IF(DataExtraction="Manual",SUMIF('[1]TrialBalance (YTD)'!$C:$C,B1030,'[1]TrialBalance (YTD)'!$E:$E),SUMIF('[1]TrialBalance (YTD)'!$G:$G,B1030,'[1]TrialBalance (YTD)'!$I:$I))</f>
        <v>#VALUE!</v>
      </c>
      <c r="G1030" s="5">
        <f>IFERROR(INDEX('[1]TrialBalance (YTD)'!$G:$S,MATCH([1]TBMapping!$C1032,'[1]TrialBalance (YTD)'!G:G,0),MATCH([1]TBMapping!H$3,'[1]TrialBalance (YTD)'!$G$7:$Z$7,0)),0)</f>
        <v>0</v>
      </c>
      <c r="H1030" s="5" t="e">
        <f>SUMIF('[1]TrialBalance (YTD)'!G:G,B1030,'[1]TrialBalance (YTD)'!H:H)</f>
        <v>#VALUE!</v>
      </c>
      <c r="I1030" s="5">
        <f>IFERROR(INDEX('[1]TrialBalance (YTD)'!$G:$S,MATCH([1]TBMapping!$C1032,'[1]TrialBalance (YTD)'!G:G,0),MATCH([1]TBMapping!J$3,'[1]TrialBalance (YTD)'!$G$7:$Z$7,0)),0)</f>
        <v>0</v>
      </c>
      <c r="K1030" s="5" t="e">
        <f>SUMIF('[1]TrialBalance (Quarter)'!$A:$A,B1030,'[1]TrialBalance (Quarter)'!$B:$B)</f>
        <v>#VALUE!</v>
      </c>
      <c r="L1030" s="5">
        <f>IFERROR(INDEX('[1]TrialBalance (Quarter)'!$A:$L,MATCH([1]TBMapping!$C1032,'[1]TrialBalance (Quarter)'!A:A,0),MATCH([1]TBMapping!M$3,'[1]TrialBalance (Quarter)'!$7:$7,0)),0)</f>
        <v>0</v>
      </c>
      <c r="M1030" s="5">
        <f>IFERROR(INDEX('[1]TrialBalance (Quarter)'!$A:$L,MATCH([1]TBMapping!$C1032,'[1]TrialBalance (Quarter)'!A:A,0),MATCH([1]TBMapping!N$3,'[1]TrialBalance (Quarter)'!$7:$7,0)),0)</f>
        <v>0</v>
      </c>
      <c r="N1030" s="5">
        <f>IFERROR(INDEX('[1]TrialBalance (Quarter)'!$A:$L,MATCH([1]TBMapping!$C1032,'[1]TrialBalance (Quarter)'!A:A,0),MATCH([1]TBMapping!O$3,'[1]TrialBalance (Quarter)'!$7:$7,0)),0)</f>
        <v>0</v>
      </c>
    </row>
    <row r="1031" spans="1:14">
      <c r="B1031" s="3">
        <v>411299</v>
      </c>
      <c r="C1031" s="11" t="s">
        <v>840</v>
      </c>
      <c r="D1031" s="11" t="s">
        <v>837</v>
      </c>
      <c r="E1031" s="11"/>
      <c r="F1031" s="5" t="e">
        <f>IF(DataExtraction="Manual",SUMIF('[1]TrialBalance (YTD)'!$C:$C,B1031,'[1]TrialBalance (YTD)'!$E:$E),SUMIF('[1]TrialBalance (YTD)'!$G:$G,B1031,'[1]TrialBalance (YTD)'!$I:$I))</f>
        <v>#VALUE!</v>
      </c>
      <c r="G1031" s="5">
        <f>IFERROR(INDEX('[1]TrialBalance (YTD)'!$G:$S,MATCH([1]TBMapping!$C1033,'[1]TrialBalance (YTD)'!G:G,0),MATCH([1]TBMapping!H$3,'[1]TrialBalance (YTD)'!$G$7:$Z$7,0)),0)</f>
        <v>0</v>
      </c>
      <c r="H1031" s="5" t="e">
        <f>SUMIF('[1]TrialBalance (YTD)'!G:G,B1031,'[1]TrialBalance (YTD)'!H:H)</f>
        <v>#VALUE!</v>
      </c>
      <c r="I1031" s="5">
        <f>IFERROR(INDEX('[1]TrialBalance (YTD)'!$G:$S,MATCH([1]TBMapping!$C1033,'[1]TrialBalance (YTD)'!G:G,0),MATCH([1]TBMapping!J$3,'[1]TrialBalance (YTD)'!$G$7:$Z$7,0)),0)</f>
        <v>0</v>
      </c>
      <c r="K1031" s="5" t="e">
        <f>SUMIF('[1]TrialBalance (Quarter)'!$A:$A,B1031,'[1]TrialBalance (Quarter)'!$B:$B)</f>
        <v>#VALUE!</v>
      </c>
      <c r="L1031" s="5">
        <f>IFERROR(INDEX('[1]TrialBalance (Quarter)'!$A:$L,MATCH([1]TBMapping!$C1033,'[1]TrialBalance (Quarter)'!A:A,0),MATCH([1]TBMapping!M$3,'[1]TrialBalance (Quarter)'!$7:$7,0)),0)</f>
        <v>0</v>
      </c>
      <c r="M1031" s="5">
        <f>IFERROR(INDEX('[1]TrialBalance (Quarter)'!$A:$L,MATCH([1]TBMapping!$C1033,'[1]TrialBalance (Quarter)'!A:A,0),MATCH([1]TBMapping!N$3,'[1]TrialBalance (Quarter)'!$7:$7,0)),0)</f>
        <v>0</v>
      </c>
      <c r="N1031" s="5">
        <f>IFERROR(INDEX('[1]TrialBalance (Quarter)'!$A:$L,MATCH([1]TBMapping!$C1033,'[1]TrialBalance (Quarter)'!A:A,0),MATCH([1]TBMapping!O$3,'[1]TrialBalance (Quarter)'!$7:$7,0)),0)</f>
        <v>0</v>
      </c>
    </row>
    <row r="1032" spans="1:14">
      <c r="B1032" s="3">
        <v>419999</v>
      </c>
      <c r="C1032" s="10" t="s">
        <v>841</v>
      </c>
      <c r="D1032" s="10" t="s">
        <v>16</v>
      </c>
      <c r="E1032" s="10"/>
      <c r="F1032" s="5" t="e">
        <f>IF(DataExtraction="Manual",SUMIF('[1]TrialBalance (YTD)'!$C:$C,B1032,'[1]TrialBalance (YTD)'!$E:$E),SUMIF('[1]TrialBalance (YTD)'!$G:$G,B1032,'[1]TrialBalance (YTD)'!$I:$I))</f>
        <v>#VALUE!</v>
      </c>
      <c r="G1032" s="5">
        <f>IFERROR(INDEX('[1]TrialBalance (YTD)'!$G:$S,MATCH([1]TBMapping!$C1034,'[1]TrialBalance (YTD)'!G:G,0),MATCH([1]TBMapping!H$3,'[1]TrialBalance (YTD)'!$G$7:$Z$7,0)),0)</f>
        <v>0</v>
      </c>
      <c r="H1032" s="5" t="e">
        <f>SUMIF('[1]TrialBalance (YTD)'!G:G,B1032,'[1]TrialBalance (YTD)'!H:H)</f>
        <v>#VALUE!</v>
      </c>
      <c r="I1032" s="5">
        <f>IFERROR(INDEX('[1]TrialBalance (YTD)'!$G:$S,MATCH([1]TBMapping!$C1034,'[1]TrialBalance (YTD)'!G:G,0),MATCH([1]TBMapping!J$3,'[1]TrialBalance (YTD)'!$G$7:$Z$7,0)),0)</f>
        <v>0</v>
      </c>
      <c r="K1032" s="5" t="e">
        <f>SUMIF('[1]TrialBalance (Quarter)'!$A:$A,B1032,'[1]TrialBalance (Quarter)'!$B:$B)</f>
        <v>#VALUE!</v>
      </c>
      <c r="L1032" s="5">
        <f>IFERROR(INDEX('[1]TrialBalance (Quarter)'!$A:$L,MATCH([1]TBMapping!$C1034,'[1]TrialBalance (Quarter)'!A:A,0),MATCH([1]TBMapping!M$3,'[1]TrialBalance (Quarter)'!$7:$7,0)),0)</f>
        <v>0</v>
      </c>
      <c r="M1032" s="5">
        <f>IFERROR(INDEX('[1]TrialBalance (Quarter)'!$A:$L,MATCH([1]TBMapping!$C1034,'[1]TrialBalance (Quarter)'!A:A,0),MATCH([1]TBMapping!N$3,'[1]TrialBalance (Quarter)'!$7:$7,0)),0)</f>
        <v>0</v>
      </c>
      <c r="N1032" s="5">
        <f>IFERROR(INDEX('[1]TrialBalance (Quarter)'!$A:$L,MATCH([1]TBMapping!$C1034,'[1]TrialBalance (Quarter)'!A:A,0),MATCH([1]TBMapping!O$3,'[1]TrialBalance (Quarter)'!$7:$7,0)),0)</f>
        <v>0</v>
      </c>
    </row>
    <row r="1033" spans="1:14">
      <c r="B1033" s="3">
        <v>420000</v>
      </c>
      <c r="C1033" s="11" t="s">
        <v>842</v>
      </c>
      <c r="D1033" s="11" t="s">
        <v>5</v>
      </c>
      <c r="E1033" s="11"/>
      <c r="F1033" s="5" t="e">
        <f>IF(DataExtraction="Manual",SUMIF('[1]TrialBalance (YTD)'!$C:$C,B1033,'[1]TrialBalance (YTD)'!$E:$E),SUMIF('[1]TrialBalance (YTD)'!$G:$G,B1033,'[1]TrialBalance (YTD)'!$I:$I))</f>
        <v>#VALUE!</v>
      </c>
      <c r="G1033" s="5">
        <f>IFERROR(INDEX('[1]TrialBalance (YTD)'!$G:$S,MATCH([1]TBMapping!$C1035,'[1]TrialBalance (YTD)'!G:G,0),MATCH([1]TBMapping!H$3,'[1]TrialBalance (YTD)'!$G$7:$Z$7,0)),0)</f>
        <v>0</v>
      </c>
      <c r="H1033" s="5" t="e">
        <f>SUMIF('[1]TrialBalance (YTD)'!G:G,B1033,'[1]TrialBalance (YTD)'!H:H)</f>
        <v>#VALUE!</v>
      </c>
      <c r="I1033" s="5">
        <f>IFERROR(INDEX('[1]TrialBalance (YTD)'!$G:$S,MATCH([1]TBMapping!$C1035,'[1]TrialBalance (YTD)'!G:G,0),MATCH([1]TBMapping!J$3,'[1]TrialBalance (YTD)'!$G$7:$Z$7,0)),0)</f>
        <v>0</v>
      </c>
      <c r="K1033" s="5" t="e">
        <f>SUMIF('[1]TrialBalance (Quarter)'!$A:$A,B1033,'[1]TrialBalance (Quarter)'!$B:$B)</f>
        <v>#VALUE!</v>
      </c>
      <c r="L1033" s="5">
        <f>IFERROR(INDEX('[1]TrialBalance (Quarter)'!$A:$L,MATCH([1]TBMapping!$C1035,'[1]TrialBalance (Quarter)'!A:A,0),MATCH([1]TBMapping!M$3,'[1]TrialBalance (Quarter)'!$7:$7,0)),0)</f>
        <v>0</v>
      </c>
      <c r="M1033" s="5">
        <f>IFERROR(INDEX('[1]TrialBalance (Quarter)'!$A:$L,MATCH([1]TBMapping!$C1035,'[1]TrialBalance (Quarter)'!A:A,0),MATCH([1]TBMapping!N$3,'[1]TrialBalance (Quarter)'!$7:$7,0)),0)</f>
        <v>0</v>
      </c>
      <c r="N1033" s="5">
        <f>IFERROR(INDEX('[1]TrialBalance (Quarter)'!$A:$L,MATCH([1]TBMapping!$C1035,'[1]TrialBalance (Quarter)'!A:A,0),MATCH([1]TBMapping!O$3,'[1]TrialBalance (Quarter)'!$7:$7,0)),0)</f>
        <v>0</v>
      </c>
    </row>
    <row r="1034" spans="1:14">
      <c r="A1034" s="2">
        <v>21</v>
      </c>
      <c r="B1034" s="3">
        <v>421000</v>
      </c>
      <c r="C1034" s="10" t="s">
        <v>843</v>
      </c>
      <c r="D1034" s="10" t="s">
        <v>11</v>
      </c>
      <c r="E1034" s="10"/>
      <c r="F1034" s="5" t="e">
        <f>IF(DataExtraction="Manual",SUMIF('[1]TrialBalance (YTD)'!$C:$C,B1034,'[1]TrialBalance (YTD)'!$E:$E),SUMIF('[1]TrialBalance (YTD)'!$G:$G,B1034,'[1]TrialBalance (YTD)'!$I:$I))</f>
        <v>#VALUE!</v>
      </c>
      <c r="G1034" s="5">
        <f>IFERROR(INDEX('[1]TrialBalance (YTD)'!$G:$S,MATCH([1]TBMapping!$C1036,'[1]TrialBalance (YTD)'!G:G,0),MATCH([1]TBMapping!H$3,'[1]TrialBalance (YTD)'!$G$7:$Z$7,0)),0)</f>
        <v>0</v>
      </c>
      <c r="H1034" s="5" t="e">
        <f>SUMIF('[1]TrialBalance (YTD)'!G:G,B1034,'[1]TrialBalance (YTD)'!H:H)</f>
        <v>#VALUE!</v>
      </c>
      <c r="I1034" s="5">
        <f>IFERROR(INDEX('[1]TrialBalance (YTD)'!$G:$S,MATCH([1]TBMapping!$C1036,'[1]TrialBalance (YTD)'!G:G,0),MATCH([1]TBMapping!J$3,'[1]TrialBalance (YTD)'!$G$7:$Z$7,0)),0)</f>
        <v>0</v>
      </c>
      <c r="K1034" s="5" t="e">
        <f>SUMIF('[1]TrialBalance (Quarter)'!$A:$A,B1034,'[1]TrialBalance (Quarter)'!$B:$B)</f>
        <v>#VALUE!</v>
      </c>
      <c r="L1034" s="5">
        <f>IFERROR(INDEX('[1]TrialBalance (Quarter)'!$A:$L,MATCH([1]TBMapping!$C1036,'[1]TrialBalance (Quarter)'!A:A,0),MATCH([1]TBMapping!M$3,'[1]TrialBalance (Quarter)'!$7:$7,0)),0)</f>
        <v>0</v>
      </c>
      <c r="M1034" s="5">
        <f>IFERROR(INDEX('[1]TrialBalance (Quarter)'!$A:$L,MATCH([1]TBMapping!$C1036,'[1]TrialBalance (Quarter)'!A:A,0),MATCH([1]TBMapping!N$3,'[1]TrialBalance (Quarter)'!$7:$7,0)),0)</f>
        <v>0</v>
      </c>
      <c r="N1034" s="5">
        <f>IFERROR(INDEX('[1]TrialBalance (Quarter)'!$A:$L,MATCH([1]TBMapping!$C1036,'[1]TrialBalance (Quarter)'!A:A,0),MATCH([1]TBMapping!O$3,'[1]TrialBalance (Quarter)'!$7:$7,0)),0)</f>
        <v>0</v>
      </c>
    </row>
    <row r="1035" spans="1:14">
      <c r="A1035" s="2">
        <v>21</v>
      </c>
      <c r="B1035" s="3">
        <v>421312</v>
      </c>
      <c r="C1035" s="11" t="s">
        <v>508</v>
      </c>
      <c r="D1035" s="11" t="s">
        <v>11</v>
      </c>
      <c r="E1035" s="11"/>
      <c r="F1035" s="5" t="e">
        <f>IF(DataExtraction="Manual",SUMIF('[1]TrialBalance (YTD)'!$C:$C,B1035,'[1]TrialBalance (YTD)'!$E:$E),SUMIF('[1]TrialBalance (YTD)'!$G:$G,B1035,'[1]TrialBalance (YTD)'!$I:$I))</f>
        <v>#VALUE!</v>
      </c>
      <c r="G1035" s="5">
        <f>IFERROR(INDEX('[1]TrialBalance (YTD)'!$G:$S,MATCH([1]TBMapping!$C1037,'[1]TrialBalance (YTD)'!G:G,0),MATCH([1]TBMapping!H$3,'[1]TrialBalance (YTD)'!$G$7:$Z$7,0)),0)</f>
        <v>0</v>
      </c>
      <c r="H1035" s="5" t="e">
        <f>SUMIF('[1]TrialBalance (YTD)'!G:G,B1035,'[1]TrialBalance (YTD)'!H:H)</f>
        <v>#VALUE!</v>
      </c>
      <c r="I1035" s="5">
        <f>IFERROR(INDEX('[1]TrialBalance (YTD)'!$G:$S,MATCH([1]TBMapping!$C1037,'[1]TrialBalance (YTD)'!G:G,0),MATCH([1]TBMapping!J$3,'[1]TrialBalance (YTD)'!$G$7:$Z$7,0)),0)</f>
        <v>0</v>
      </c>
      <c r="K1035" s="5" t="e">
        <f>SUMIF('[1]TrialBalance (Quarter)'!$A:$A,B1035,'[1]TrialBalance (Quarter)'!$B:$B)</f>
        <v>#VALUE!</v>
      </c>
      <c r="L1035" s="5">
        <f>IFERROR(INDEX('[1]TrialBalance (Quarter)'!$A:$L,MATCH([1]TBMapping!$C1037,'[1]TrialBalance (Quarter)'!A:A,0),MATCH([1]TBMapping!M$3,'[1]TrialBalance (Quarter)'!$7:$7,0)),0)</f>
        <v>0</v>
      </c>
      <c r="M1035" s="5">
        <f>IFERROR(INDEX('[1]TrialBalance (Quarter)'!$A:$L,MATCH([1]TBMapping!$C1037,'[1]TrialBalance (Quarter)'!A:A,0),MATCH([1]TBMapping!N$3,'[1]TrialBalance (Quarter)'!$7:$7,0)),0)</f>
        <v>0</v>
      </c>
      <c r="N1035" s="5">
        <f>IFERROR(INDEX('[1]TrialBalance (Quarter)'!$A:$L,MATCH([1]TBMapping!$C1037,'[1]TrialBalance (Quarter)'!A:A,0),MATCH([1]TBMapping!O$3,'[1]TrialBalance (Quarter)'!$7:$7,0)),0)</f>
        <v>0</v>
      </c>
    </row>
    <row r="1036" spans="1:14">
      <c r="C1036" s="10" t="s">
        <v>842</v>
      </c>
      <c r="D1036" s="10" t="s">
        <v>16</v>
      </c>
      <c r="E1036" s="10"/>
      <c r="F1036" s="5" t="e">
        <f>IF(DataExtraction="Manual",SUMIF('[1]TrialBalance (YTD)'!$C:$C,B1036,'[1]TrialBalance (YTD)'!$E:$E),SUMIF('[1]TrialBalance (YTD)'!$G:$G,B1036,'[1]TrialBalance (YTD)'!$I:$I))</f>
        <v>#VALUE!</v>
      </c>
      <c r="G1036" s="5">
        <f>IFERROR(INDEX('[1]TrialBalance (YTD)'!$G:$S,MATCH([1]TBMapping!$C1038,'[1]TrialBalance (YTD)'!G:G,0),MATCH([1]TBMapping!H$3,'[1]TrialBalance (YTD)'!$G$7:$Z$7,0)),0)</f>
        <v>0</v>
      </c>
      <c r="H1036" s="5" t="e">
        <f>SUMIF('[1]TrialBalance (YTD)'!G:G,B1036,'[1]TrialBalance (YTD)'!H:H)</f>
        <v>#VALUE!</v>
      </c>
      <c r="I1036" s="5">
        <f>IFERROR(INDEX('[1]TrialBalance (YTD)'!$G:$S,MATCH([1]TBMapping!$C1038,'[1]TrialBalance (YTD)'!G:G,0),MATCH([1]TBMapping!J$3,'[1]TrialBalance (YTD)'!$G$7:$Z$7,0)),0)</f>
        <v>0</v>
      </c>
      <c r="K1036" s="5" t="e">
        <f>SUMIF('[1]TrialBalance (Quarter)'!$A:$A,B1036,'[1]TrialBalance (Quarter)'!$B:$B)</f>
        <v>#VALUE!</v>
      </c>
      <c r="L1036" s="5">
        <f>IFERROR(INDEX('[1]TrialBalance (Quarter)'!$A:$L,MATCH([1]TBMapping!$C1038,'[1]TrialBalance (Quarter)'!A:A,0),MATCH([1]TBMapping!M$3,'[1]TrialBalance (Quarter)'!$7:$7,0)),0)</f>
        <v>0</v>
      </c>
      <c r="M1036" s="5">
        <f>IFERROR(INDEX('[1]TrialBalance (Quarter)'!$A:$L,MATCH([1]TBMapping!$C1038,'[1]TrialBalance (Quarter)'!A:A,0),MATCH([1]TBMapping!N$3,'[1]TrialBalance (Quarter)'!$7:$7,0)),0)</f>
        <v>0</v>
      </c>
      <c r="N1036" s="5">
        <f>IFERROR(INDEX('[1]TrialBalance (Quarter)'!$A:$L,MATCH([1]TBMapping!$C1038,'[1]TrialBalance (Quarter)'!A:A,0),MATCH([1]TBMapping!O$3,'[1]TrialBalance (Quarter)'!$7:$7,0)),0)</f>
        <v>0</v>
      </c>
    </row>
    <row r="1037" spans="1:14">
      <c r="B1037" s="3">
        <v>429999</v>
      </c>
      <c r="C1037" s="11" t="s">
        <v>844</v>
      </c>
      <c r="D1037" s="11" t="s">
        <v>5</v>
      </c>
      <c r="E1037" s="11"/>
      <c r="F1037" s="5" t="e">
        <f>IF(DataExtraction="Manual",SUMIF('[1]TrialBalance (YTD)'!$C:$C,B1037,'[1]TrialBalance (YTD)'!$E:$E),SUMIF('[1]TrialBalance (YTD)'!$G:$G,B1037,'[1]TrialBalance (YTD)'!$I:$I))</f>
        <v>#VALUE!</v>
      </c>
      <c r="G1037" s="5">
        <f>IFERROR(INDEX('[1]TrialBalance (YTD)'!$G:$S,MATCH([1]TBMapping!$C1039,'[1]TrialBalance (YTD)'!G:G,0),MATCH([1]TBMapping!H$3,'[1]TrialBalance (YTD)'!$G$7:$Z$7,0)),0)</f>
        <v>0</v>
      </c>
      <c r="H1037" s="5" t="e">
        <f>SUMIF('[1]TrialBalance (YTD)'!G:G,B1037,'[1]TrialBalance (YTD)'!H:H)</f>
        <v>#VALUE!</v>
      </c>
      <c r="I1037" s="5">
        <f>IFERROR(INDEX('[1]TrialBalance (YTD)'!$G:$S,MATCH([1]TBMapping!$C1039,'[1]TrialBalance (YTD)'!G:G,0),MATCH([1]TBMapping!J$3,'[1]TrialBalance (YTD)'!$G$7:$Z$7,0)),0)</f>
        <v>0</v>
      </c>
      <c r="K1037" s="5" t="e">
        <f>SUMIF('[1]TrialBalance (Quarter)'!$A:$A,B1037,'[1]TrialBalance (Quarter)'!$B:$B)</f>
        <v>#VALUE!</v>
      </c>
      <c r="L1037" s="5">
        <f>IFERROR(INDEX('[1]TrialBalance (Quarter)'!$A:$L,MATCH([1]TBMapping!$C1039,'[1]TrialBalance (Quarter)'!A:A,0),MATCH([1]TBMapping!M$3,'[1]TrialBalance (Quarter)'!$7:$7,0)),0)</f>
        <v>0</v>
      </c>
      <c r="M1037" s="5">
        <f>IFERROR(INDEX('[1]TrialBalance (Quarter)'!$A:$L,MATCH([1]TBMapping!$C1039,'[1]TrialBalance (Quarter)'!A:A,0),MATCH([1]TBMapping!N$3,'[1]TrialBalance (Quarter)'!$7:$7,0)),0)</f>
        <v>0</v>
      </c>
      <c r="N1037" s="5">
        <f>IFERROR(INDEX('[1]TrialBalance (Quarter)'!$A:$L,MATCH([1]TBMapping!$C1039,'[1]TrialBalance (Quarter)'!A:A,0),MATCH([1]TBMapping!O$3,'[1]TrialBalance (Quarter)'!$7:$7,0)),0)</f>
        <v>0</v>
      </c>
    </row>
    <row r="1038" spans="1:14">
      <c r="A1038" s="2">
        <v>4</v>
      </c>
      <c r="B1038" s="3">
        <v>430110</v>
      </c>
      <c r="C1038" s="10" t="s">
        <v>845</v>
      </c>
      <c r="D1038" s="10" t="s">
        <v>11</v>
      </c>
      <c r="E1038" s="10"/>
      <c r="F1038" s="5" t="e">
        <f>IF(DataExtraction="Manual",SUMIF('[1]TrialBalance (YTD)'!$C:$C,B1038,'[1]TrialBalance (YTD)'!$E:$E),SUMIF('[1]TrialBalance (YTD)'!$G:$G,B1038,'[1]TrialBalance (YTD)'!$I:$I))</f>
        <v>#VALUE!</v>
      </c>
      <c r="G1038" s="5">
        <f>IFERROR(INDEX('[1]TrialBalance (YTD)'!$G:$S,MATCH([1]TBMapping!$C1040,'[1]TrialBalance (YTD)'!G:G,0),MATCH([1]TBMapping!H$3,'[1]TrialBalance (YTD)'!$G$7:$Z$7,0)),0)</f>
        <v>0</v>
      </c>
      <c r="H1038" s="5" t="e">
        <f>SUMIF('[1]TrialBalance (YTD)'!G:G,B1038,'[1]TrialBalance (YTD)'!H:H)</f>
        <v>#VALUE!</v>
      </c>
      <c r="I1038" s="5">
        <f>IFERROR(INDEX('[1]TrialBalance (YTD)'!$G:$S,MATCH([1]TBMapping!$C1040,'[1]TrialBalance (YTD)'!G:G,0),MATCH([1]TBMapping!J$3,'[1]TrialBalance (YTD)'!$G$7:$Z$7,0)),0)</f>
        <v>-22452912.75</v>
      </c>
      <c r="K1038" s="5" t="e">
        <f>SUMIF('[1]TrialBalance (Quarter)'!$A:$A,B1038,'[1]TrialBalance (Quarter)'!$B:$B)</f>
        <v>#VALUE!</v>
      </c>
      <c r="L1038" s="5">
        <f>IFERROR(INDEX('[1]TrialBalance (Quarter)'!$A:$L,MATCH([1]TBMapping!$C1040,'[1]TrialBalance (Quarter)'!A:A,0),MATCH([1]TBMapping!M$3,'[1]TrialBalance (Quarter)'!$7:$7,0)),0)</f>
        <v>0</v>
      </c>
      <c r="M1038" s="5">
        <f>IFERROR(INDEX('[1]TrialBalance (Quarter)'!$A:$L,MATCH([1]TBMapping!$C1040,'[1]TrialBalance (Quarter)'!A:A,0),MATCH([1]TBMapping!N$3,'[1]TrialBalance (Quarter)'!$7:$7,0)),0)</f>
        <v>0</v>
      </c>
      <c r="N1038" s="5">
        <f>IFERROR(INDEX('[1]TrialBalance (Quarter)'!$A:$L,MATCH([1]TBMapping!$C1040,'[1]TrialBalance (Quarter)'!A:A,0),MATCH([1]TBMapping!O$3,'[1]TrialBalance (Quarter)'!$7:$7,0)),0)</f>
        <v>0</v>
      </c>
    </row>
    <row r="1039" spans="1:14">
      <c r="B1039" s="3">
        <v>450000</v>
      </c>
      <c r="C1039" s="11" t="s">
        <v>846</v>
      </c>
      <c r="D1039" s="11" t="s">
        <v>11</v>
      </c>
      <c r="E1039" s="11"/>
      <c r="F1039" s="5" t="e">
        <f>IF(DataExtraction="Manual",SUMIF('[1]TrialBalance (YTD)'!$C:$C,B1039,'[1]TrialBalance (YTD)'!$E:$E),SUMIF('[1]TrialBalance (YTD)'!$G:$G,B1039,'[1]TrialBalance (YTD)'!$I:$I))</f>
        <v>#VALUE!</v>
      </c>
      <c r="G1039" s="5">
        <f>IFERROR(INDEX('[1]TrialBalance (YTD)'!$G:$S,MATCH([1]TBMapping!$C1041,'[1]TrialBalance (YTD)'!G:G,0),MATCH([1]TBMapping!H$3,'[1]TrialBalance (YTD)'!$G$7:$Z$7,0)),0)</f>
        <v>0</v>
      </c>
      <c r="H1039" s="5" t="e">
        <f>SUMIF('[1]TrialBalance (YTD)'!G:G,B1039,'[1]TrialBalance (YTD)'!H:H)</f>
        <v>#VALUE!</v>
      </c>
      <c r="I1039" s="5">
        <f>IFERROR(INDEX('[1]TrialBalance (YTD)'!$G:$S,MATCH([1]TBMapping!$C1041,'[1]TrialBalance (YTD)'!G:G,0),MATCH([1]TBMapping!J$3,'[1]TrialBalance (YTD)'!$G$7:$Z$7,0)),0)</f>
        <v>0</v>
      </c>
      <c r="K1039" s="5" t="e">
        <f>SUMIF('[1]TrialBalance (Quarter)'!$A:$A,B1039,'[1]TrialBalance (Quarter)'!$B:$B)</f>
        <v>#VALUE!</v>
      </c>
      <c r="L1039" s="5">
        <f>IFERROR(INDEX('[1]TrialBalance (Quarter)'!$A:$L,MATCH([1]TBMapping!$C1041,'[1]TrialBalance (Quarter)'!A:A,0),MATCH([1]TBMapping!M$3,'[1]TrialBalance (Quarter)'!$7:$7,0)),0)</f>
        <v>0</v>
      </c>
      <c r="M1039" s="5">
        <f>IFERROR(INDEX('[1]TrialBalance (Quarter)'!$A:$L,MATCH([1]TBMapping!$C1041,'[1]TrialBalance (Quarter)'!A:A,0),MATCH([1]TBMapping!N$3,'[1]TrialBalance (Quarter)'!$7:$7,0)),0)</f>
        <v>0</v>
      </c>
      <c r="N1039" s="5">
        <f>IFERROR(INDEX('[1]TrialBalance (Quarter)'!$A:$L,MATCH([1]TBMapping!$C1041,'[1]TrialBalance (Quarter)'!A:A,0),MATCH([1]TBMapping!O$3,'[1]TrialBalance (Quarter)'!$7:$7,0)),0)</f>
        <v>0</v>
      </c>
    </row>
    <row r="1040" spans="1:14">
      <c r="A1040" s="2">
        <v>21</v>
      </c>
      <c r="B1040" s="3">
        <v>451000</v>
      </c>
      <c r="C1040" s="10" t="s">
        <v>508</v>
      </c>
      <c r="D1040" s="10" t="s">
        <v>11</v>
      </c>
      <c r="E1040" s="10"/>
      <c r="F1040" s="5" t="e">
        <f>IF(DataExtraction="Manual",SUMIF('[1]TrialBalance (YTD)'!$C:$C,B1040,'[1]TrialBalance (YTD)'!$E:$E),SUMIF('[1]TrialBalance (YTD)'!$G:$G,B1040,'[1]TrialBalance (YTD)'!$I:$I))</f>
        <v>#VALUE!</v>
      </c>
      <c r="G1040" s="5">
        <f>IFERROR(INDEX('[1]TrialBalance (YTD)'!$G:$S,MATCH([1]TBMapping!$C1042,'[1]TrialBalance (YTD)'!G:G,0),MATCH([1]TBMapping!H$3,'[1]TrialBalance (YTD)'!$G$7:$Z$7,0)),0)</f>
        <v>0</v>
      </c>
      <c r="H1040" s="5" t="e">
        <f>SUMIF('[1]TrialBalance (YTD)'!G:G,B1040,'[1]TrialBalance (YTD)'!H:H)</f>
        <v>#VALUE!</v>
      </c>
      <c r="I1040" s="5">
        <f>IFERROR(INDEX('[1]TrialBalance (YTD)'!$G:$S,MATCH([1]TBMapping!$C1042,'[1]TrialBalance (YTD)'!G:G,0),MATCH([1]TBMapping!J$3,'[1]TrialBalance (YTD)'!$G$7:$Z$7,0)),0)</f>
        <v>0</v>
      </c>
      <c r="K1040" s="5" t="e">
        <f>SUMIF('[1]TrialBalance (Quarter)'!$A:$A,B1040,'[1]TrialBalance (Quarter)'!$B:$B)</f>
        <v>#VALUE!</v>
      </c>
      <c r="L1040" s="5">
        <f>IFERROR(INDEX('[1]TrialBalance (Quarter)'!$A:$L,MATCH([1]TBMapping!$C1042,'[1]TrialBalance (Quarter)'!A:A,0),MATCH([1]TBMapping!M$3,'[1]TrialBalance (Quarter)'!$7:$7,0)),0)</f>
        <v>0</v>
      </c>
      <c r="M1040" s="5">
        <f>IFERROR(INDEX('[1]TrialBalance (Quarter)'!$A:$L,MATCH([1]TBMapping!$C1042,'[1]TrialBalance (Quarter)'!A:A,0),MATCH([1]TBMapping!N$3,'[1]TrialBalance (Quarter)'!$7:$7,0)),0)</f>
        <v>0</v>
      </c>
      <c r="N1040" s="5">
        <f>IFERROR(INDEX('[1]TrialBalance (Quarter)'!$A:$L,MATCH([1]TBMapping!$C1042,'[1]TrialBalance (Quarter)'!A:A,0),MATCH([1]TBMapping!O$3,'[1]TrialBalance (Quarter)'!$7:$7,0)),0)</f>
        <v>0</v>
      </c>
    </row>
    <row r="1041" spans="1:14">
      <c r="A1041" s="2">
        <v>21</v>
      </c>
      <c r="B1041" s="3">
        <v>452000</v>
      </c>
      <c r="C1041" s="11" t="s">
        <v>847</v>
      </c>
      <c r="D1041" s="11" t="s">
        <v>11</v>
      </c>
      <c r="E1041" s="11"/>
      <c r="F1041" s="5" t="e">
        <f>IF(DataExtraction="Manual",SUMIF('[1]TrialBalance (YTD)'!$C:$C,B1041,'[1]TrialBalance (YTD)'!$E:$E),SUMIF('[1]TrialBalance (YTD)'!$G:$G,B1041,'[1]TrialBalance (YTD)'!$I:$I))</f>
        <v>#VALUE!</v>
      </c>
      <c r="G1041" s="5">
        <f>IFERROR(INDEX('[1]TrialBalance (YTD)'!$G:$S,MATCH([1]TBMapping!$C1043,'[1]TrialBalance (YTD)'!G:G,0),MATCH([1]TBMapping!H$3,'[1]TrialBalance (YTD)'!$G$7:$Z$7,0)),0)</f>
        <v>0</v>
      </c>
      <c r="H1041" s="5" t="e">
        <f>SUMIF('[1]TrialBalance (YTD)'!G:G,B1041,'[1]TrialBalance (YTD)'!H:H)</f>
        <v>#VALUE!</v>
      </c>
      <c r="I1041" s="5">
        <f>IFERROR(INDEX('[1]TrialBalance (YTD)'!$G:$S,MATCH([1]TBMapping!$C1043,'[1]TrialBalance (YTD)'!G:G,0),MATCH([1]TBMapping!J$3,'[1]TrialBalance (YTD)'!$G$7:$Z$7,0)),0)</f>
        <v>0</v>
      </c>
      <c r="K1041" s="5" t="e">
        <f>SUMIF('[1]TrialBalance (Quarter)'!$A:$A,B1041,'[1]TrialBalance (Quarter)'!$B:$B)</f>
        <v>#VALUE!</v>
      </c>
      <c r="L1041" s="5">
        <f>IFERROR(INDEX('[1]TrialBalance (Quarter)'!$A:$L,MATCH([1]TBMapping!$C1043,'[1]TrialBalance (Quarter)'!A:A,0),MATCH([1]TBMapping!M$3,'[1]TrialBalance (Quarter)'!$7:$7,0)),0)</f>
        <v>0</v>
      </c>
      <c r="M1041" s="5">
        <f>IFERROR(INDEX('[1]TrialBalance (Quarter)'!$A:$L,MATCH([1]TBMapping!$C1043,'[1]TrialBalance (Quarter)'!A:A,0),MATCH([1]TBMapping!N$3,'[1]TrialBalance (Quarter)'!$7:$7,0)),0)</f>
        <v>0</v>
      </c>
      <c r="N1041" s="5">
        <f>IFERROR(INDEX('[1]TrialBalance (Quarter)'!$A:$L,MATCH([1]TBMapping!$C1043,'[1]TrialBalance (Quarter)'!A:A,0),MATCH([1]TBMapping!O$3,'[1]TrialBalance (Quarter)'!$7:$7,0)),0)</f>
        <v>0</v>
      </c>
    </row>
    <row r="1042" spans="1:14">
      <c r="A1042" s="2">
        <v>21</v>
      </c>
      <c r="B1042" s="3">
        <v>452412</v>
      </c>
      <c r="C1042" s="10" t="s">
        <v>848</v>
      </c>
      <c r="D1042" s="10" t="s">
        <v>11</v>
      </c>
      <c r="E1042" s="10"/>
      <c r="F1042" s="5" t="e">
        <f>IF(DataExtraction="Manual",SUMIF('[1]TrialBalance (YTD)'!$C:$C,B1042,'[1]TrialBalance (YTD)'!$E:$E),SUMIF('[1]TrialBalance (YTD)'!$G:$G,B1042,'[1]TrialBalance (YTD)'!$I:$I))</f>
        <v>#VALUE!</v>
      </c>
      <c r="G1042" s="5">
        <f>IFERROR(INDEX('[1]TrialBalance (YTD)'!$G:$S,MATCH([1]TBMapping!$C1044,'[1]TrialBalance (YTD)'!G:G,0),MATCH([1]TBMapping!H$3,'[1]TrialBalance (YTD)'!$G$7:$Z$7,0)),0)</f>
        <v>0</v>
      </c>
      <c r="H1042" s="5" t="e">
        <f>SUMIF('[1]TrialBalance (YTD)'!G:G,B1042,'[1]TrialBalance (YTD)'!H:H)</f>
        <v>#VALUE!</v>
      </c>
      <c r="I1042" s="5">
        <f>IFERROR(INDEX('[1]TrialBalance (YTD)'!$G:$S,MATCH([1]TBMapping!$C1044,'[1]TrialBalance (YTD)'!G:G,0),MATCH([1]TBMapping!J$3,'[1]TrialBalance (YTD)'!$G$7:$Z$7,0)),0)</f>
        <v>0</v>
      </c>
      <c r="K1042" s="5" t="e">
        <f>SUMIF('[1]TrialBalance (Quarter)'!$A:$A,B1042,'[1]TrialBalance (Quarter)'!$B:$B)</f>
        <v>#VALUE!</v>
      </c>
      <c r="L1042" s="5">
        <f>IFERROR(INDEX('[1]TrialBalance (Quarter)'!$A:$L,MATCH([1]TBMapping!$C1044,'[1]TrialBalance (Quarter)'!A:A,0),MATCH([1]TBMapping!M$3,'[1]TrialBalance (Quarter)'!$7:$7,0)),0)</f>
        <v>0</v>
      </c>
      <c r="M1042" s="5">
        <f>IFERROR(INDEX('[1]TrialBalance (Quarter)'!$A:$L,MATCH([1]TBMapping!$C1044,'[1]TrialBalance (Quarter)'!A:A,0),MATCH([1]TBMapping!N$3,'[1]TrialBalance (Quarter)'!$7:$7,0)),0)</f>
        <v>0</v>
      </c>
      <c r="N1042" s="5">
        <f>IFERROR(INDEX('[1]TrialBalance (Quarter)'!$A:$L,MATCH([1]TBMapping!$C1044,'[1]TrialBalance (Quarter)'!A:A,0),MATCH([1]TBMapping!O$3,'[1]TrialBalance (Quarter)'!$7:$7,0)),0)</f>
        <v>0</v>
      </c>
    </row>
    <row r="1043" spans="1:14">
      <c r="A1043" s="2">
        <v>21</v>
      </c>
      <c r="B1043" s="3">
        <v>453000</v>
      </c>
      <c r="C1043" s="11" t="s">
        <v>849</v>
      </c>
      <c r="D1043" s="11" t="s">
        <v>11</v>
      </c>
      <c r="E1043" s="11"/>
      <c r="F1043" s="5" t="e">
        <f>IF(DataExtraction="Manual",SUMIF('[1]TrialBalance (YTD)'!$C:$C,B1043,'[1]TrialBalance (YTD)'!$E:$E),SUMIF('[1]TrialBalance (YTD)'!$G:$G,B1043,'[1]TrialBalance (YTD)'!$I:$I))</f>
        <v>#VALUE!</v>
      </c>
      <c r="G1043" s="5">
        <f>IFERROR(INDEX('[1]TrialBalance (YTD)'!$G:$S,MATCH([1]TBMapping!$C1045,'[1]TrialBalance (YTD)'!G:G,0),MATCH([1]TBMapping!H$3,'[1]TrialBalance (YTD)'!$G$7:$Z$7,0)),0)</f>
        <v>0</v>
      </c>
      <c r="H1043" s="5" t="e">
        <f>SUMIF('[1]TrialBalance (YTD)'!G:G,B1043,'[1]TrialBalance (YTD)'!H:H)</f>
        <v>#VALUE!</v>
      </c>
      <c r="I1043" s="5">
        <f>IFERROR(INDEX('[1]TrialBalance (YTD)'!$G:$S,MATCH([1]TBMapping!$C1045,'[1]TrialBalance (YTD)'!G:G,0),MATCH([1]TBMapping!J$3,'[1]TrialBalance (YTD)'!$G$7:$Z$7,0)),0)</f>
        <v>0</v>
      </c>
      <c r="K1043" s="5" t="e">
        <f>SUMIF('[1]TrialBalance (Quarter)'!$A:$A,B1043,'[1]TrialBalance (Quarter)'!$B:$B)</f>
        <v>#VALUE!</v>
      </c>
      <c r="L1043" s="5">
        <f>IFERROR(INDEX('[1]TrialBalance (Quarter)'!$A:$L,MATCH([1]TBMapping!$C1045,'[1]TrialBalance (Quarter)'!A:A,0),MATCH([1]TBMapping!M$3,'[1]TrialBalance (Quarter)'!$7:$7,0)),0)</f>
        <v>0</v>
      </c>
      <c r="M1043" s="5">
        <f>IFERROR(INDEX('[1]TrialBalance (Quarter)'!$A:$L,MATCH([1]TBMapping!$C1045,'[1]TrialBalance (Quarter)'!A:A,0),MATCH([1]TBMapping!N$3,'[1]TrialBalance (Quarter)'!$7:$7,0)),0)</f>
        <v>0</v>
      </c>
      <c r="N1043" s="5">
        <f>IFERROR(INDEX('[1]TrialBalance (Quarter)'!$A:$L,MATCH([1]TBMapping!$C1045,'[1]TrialBalance (Quarter)'!A:A,0),MATCH([1]TBMapping!O$3,'[1]TrialBalance (Quarter)'!$7:$7,0)),0)</f>
        <v>0</v>
      </c>
    </row>
    <row r="1044" spans="1:14">
      <c r="A1044" s="2">
        <v>21</v>
      </c>
      <c r="B1044" s="3">
        <v>454000</v>
      </c>
      <c r="C1044" s="10" t="s">
        <v>850</v>
      </c>
      <c r="D1044" s="10" t="s">
        <v>11</v>
      </c>
      <c r="E1044" s="10"/>
      <c r="F1044" s="5" t="e">
        <f>IF(DataExtraction="Manual",SUMIF('[1]TrialBalance (YTD)'!$C:$C,B1044,'[1]TrialBalance (YTD)'!$E:$E),SUMIF('[1]TrialBalance (YTD)'!$G:$G,B1044,'[1]TrialBalance (YTD)'!$I:$I))</f>
        <v>#VALUE!</v>
      </c>
      <c r="G1044" s="5">
        <f>IFERROR(INDEX('[1]TrialBalance (YTD)'!$G:$S,MATCH([1]TBMapping!$C1046,'[1]TrialBalance (YTD)'!G:G,0),MATCH([1]TBMapping!H$3,'[1]TrialBalance (YTD)'!$G$7:$Z$7,0)),0)</f>
        <v>0</v>
      </c>
      <c r="H1044" s="5" t="e">
        <f>SUMIF('[1]TrialBalance (YTD)'!G:G,B1044,'[1]TrialBalance (YTD)'!H:H)</f>
        <v>#VALUE!</v>
      </c>
      <c r="I1044" s="5">
        <f>IFERROR(INDEX('[1]TrialBalance (YTD)'!$G:$S,MATCH([1]TBMapping!$C1046,'[1]TrialBalance (YTD)'!G:G,0),MATCH([1]TBMapping!J$3,'[1]TrialBalance (YTD)'!$G$7:$Z$7,0)),0)</f>
        <v>0</v>
      </c>
      <c r="K1044" s="5" t="e">
        <f>SUMIF('[1]TrialBalance (Quarter)'!$A:$A,B1044,'[1]TrialBalance (Quarter)'!$B:$B)</f>
        <v>#VALUE!</v>
      </c>
      <c r="L1044" s="5">
        <f>IFERROR(INDEX('[1]TrialBalance (Quarter)'!$A:$L,MATCH([1]TBMapping!$C1046,'[1]TrialBalance (Quarter)'!A:A,0),MATCH([1]TBMapping!M$3,'[1]TrialBalance (Quarter)'!$7:$7,0)),0)</f>
        <v>0</v>
      </c>
      <c r="M1044" s="5">
        <f>IFERROR(INDEX('[1]TrialBalance (Quarter)'!$A:$L,MATCH([1]TBMapping!$C1046,'[1]TrialBalance (Quarter)'!A:A,0),MATCH([1]TBMapping!N$3,'[1]TrialBalance (Quarter)'!$7:$7,0)),0)</f>
        <v>0</v>
      </c>
      <c r="N1044" s="5">
        <f>IFERROR(INDEX('[1]TrialBalance (Quarter)'!$A:$L,MATCH([1]TBMapping!$C1046,'[1]TrialBalance (Quarter)'!A:A,0),MATCH([1]TBMapping!O$3,'[1]TrialBalance (Quarter)'!$7:$7,0)),0)</f>
        <v>0</v>
      </c>
    </row>
    <row r="1045" spans="1:14">
      <c r="A1045" s="2">
        <v>21</v>
      </c>
      <c r="B1045" s="3">
        <v>454012</v>
      </c>
      <c r="C1045" s="11" t="s">
        <v>851</v>
      </c>
      <c r="D1045" s="11" t="s">
        <v>11</v>
      </c>
      <c r="E1045" s="11"/>
      <c r="F1045" s="5" t="e">
        <f>IF(DataExtraction="Manual",SUMIF('[1]TrialBalance (YTD)'!$C:$C,B1045,'[1]TrialBalance (YTD)'!$E:$E),SUMIF('[1]TrialBalance (YTD)'!$G:$G,B1045,'[1]TrialBalance (YTD)'!$I:$I))</f>
        <v>#VALUE!</v>
      </c>
      <c r="G1045" s="5">
        <f>IFERROR(INDEX('[1]TrialBalance (YTD)'!$G:$S,MATCH([1]TBMapping!$C1047,'[1]TrialBalance (YTD)'!G:G,0),MATCH([1]TBMapping!H$3,'[1]TrialBalance (YTD)'!$G$7:$Z$7,0)),0)</f>
        <v>0</v>
      </c>
      <c r="H1045" s="5" t="e">
        <f>SUMIF('[1]TrialBalance (YTD)'!G:G,B1045,'[1]TrialBalance (YTD)'!H:H)</f>
        <v>#VALUE!</v>
      </c>
      <c r="I1045" s="5">
        <f>IFERROR(INDEX('[1]TrialBalance (YTD)'!$G:$S,MATCH([1]TBMapping!$C1047,'[1]TrialBalance (YTD)'!G:G,0),MATCH([1]TBMapping!J$3,'[1]TrialBalance (YTD)'!$G$7:$Z$7,0)),0)</f>
        <v>0</v>
      </c>
      <c r="K1045" s="5" t="e">
        <f>SUMIF('[1]TrialBalance (Quarter)'!$A:$A,B1045,'[1]TrialBalance (Quarter)'!$B:$B)</f>
        <v>#VALUE!</v>
      </c>
      <c r="L1045" s="5">
        <f>IFERROR(INDEX('[1]TrialBalance (Quarter)'!$A:$L,MATCH([1]TBMapping!$C1047,'[1]TrialBalance (Quarter)'!A:A,0),MATCH([1]TBMapping!M$3,'[1]TrialBalance (Quarter)'!$7:$7,0)),0)</f>
        <v>0</v>
      </c>
      <c r="M1045" s="5">
        <f>IFERROR(INDEX('[1]TrialBalance (Quarter)'!$A:$L,MATCH([1]TBMapping!$C1047,'[1]TrialBalance (Quarter)'!A:A,0),MATCH([1]TBMapping!N$3,'[1]TrialBalance (Quarter)'!$7:$7,0)),0)</f>
        <v>0</v>
      </c>
      <c r="N1045" s="5">
        <f>IFERROR(INDEX('[1]TrialBalance (Quarter)'!$A:$L,MATCH([1]TBMapping!$C1047,'[1]TrialBalance (Quarter)'!A:A,0),MATCH([1]TBMapping!O$3,'[1]TrialBalance (Quarter)'!$7:$7,0)),0)</f>
        <v>0</v>
      </c>
    </row>
    <row r="1046" spans="1:14">
      <c r="A1046" s="2">
        <v>21</v>
      </c>
      <c r="B1046" s="3">
        <v>454050</v>
      </c>
      <c r="C1046" s="10" t="s">
        <v>852</v>
      </c>
      <c r="D1046" s="10" t="s">
        <v>11</v>
      </c>
      <c r="E1046" s="10"/>
      <c r="F1046" s="5" t="e">
        <f>IF(DataExtraction="Manual",SUMIF('[1]TrialBalance (YTD)'!$C:$C,B1046,'[1]TrialBalance (YTD)'!$E:$E),SUMIF('[1]TrialBalance (YTD)'!$G:$G,B1046,'[1]TrialBalance (YTD)'!$I:$I))</f>
        <v>#VALUE!</v>
      </c>
      <c r="G1046" s="5">
        <f>IFERROR(INDEX('[1]TrialBalance (YTD)'!$G:$S,MATCH([1]TBMapping!$C1048,'[1]TrialBalance (YTD)'!G:G,0),MATCH([1]TBMapping!H$3,'[1]TrialBalance (YTD)'!$G$7:$Z$7,0)),0)</f>
        <v>0</v>
      </c>
      <c r="H1046" s="5" t="e">
        <f>SUMIF('[1]TrialBalance (YTD)'!G:G,B1046,'[1]TrialBalance (YTD)'!H:H)</f>
        <v>#VALUE!</v>
      </c>
      <c r="I1046" s="5">
        <f>IFERROR(INDEX('[1]TrialBalance (YTD)'!$G:$S,MATCH([1]TBMapping!$C1048,'[1]TrialBalance (YTD)'!G:G,0),MATCH([1]TBMapping!J$3,'[1]TrialBalance (YTD)'!$G$7:$Z$7,0)),0)</f>
        <v>0</v>
      </c>
      <c r="K1046" s="5" t="e">
        <f>SUMIF('[1]TrialBalance (Quarter)'!$A:$A,B1046,'[1]TrialBalance (Quarter)'!$B:$B)</f>
        <v>#VALUE!</v>
      </c>
      <c r="L1046" s="5">
        <f>IFERROR(INDEX('[1]TrialBalance (Quarter)'!$A:$L,MATCH([1]TBMapping!$C1048,'[1]TrialBalance (Quarter)'!A:A,0),MATCH([1]TBMapping!M$3,'[1]TrialBalance (Quarter)'!$7:$7,0)),0)</f>
        <v>0</v>
      </c>
      <c r="M1046" s="5">
        <f>IFERROR(INDEX('[1]TrialBalance (Quarter)'!$A:$L,MATCH([1]TBMapping!$C1048,'[1]TrialBalance (Quarter)'!A:A,0),MATCH([1]TBMapping!N$3,'[1]TrialBalance (Quarter)'!$7:$7,0)),0)</f>
        <v>0</v>
      </c>
      <c r="N1046" s="5">
        <f>IFERROR(INDEX('[1]TrialBalance (Quarter)'!$A:$L,MATCH([1]TBMapping!$C1048,'[1]TrialBalance (Quarter)'!A:A,0),MATCH([1]TBMapping!O$3,'[1]TrialBalance (Quarter)'!$7:$7,0)),0)</f>
        <v>0</v>
      </c>
    </row>
    <row r="1047" spans="1:14">
      <c r="A1047" s="2">
        <v>21</v>
      </c>
      <c r="B1047" s="3">
        <v>454100</v>
      </c>
      <c r="C1047" s="11" t="s">
        <v>852</v>
      </c>
      <c r="D1047" s="11" t="s">
        <v>11</v>
      </c>
      <c r="E1047" s="11"/>
      <c r="F1047" s="5" t="e">
        <f>IF(DataExtraction="Manual",SUMIF('[1]TrialBalance (YTD)'!$C:$C,B1047,'[1]TrialBalance (YTD)'!$E:$E),SUMIF('[1]TrialBalance (YTD)'!$G:$G,B1047,'[1]TrialBalance (YTD)'!$I:$I))</f>
        <v>#VALUE!</v>
      </c>
      <c r="G1047" s="5">
        <f>IFERROR(INDEX('[1]TrialBalance (YTD)'!$G:$S,MATCH([1]TBMapping!$C1049,'[1]TrialBalance (YTD)'!G:G,0),MATCH([1]TBMapping!H$3,'[1]TrialBalance (YTD)'!$G$7:$Z$7,0)),0)</f>
        <v>0</v>
      </c>
      <c r="H1047" s="5" t="e">
        <f>SUMIF('[1]TrialBalance (YTD)'!G:G,B1047,'[1]TrialBalance (YTD)'!H:H)</f>
        <v>#VALUE!</v>
      </c>
      <c r="I1047" s="5">
        <f>IFERROR(INDEX('[1]TrialBalance (YTD)'!$G:$S,MATCH([1]TBMapping!$C1049,'[1]TrialBalance (YTD)'!G:G,0),MATCH([1]TBMapping!J$3,'[1]TrialBalance (YTD)'!$G$7:$Z$7,0)),0)</f>
        <v>0</v>
      </c>
      <c r="K1047" s="5" t="e">
        <f>SUMIF('[1]TrialBalance (Quarter)'!$A:$A,B1047,'[1]TrialBalance (Quarter)'!$B:$B)</f>
        <v>#VALUE!</v>
      </c>
      <c r="L1047" s="5">
        <f>IFERROR(INDEX('[1]TrialBalance (Quarter)'!$A:$L,MATCH([1]TBMapping!$C1049,'[1]TrialBalance (Quarter)'!A:A,0),MATCH([1]TBMapping!M$3,'[1]TrialBalance (Quarter)'!$7:$7,0)),0)</f>
        <v>0</v>
      </c>
      <c r="M1047" s="5">
        <f>IFERROR(INDEX('[1]TrialBalance (Quarter)'!$A:$L,MATCH([1]TBMapping!$C1049,'[1]TrialBalance (Quarter)'!A:A,0),MATCH([1]TBMapping!N$3,'[1]TrialBalance (Quarter)'!$7:$7,0)),0)</f>
        <v>0</v>
      </c>
      <c r="N1047" s="5">
        <f>IFERROR(INDEX('[1]TrialBalance (Quarter)'!$A:$L,MATCH([1]TBMapping!$C1049,'[1]TrialBalance (Quarter)'!A:A,0),MATCH([1]TBMapping!O$3,'[1]TrialBalance (Quarter)'!$7:$7,0)),0)</f>
        <v>0</v>
      </c>
    </row>
    <row r="1048" spans="1:14">
      <c r="A1048" s="2">
        <v>21</v>
      </c>
      <c r="B1048" s="3">
        <v>455000</v>
      </c>
      <c r="C1048" s="10" t="s">
        <v>853</v>
      </c>
      <c r="D1048" s="10" t="s">
        <v>11</v>
      </c>
      <c r="E1048" s="10"/>
      <c r="F1048" s="5" t="e">
        <f>IF(DataExtraction="Manual",SUMIF('[1]TrialBalance (YTD)'!$C:$C,B1048,'[1]TrialBalance (YTD)'!$E:$E),SUMIF('[1]TrialBalance (YTD)'!$G:$G,B1048,'[1]TrialBalance (YTD)'!$I:$I))</f>
        <v>#VALUE!</v>
      </c>
      <c r="G1048" s="5">
        <f>IFERROR(INDEX('[1]TrialBalance (YTD)'!$G:$S,MATCH([1]TBMapping!$C1050,'[1]TrialBalance (YTD)'!G:G,0),MATCH([1]TBMapping!H$3,'[1]TrialBalance (YTD)'!$G$7:$Z$7,0)),0)</f>
        <v>0</v>
      </c>
      <c r="H1048" s="5" t="e">
        <f>SUMIF('[1]TrialBalance (YTD)'!G:G,B1048,'[1]TrialBalance (YTD)'!H:H)</f>
        <v>#VALUE!</v>
      </c>
      <c r="I1048" s="5">
        <f>IFERROR(INDEX('[1]TrialBalance (YTD)'!$G:$S,MATCH([1]TBMapping!$C1050,'[1]TrialBalance (YTD)'!G:G,0),MATCH([1]TBMapping!J$3,'[1]TrialBalance (YTD)'!$G$7:$Z$7,0)),0)</f>
        <v>-2035272.46</v>
      </c>
      <c r="K1048" s="5" t="e">
        <f>SUMIF('[1]TrialBalance (Quarter)'!$A:$A,B1048,'[1]TrialBalance (Quarter)'!$B:$B)</f>
        <v>#VALUE!</v>
      </c>
      <c r="L1048" s="5">
        <f>IFERROR(INDEX('[1]TrialBalance (Quarter)'!$A:$L,MATCH([1]TBMapping!$C1050,'[1]TrialBalance (Quarter)'!A:A,0),MATCH([1]TBMapping!M$3,'[1]TrialBalance (Quarter)'!$7:$7,0)),0)</f>
        <v>0</v>
      </c>
      <c r="M1048" s="5">
        <f>IFERROR(INDEX('[1]TrialBalance (Quarter)'!$A:$L,MATCH([1]TBMapping!$C1050,'[1]TrialBalance (Quarter)'!A:A,0),MATCH([1]TBMapping!N$3,'[1]TrialBalance (Quarter)'!$7:$7,0)),0)</f>
        <v>92060.02</v>
      </c>
      <c r="N1048" s="5">
        <f>IFERROR(INDEX('[1]TrialBalance (Quarter)'!$A:$L,MATCH([1]TBMapping!$C1050,'[1]TrialBalance (Quarter)'!A:A,0),MATCH([1]TBMapping!O$3,'[1]TrialBalance (Quarter)'!$7:$7,0)),0)</f>
        <v>297152.32</v>
      </c>
    </row>
    <row r="1049" spans="1:14">
      <c r="A1049" s="2">
        <v>21</v>
      </c>
      <c r="B1049" s="3">
        <v>455100</v>
      </c>
      <c r="C1049" s="11" t="s">
        <v>854</v>
      </c>
      <c r="D1049" s="11" t="s">
        <v>11</v>
      </c>
      <c r="E1049" s="11"/>
      <c r="F1049" s="5" t="e">
        <f>IF(DataExtraction="Manual",SUMIF('[1]TrialBalance (YTD)'!$C:$C,B1049,'[1]TrialBalance (YTD)'!$E:$E),SUMIF('[1]TrialBalance (YTD)'!$G:$G,B1049,'[1]TrialBalance (YTD)'!$I:$I))</f>
        <v>#VALUE!</v>
      </c>
      <c r="G1049" s="5">
        <f>IFERROR(INDEX('[1]TrialBalance (YTD)'!$G:$S,MATCH([1]TBMapping!$C1051,'[1]TrialBalance (YTD)'!G:G,0),MATCH([1]TBMapping!H$3,'[1]TrialBalance (YTD)'!$G$7:$Z$7,0)),0)</f>
        <v>0</v>
      </c>
      <c r="H1049" s="5" t="e">
        <f>SUMIF('[1]TrialBalance (YTD)'!G:G,B1049,'[1]TrialBalance (YTD)'!H:H)</f>
        <v>#VALUE!</v>
      </c>
      <c r="I1049" s="5">
        <f>IFERROR(INDEX('[1]TrialBalance (YTD)'!$G:$S,MATCH([1]TBMapping!$C1051,'[1]TrialBalance (YTD)'!G:G,0),MATCH([1]TBMapping!J$3,'[1]TrialBalance (YTD)'!$G$7:$Z$7,0)),0)</f>
        <v>0</v>
      </c>
      <c r="K1049" s="5" t="e">
        <f>SUMIF('[1]TrialBalance (Quarter)'!$A:$A,B1049,'[1]TrialBalance (Quarter)'!$B:$B)</f>
        <v>#VALUE!</v>
      </c>
      <c r="L1049" s="5">
        <f>IFERROR(INDEX('[1]TrialBalance (Quarter)'!$A:$L,MATCH([1]TBMapping!$C1051,'[1]TrialBalance (Quarter)'!A:A,0),MATCH([1]TBMapping!M$3,'[1]TrialBalance (Quarter)'!$7:$7,0)),0)</f>
        <v>0</v>
      </c>
      <c r="M1049" s="5">
        <f>IFERROR(INDEX('[1]TrialBalance (Quarter)'!$A:$L,MATCH([1]TBMapping!$C1051,'[1]TrialBalance (Quarter)'!A:A,0),MATCH([1]TBMapping!N$3,'[1]TrialBalance (Quarter)'!$7:$7,0)),0)</f>
        <v>0</v>
      </c>
      <c r="N1049" s="5">
        <f>IFERROR(INDEX('[1]TrialBalance (Quarter)'!$A:$L,MATCH([1]TBMapping!$C1051,'[1]TrialBalance (Quarter)'!A:A,0),MATCH([1]TBMapping!O$3,'[1]TrialBalance (Quarter)'!$7:$7,0)),0)</f>
        <v>0</v>
      </c>
    </row>
    <row r="1050" spans="1:14">
      <c r="A1050" s="2">
        <v>21</v>
      </c>
      <c r="B1050" s="3">
        <v>456000</v>
      </c>
      <c r="C1050" s="10" t="s">
        <v>855</v>
      </c>
      <c r="D1050" s="10" t="s">
        <v>11</v>
      </c>
      <c r="E1050" s="10"/>
      <c r="F1050" s="5" t="e">
        <f>IF(DataExtraction="Manual",SUMIF('[1]TrialBalance (YTD)'!$C:$C,B1050,'[1]TrialBalance (YTD)'!$E:$E),SUMIF('[1]TrialBalance (YTD)'!$G:$G,B1050,'[1]TrialBalance (YTD)'!$I:$I))</f>
        <v>#VALUE!</v>
      </c>
      <c r="G1050" s="5">
        <f>IFERROR(INDEX('[1]TrialBalance (YTD)'!$G:$S,MATCH([1]TBMapping!$C1052,'[1]TrialBalance (YTD)'!G:G,0),MATCH([1]TBMapping!H$3,'[1]TrialBalance (YTD)'!$G$7:$Z$7,0)),0)</f>
        <v>0</v>
      </c>
      <c r="H1050" s="5" t="e">
        <f>SUMIF('[1]TrialBalance (YTD)'!G:G,B1050,'[1]TrialBalance (YTD)'!H:H)</f>
        <v>#VALUE!</v>
      </c>
      <c r="I1050" s="5">
        <f>IFERROR(INDEX('[1]TrialBalance (YTD)'!$G:$S,MATCH([1]TBMapping!$C1052,'[1]TrialBalance (YTD)'!G:G,0),MATCH([1]TBMapping!J$3,'[1]TrialBalance (YTD)'!$G$7:$Z$7,0)),0)</f>
        <v>0</v>
      </c>
      <c r="K1050" s="5" t="e">
        <f>SUMIF('[1]TrialBalance (Quarter)'!$A:$A,B1050,'[1]TrialBalance (Quarter)'!$B:$B)</f>
        <v>#VALUE!</v>
      </c>
      <c r="L1050" s="5">
        <f>IFERROR(INDEX('[1]TrialBalance (Quarter)'!$A:$L,MATCH([1]TBMapping!$C1052,'[1]TrialBalance (Quarter)'!A:A,0),MATCH([1]TBMapping!M$3,'[1]TrialBalance (Quarter)'!$7:$7,0)),0)</f>
        <v>0</v>
      </c>
      <c r="M1050" s="5">
        <f>IFERROR(INDEX('[1]TrialBalance (Quarter)'!$A:$L,MATCH([1]TBMapping!$C1052,'[1]TrialBalance (Quarter)'!A:A,0),MATCH([1]TBMapping!N$3,'[1]TrialBalance (Quarter)'!$7:$7,0)),0)</f>
        <v>0</v>
      </c>
      <c r="N1050" s="5">
        <f>IFERROR(INDEX('[1]TrialBalance (Quarter)'!$A:$L,MATCH([1]TBMapping!$C1052,'[1]TrialBalance (Quarter)'!A:A,0),MATCH([1]TBMapping!O$3,'[1]TrialBalance (Quarter)'!$7:$7,0)),0)</f>
        <v>0</v>
      </c>
    </row>
    <row r="1051" spans="1:14">
      <c r="A1051" s="2">
        <v>21</v>
      </c>
      <c r="B1051" s="3">
        <v>470000</v>
      </c>
      <c r="C1051" s="11" t="s">
        <v>856</v>
      </c>
      <c r="D1051" s="11" t="s">
        <v>11</v>
      </c>
      <c r="E1051" s="11"/>
      <c r="F1051" s="5" t="e">
        <f>IF(DataExtraction="Manual",SUMIF('[1]TrialBalance (YTD)'!$C:$C,B1051,'[1]TrialBalance (YTD)'!$E:$E),SUMIF('[1]TrialBalance (YTD)'!$G:$G,B1051,'[1]TrialBalance (YTD)'!$I:$I))</f>
        <v>#VALUE!</v>
      </c>
      <c r="G1051" s="5">
        <f>IFERROR(INDEX('[1]TrialBalance (YTD)'!$G:$S,MATCH([1]TBMapping!$C1053,'[1]TrialBalance (YTD)'!G:G,0),MATCH([1]TBMapping!H$3,'[1]TrialBalance (YTD)'!$G$7:$Z$7,0)),0)</f>
        <v>0</v>
      </c>
      <c r="H1051" s="5" t="e">
        <f>SUMIF('[1]TrialBalance (YTD)'!G:G,B1051,'[1]TrialBalance (YTD)'!H:H)</f>
        <v>#VALUE!</v>
      </c>
      <c r="I1051" s="5">
        <f>IFERROR(INDEX('[1]TrialBalance (YTD)'!$G:$S,MATCH([1]TBMapping!$C1053,'[1]TrialBalance (YTD)'!G:G,0),MATCH([1]TBMapping!J$3,'[1]TrialBalance (YTD)'!$G$7:$Z$7,0)),0)</f>
        <v>0</v>
      </c>
      <c r="K1051" s="5" t="e">
        <f>SUMIF('[1]TrialBalance (Quarter)'!$A:$A,B1051,'[1]TrialBalance (Quarter)'!$B:$B)</f>
        <v>#VALUE!</v>
      </c>
      <c r="L1051" s="5">
        <f>IFERROR(INDEX('[1]TrialBalance (Quarter)'!$A:$L,MATCH([1]TBMapping!$C1053,'[1]TrialBalance (Quarter)'!A:A,0),MATCH([1]TBMapping!M$3,'[1]TrialBalance (Quarter)'!$7:$7,0)),0)</f>
        <v>0</v>
      </c>
      <c r="M1051" s="5">
        <f>IFERROR(INDEX('[1]TrialBalance (Quarter)'!$A:$L,MATCH([1]TBMapping!$C1053,'[1]TrialBalance (Quarter)'!A:A,0),MATCH([1]TBMapping!N$3,'[1]TrialBalance (Quarter)'!$7:$7,0)),0)</f>
        <v>0</v>
      </c>
      <c r="N1051" s="5">
        <f>IFERROR(INDEX('[1]TrialBalance (Quarter)'!$A:$L,MATCH([1]TBMapping!$C1053,'[1]TrialBalance (Quarter)'!A:A,0),MATCH([1]TBMapping!O$3,'[1]TrialBalance (Quarter)'!$7:$7,0)),0)</f>
        <v>0</v>
      </c>
    </row>
    <row r="1052" spans="1:14">
      <c r="A1052" s="2">
        <v>21</v>
      </c>
      <c r="B1052" s="3">
        <v>471000</v>
      </c>
      <c r="C1052" s="10" t="s">
        <v>857</v>
      </c>
      <c r="D1052" s="10" t="s">
        <v>11</v>
      </c>
      <c r="E1052" s="10"/>
      <c r="F1052" s="5" t="e">
        <f>IF(DataExtraction="Manual",SUMIF('[1]TrialBalance (YTD)'!$C:$C,B1052,'[1]TrialBalance (YTD)'!$E:$E),SUMIF('[1]TrialBalance (YTD)'!$G:$G,B1052,'[1]TrialBalance (YTD)'!$I:$I))</f>
        <v>#VALUE!</v>
      </c>
      <c r="G1052" s="5">
        <f>IFERROR(INDEX('[1]TrialBalance (YTD)'!$G:$S,MATCH([1]TBMapping!$C1054,'[1]TrialBalance (YTD)'!G:G,0),MATCH([1]TBMapping!H$3,'[1]TrialBalance (YTD)'!$G$7:$Z$7,0)),0)</f>
        <v>0</v>
      </c>
      <c r="H1052" s="5" t="e">
        <f>SUMIF('[1]TrialBalance (YTD)'!G:G,B1052,'[1]TrialBalance (YTD)'!H:H)</f>
        <v>#VALUE!</v>
      </c>
      <c r="I1052" s="5">
        <f>IFERROR(INDEX('[1]TrialBalance (YTD)'!$G:$S,MATCH([1]TBMapping!$C1054,'[1]TrialBalance (YTD)'!G:G,0),MATCH([1]TBMapping!J$3,'[1]TrialBalance (YTD)'!$G$7:$Z$7,0)),0)</f>
        <v>0</v>
      </c>
      <c r="K1052" s="5" t="e">
        <f>SUMIF('[1]TrialBalance (Quarter)'!$A:$A,B1052,'[1]TrialBalance (Quarter)'!$B:$B)</f>
        <v>#VALUE!</v>
      </c>
      <c r="L1052" s="5">
        <f>IFERROR(INDEX('[1]TrialBalance (Quarter)'!$A:$L,MATCH([1]TBMapping!$C1054,'[1]TrialBalance (Quarter)'!A:A,0),MATCH([1]TBMapping!M$3,'[1]TrialBalance (Quarter)'!$7:$7,0)),0)</f>
        <v>0</v>
      </c>
      <c r="M1052" s="5">
        <f>IFERROR(INDEX('[1]TrialBalance (Quarter)'!$A:$L,MATCH([1]TBMapping!$C1054,'[1]TrialBalance (Quarter)'!A:A,0),MATCH([1]TBMapping!N$3,'[1]TrialBalance (Quarter)'!$7:$7,0)),0)</f>
        <v>0</v>
      </c>
      <c r="N1052" s="5">
        <f>IFERROR(INDEX('[1]TrialBalance (Quarter)'!$A:$L,MATCH([1]TBMapping!$C1054,'[1]TrialBalance (Quarter)'!A:A,0),MATCH([1]TBMapping!O$3,'[1]TrialBalance (Quarter)'!$7:$7,0)),0)</f>
        <v>0</v>
      </c>
    </row>
    <row r="1053" spans="1:14">
      <c r="A1053" s="2">
        <v>21</v>
      </c>
      <c r="B1053" s="3">
        <v>471010</v>
      </c>
      <c r="C1053" s="11" t="s">
        <v>858</v>
      </c>
      <c r="D1053" s="11" t="s">
        <v>11</v>
      </c>
      <c r="E1053" s="11"/>
      <c r="F1053" s="5" t="e">
        <f>IF(DataExtraction="Manual",SUMIF('[1]TrialBalance (YTD)'!$C:$C,B1053,'[1]TrialBalance (YTD)'!$E:$E),SUMIF('[1]TrialBalance (YTD)'!$G:$G,B1053,'[1]TrialBalance (YTD)'!$I:$I))</f>
        <v>#VALUE!</v>
      </c>
      <c r="G1053" s="5">
        <f>IFERROR(INDEX('[1]TrialBalance (YTD)'!$G:$S,MATCH([1]TBMapping!$C1055,'[1]TrialBalance (YTD)'!G:G,0),MATCH([1]TBMapping!H$3,'[1]TrialBalance (YTD)'!$G$7:$Z$7,0)),0)</f>
        <v>0</v>
      </c>
      <c r="H1053" s="5" t="e">
        <f>SUMIF('[1]TrialBalance (YTD)'!G:G,B1053,'[1]TrialBalance (YTD)'!H:H)</f>
        <v>#VALUE!</v>
      </c>
      <c r="I1053" s="5">
        <f>IFERROR(INDEX('[1]TrialBalance (YTD)'!$G:$S,MATCH([1]TBMapping!$C1055,'[1]TrialBalance (YTD)'!G:G,0),MATCH([1]TBMapping!J$3,'[1]TrialBalance (YTD)'!$G$7:$Z$7,0)),0)</f>
        <v>0</v>
      </c>
      <c r="K1053" s="5" t="e">
        <f>SUMIF('[1]TrialBalance (Quarter)'!$A:$A,B1053,'[1]TrialBalance (Quarter)'!$B:$B)</f>
        <v>#VALUE!</v>
      </c>
      <c r="L1053" s="5">
        <f>IFERROR(INDEX('[1]TrialBalance (Quarter)'!$A:$L,MATCH([1]TBMapping!$C1055,'[1]TrialBalance (Quarter)'!A:A,0),MATCH([1]TBMapping!M$3,'[1]TrialBalance (Quarter)'!$7:$7,0)),0)</f>
        <v>0</v>
      </c>
      <c r="M1053" s="5">
        <f>IFERROR(INDEX('[1]TrialBalance (Quarter)'!$A:$L,MATCH([1]TBMapping!$C1055,'[1]TrialBalance (Quarter)'!A:A,0),MATCH([1]TBMapping!N$3,'[1]TrialBalance (Quarter)'!$7:$7,0)),0)</f>
        <v>0</v>
      </c>
      <c r="N1053" s="5">
        <f>IFERROR(INDEX('[1]TrialBalance (Quarter)'!$A:$L,MATCH([1]TBMapping!$C1055,'[1]TrialBalance (Quarter)'!A:A,0),MATCH([1]TBMapping!O$3,'[1]TrialBalance (Quarter)'!$7:$7,0)),0)</f>
        <v>0</v>
      </c>
    </row>
    <row r="1054" spans="1:14">
      <c r="A1054" s="2">
        <v>21</v>
      </c>
      <c r="B1054" s="3">
        <v>471020</v>
      </c>
      <c r="C1054" s="10" t="s">
        <v>859</v>
      </c>
      <c r="D1054" s="10" t="s">
        <v>11</v>
      </c>
      <c r="E1054" s="10"/>
      <c r="F1054" s="5" t="e">
        <f>IF(DataExtraction="Manual",SUMIF('[1]TrialBalance (YTD)'!$C:$C,B1054,'[1]TrialBalance (YTD)'!$E:$E),SUMIF('[1]TrialBalance (YTD)'!$G:$G,B1054,'[1]TrialBalance (YTD)'!$I:$I))</f>
        <v>#VALUE!</v>
      </c>
      <c r="G1054" s="5">
        <f>IFERROR(INDEX('[1]TrialBalance (YTD)'!$G:$S,MATCH([1]TBMapping!$C1056,'[1]TrialBalance (YTD)'!G:G,0),MATCH([1]TBMapping!H$3,'[1]TrialBalance (YTD)'!$G$7:$Z$7,0)),0)</f>
        <v>0</v>
      </c>
      <c r="H1054" s="5" t="e">
        <f>SUMIF('[1]TrialBalance (YTD)'!G:G,B1054,'[1]TrialBalance (YTD)'!H:H)</f>
        <v>#VALUE!</v>
      </c>
      <c r="I1054" s="5">
        <f>IFERROR(INDEX('[1]TrialBalance (YTD)'!$G:$S,MATCH([1]TBMapping!$C1056,'[1]TrialBalance (YTD)'!G:G,0),MATCH([1]TBMapping!J$3,'[1]TrialBalance (YTD)'!$G$7:$Z$7,0)),0)</f>
        <v>0</v>
      </c>
      <c r="K1054" s="5" t="e">
        <f>SUMIF('[1]TrialBalance (Quarter)'!$A:$A,B1054,'[1]TrialBalance (Quarter)'!$B:$B)</f>
        <v>#VALUE!</v>
      </c>
      <c r="L1054" s="5">
        <f>IFERROR(INDEX('[1]TrialBalance (Quarter)'!$A:$L,MATCH([1]TBMapping!$C1056,'[1]TrialBalance (Quarter)'!A:A,0),MATCH([1]TBMapping!M$3,'[1]TrialBalance (Quarter)'!$7:$7,0)),0)</f>
        <v>0</v>
      </c>
      <c r="M1054" s="5">
        <f>IFERROR(INDEX('[1]TrialBalance (Quarter)'!$A:$L,MATCH([1]TBMapping!$C1056,'[1]TrialBalance (Quarter)'!A:A,0),MATCH([1]TBMapping!N$3,'[1]TrialBalance (Quarter)'!$7:$7,0)),0)</f>
        <v>0</v>
      </c>
      <c r="N1054" s="5">
        <f>IFERROR(INDEX('[1]TrialBalance (Quarter)'!$A:$L,MATCH([1]TBMapping!$C1056,'[1]TrialBalance (Quarter)'!A:A,0),MATCH([1]TBMapping!O$3,'[1]TrialBalance (Quarter)'!$7:$7,0)),0)</f>
        <v>0</v>
      </c>
    </row>
    <row r="1055" spans="1:14">
      <c r="A1055" s="2">
        <v>21</v>
      </c>
      <c r="B1055" s="3">
        <v>471100</v>
      </c>
      <c r="C1055" s="11" t="s">
        <v>860</v>
      </c>
      <c r="D1055" s="11" t="s">
        <v>11</v>
      </c>
      <c r="E1055" s="11"/>
      <c r="F1055" s="5" t="e">
        <f>IF(DataExtraction="Manual",SUMIF('[1]TrialBalance (YTD)'!$C:$C,B1055,'[1]TrialBalance (YTD)'!$E:$E),SUMIF('[1]TrialBalance (YTD)'!$G:$G,B1055,'[1]TrialBalance (YTD)'!$I:$I))</f>
        <v>#VALUE!</v>
      </c>
      <c r="G1055" s="5">
        <f>IFERROR(INDEX('[1]TrialBalance (YTD)'!$G:$S,MATCH([1]TBMapping!$C1057,'[1]TrialBalance (YTD)'!G:G,0),MATCH([1]TBMapping!H$3,'[1]TrialBalance (YTD)'!$G$7:$Z$7,0)),0)</f>
        <v>0</v>
      </c>
      <c r="H1055" s="5" t="e">
        <f>SUMIF('[1]TrialBalance (YTD)'!G:G,B1055,'[1]TrialBalance (YTD)'!H:H)</f>
        <v>#VALUE!</v>
      </c>
      <c r="I1055" s="5">
        <f>IFERROR(INDEX('[1]TrialBalance (YTD)'!$G:$S,MATCH([1]TBMapping!$C1057,'[1]TrialBalance (YTD)'!G:G,0),MATCH([1]TBMapping!J$3,'[1]TrialBalance (YTD)'!$G$7:$Z$7,0)),0)</f>
        <v>0</v>
      </c>
      <c r="K1055" s="5" t="e">
        <f>SUMIF('[1]TrialBalance (Quarter)'!$A:$A,B1055,'[1]TrialBalance (Quarter)'!$B:$B)</f>
        <v>#VALUE!</v>
      </c>
      <c r="L1055" s="5">
        <f>IFERROR(INDEX('[1]TrialBalance (Quarter)'!$A:$L,MATCH([1]TBMapping!$C1057,'[1]TrialBalance (Quarter)'!A:A,0),MATCH([1]TBMapping!M$3,'[1]TrialBalance (Quarter)'!$7:$7,0)),0)</f>
        <v>0</v>
      </c>
      <c r="M1055" s="5">
        <f>IFERROR(INDEX('[1]TrialBalance (Quarter)'!$A:$L,MATCH([1]TBMapping!$C1057,'[1]TrialBalance (Quarter)'!A:A,0),MATCH([1]TBMapping!N$3,'[1]TrialBalance (Quarter)'!$7:$7,0)),0)</f>
        <v>0</v>
      </c>
      <c r="N1055" s="5">
        <f>IFERROR(INDEX('[1]TrialBalance (Quarter)'!$A:$L,MATCH([1]TBMapping!$C1057,'[1]TrialBalance (Quarter)'!A:A,0),MATCH([1]TBMapping!O$3,'[1]TrialBalance (Quarter)'!$7:$7,0)),0)</f>
        <v>0</v>
      </c>
    </row>
    <row r="1056" spans="1:14">
      <c r="A1056" s="2">
        <v>21</v>
      </c>
      <c r="B1056" s="3">
        <v>471110</v>
      </c>
      <c r="C1056" s="10" t="s">
        <v>861</v>
      </c>
      <c r="D1056" s="10" t="s">
        <v>11</v>
      </c>
      <c r="E1056" s="10"/>
      <c r="F1056" s="5" t="e">
        <f>IF(DataExtraction="Manual",SUMIF('[1]TrialBalance (YTD)'!$C:$C,B1056,'[1]TrialBalance (YTD)'!$E:$E),SUMIF('[1]TrialBalance (YTD)'!$G:$G,B1056,'[1]TrialBalance (YTD)'!$I:$I))</f>
        <v>#VALUE!</v>
      </c>
      <c r="G1056" s="5">
        <f>IFERROR(INDEX('[1]TrialBalance (YTD)'!$G:$S,MATCH([1]TBMapping!$C1058,'[1]TrialBalance (YTD)'!G:G,0),MATCH([1]TBMapping!H$3,'[1]TrialBalance (YTD)'!$G$7:$Z$7,0)),0)</f>
        <v>0</v>
      </c>
      <c r="H1056" s="5" t="e">
        <f>SUMIF('[1]TrialBalance (YTD)'!G:G,B1056,'[1]TrialBalance (YTD)'!H:H)</f>
        <v>#VALUE!</v>
      </c>
      <c r="I1056" s="5">
        <f>IFERROR(INDEX('[1]TrialBalance (YTD)'!$G:$S,MATCH([1]TBMapping!$C1058,'[1]TrialBalance (YTD)'!G:G,0),MATCH([1]TBMapping!J$3,'[1]TrialBalance (YTD)'!$G$7:$Z$7,0)),0)</f>
        <v>0</v>
      </c>
      <c r="K1056" s="5" t="e">
        <f>SUMIF('[1]TrialBalance (Quarter)'!$A:$A,B1056,'[1]TrialBalance (Quarter)'!$B:$B)</f>
        <v>#VALUE!</v>
      </c>
      <c r="L1056" s="5">
        <f>IFERROR(INDEX('[1]TrialBalance (Quarter)'!$A:$L,MATCH([1]TBMapping!$C1058,'[1]TrialBalance (Quarter)'!A:A,0),MATCH([1]TBMapping!M$3,'[1]TrialBalance (Quarter)'!$7:$7,0)),0)</f>
        <v>0</v>
      </c>
      <c r="M1056" s="5">
        <f>IFERROR(INDEX('[1]TrialBalance (Quarter)'!$A:$L,MATCH([1]TBMapping!$C1058,'[1]TrialBalance (Quarter)'!A:A,0),MATCH([1]TBMapping!N$3,'[1]TrialBalance (Quarter)'!$7:$7,0)),0)</f>
        <v>0</v>
      </c>
      <c r="N1056" s="5">
        <f>IFERROR(INDEX('[1]TrialBalance (Quarter)'!$A:$L,MATCH([1]TBMapping!$C1058,'[1]TrialBalance (Quarter)'!A:A,0),MATCH([1]TBMapping!O$3,'[1]TrialBalance (Quarter)'!$7:$7,0)),0)</f>
        <v>0</v>
      </c>
    </row>
    <row r="1057" spans="1:14">
      <c r="A1057" s="2">
        <v>21</v>
      </c>
      <c r="B1057" s="3">
        <v>471120</v>
      </c>
      <c r="C1057" s="11" t="s">
        <v>862</v>
      </c>
      <c r="D1057" s="11" t="s">
        <v>11</v>
      </c>
      <c r="E1057" s="11"/>
      <c r="F1057" s="5" t="e">
        <f>IF(DataExtraction="Manual",SUMIF('[1]TrialBalance (YTD)'!$C:$C,B1057,'[1]TrialBalance (YTD)'!$E:$E),SUMIF('[1]TrialBalance (YTD)'!$G:$G,B1057,'[1]TrialBalance (YTD)'!$I:$I))</f>
        <v>#VALUE!</v>
      </c>
      <c r="G1057" s="5">
        <f>IFERROR(INDEX('[1]TrialBalance (YTD)'!$G:$S,MATCH([1]TBMapping!$C1059,'[1]TrialBalance (YTD)'!G:G,0),MATCH([1]TBMapping!H$3,'[1]TrialBalance (YTD)'!$G$7:$Z$7,0)),0)</f>
        <v>0</v>
      </c>
      <c r="H1057" s="5" t="e">
        <f>SUMIF('[1]TrialBalance (YTD)'!G:G,B1057,'[1]TrialBalance (YTD)'!H:H)</f>
        <v>#VALUE!</v>
      </c>
      <c r="I1057" s="5">
        <f>IFERROR(INDEX('[1]TrialBalance (YTD)'!$G:$S,MATCH([1]TBMapping!$C1059,'[1]TrialBalance (YTD)'!G:G,0),MATCH([1]TBMapping!J$3,'[1]TrialBalance (YTD)'!$G$7:$Z$7,0)),0)</f>
        <v>0</v>
      </c>
      <c r="K1057" s="5" t="e">
        <f>SUMIF('[1]TrialBalance (Quarter)'!$A:$A,B1057,'[1]TrialBalance (Quarter)'!$B:$B)</f>
        <v>#VALUE!</v>
      </c>
      <c r="L1057" s="5">
        <f>IFERROR(INDEX('[1]TrialBalance (Quarter)'!$A:$L,MATCH([1]TBMapping!$C1059,'[1]TrialBalance (Quarter)'!A:A,0),MATCH([1]TBMapping!M$3,'[1]TrialBalance (Quarter)'!$7:$7,0)),0)</f>
        <v>0</v>
      </c>
      <c r="M1057" s="5">
        <f>IFERROR(INDEX('[1]TrialBalance (Quarter)'!$A:$L,MATCH([1]TBMapping!$C1059,'[1]TrialBalance (Quarter)'!A:A,0),MATCH([1]TBMapping!N$3,'[1]TrialBalance (Quarter)'!$7:$7,0)),0)</f>
        <v>0</v>
      </c>
      <c r="N1057" s="5">
        <f>IFERROR(INDEX('[1]TrialBalance (Quarter)'!$A:$L,MATCH([1]TBMapping!$C1059,'[1]TrialBalance (Quarter)'!A:A,0),MATCH([1]TBMapping!O$3,'[1]TrialBalance (Quarter)'!$7:$7,0)),0)</f>
        <v>0</v>
      </c>
    </row>
    <row r="1058" spans="1:14">
      <c r="A1058" s="2">
        <v>21</v>
      </c>
      <c r="B1058" s="3">
        <v>471200</v>
      </c>
      <c r="C1058" s="10" t="s">
        <v>863</v>
      </c>
      <c r="D1058" s="10" t="s">
        <v>11</v>
      </c>
      <c r="E1058" s="10"/>
      <c r="F1058" s="5" t="e">
        <f>IF(DataExtraction="Manual",SUMIF('[1]TrialBalance (YTD)'!$C:$C,B1058,'[1]TrialBalance (YTD)'!$E:$E),SUMIF('[1]TrialBalance (YTD)'!$G:$G,B1058,'[1]TrialBalance (YTD)'!$I:$I))</f>
        <v>#VALUE!</v>
      </c>
      <c r="G1058" s="5">
        <f>IFERROR(INDEX('[1]TrialBalance (YTD)'!$G:$S,MATCH([1]TBMapping!$C1060,'[1]TrialBalance (YTD)'!G:G,0),MATCH([1]TBMapping!H$3,'[1]TrialBalance (YTD)'!$G$7:$Z$7,0)),0)</f>
        <v>0</v>
      </c>
      <c r="H1058" s="5" t="e">
        <f>SUMIF('[1]TrialBalance (YTD)'!G:G,B1058,'[1]TrialBalance (YTD)'!H:H)</f>
        <v>#VALUE!</v>
      </c>
      <c r="I1058" s="5">
        <f>IFERROR(INDEX('[1]TrialBalance (YTD)'!$G:$S,MATCH([1]TBMapping!$C1060,'[1]TrialBalance (YTD)'!G:G,0),MATCH([1]TBMapping!J$3,'[1]TrialBalance (YTD)'!$G$7:$Z$7,0)),0)</f>
        <v>0</v>
      </c>
      <c r="K1058" s="5" t="e">
        <f>SUMIF('[1]TrialBalance (Quarter)'!$A:$A,B1058,'[1]TrialBalance (Quarter)'!$B:$B)</f>
        <v>#VALUE!</v>
      </c>
      <c r="L1058" s="5">
        <f>IFERROR(INDEX('[1]TrialBalance (Quarter)'!$A:$L,MATCH([1]TBMapping!$C1060,'[1]TrialBalance (Quarter)'!A:A,0),MATCH([1]TBMapping!M$3,'[1]TrialBalance (Quarter)'!$7:$7,0)),0)</f>
        <v>0</v>
      </c>
      <c r="M1058" s="5">
        <f>IFERROR(INDEX('[1]TrialBalance (Quarter)'!$A:$L,MATCH([1]TBMapping!$C1060,'[1]TrialBalance (Quarter)'!A:A,0),MATCH([1]TBMapping!N$3,'[1]TrialBalance (Quarter)'!$7:$7,0)),0)</f>
        <v>0</v>
      </c>
      <c r="N1058" s="5">
        <f>IFERROR(INDEX('[1]TrialBalance (Quarter)'!$A:$L,MATCH([1]TBMapping!$C1060,'[1]TrialBalance (Quarter)'!A:A,0),MATCH([1]TBMapping!O$3,'[1]TrialBalance (Quarter)'!$7:$7,0)),0)</f>
        <v>0</v>
      </c>
    </row>
    <row r="1059" spans="1:14">
      <c r="A1059" s="2">
        <v>21</v>
      </c>
      <c r="B1059" s="3">
        <v>471210</v>
      </c>
      <c r="C1059" s="11" t="s">
        <v>864</v>
      </c>
      <c r="D1059" s="11" t="s">
        <v>11</v>
      </c>
      <c r="E1059" s="11"/>
      <c r="F1059" s="5" t="e">
        <f>IF(DataExtraction="Manual",SUMIF('[1]TrialBalance (YTD)'!$C:$C,B1059,'[1]TrialBalance (YTD)'!$E:$E),SUMIF('[1]TrialBalance (YTD)'!$G:$G,B1059,'[1]TrialBalance (YTD)'!$I:$I))</f>
        <v>#VALUE!</v>
      </c>
      <c r="G1059" s="5">
        <f>IFERROR(INDEX('[1]TrialBalance (YTD)'!$G:$S,MATCH([1]TBMapping!$C1061,'[1]TrialBalance (YTD)'!G:G,0),MATCH([1]TBMapping!H$3,'[1]TrialBalance (YTD)'!$G$7:$Z$7,0)),0)</f>
        <v>0</v>
      </c>
      <c r="H1059" s="5" t="e">
        <f>SUMIF('[1]TrialBalance (YTD)'!G:G,B1059,'[1]TrialBalance (YTD)'!H:H)</f>
        <v>#VALUE!</v>
      </c>
      <c r="I1059" s="5">
        <f>IFERROR(INDEX('[1]TrialBalance (YTD)'!$G:$S,MATCH([1]TBMapping!$C1061,'[1]TrialBalance (YTD)'!G:G,0),MATCH([1]TBMapping!J$3,'[1]TrialBalance (YTD)'!$G$7:$Z$7,0)),0)</f>
        <v>0</v>
      </c>
      <c r="K1059" s="5" t="e">
        <f>SUMIF('[1]TrialBalance (Quarter)'!$A:$A,B1059,'[1]TrialBalance (Quarter)'!$B:$B)</f>
        <v>#VALUE!</v>
      </c>
      <c r="L1059" s="5">
        <f>IFERROR(INDEX('[1]TrialBalance (Quarter)'!$A:$L,MATCH([1]TBMapping!$C1061,'[1]TrialBalance (Quarter)'!A:A,0),MATCH([1]TBMapping!M$3,'[1]TrialBalance (Quarter)'!$7:$7,0)),0)</f>
        <v>0</v>
      </c>
      <c r="M1059" s="5">
        <f>IFERROR(INDEX('[1]TrialBalance (Quarter)'!$A:$L,MATCH([1]TBMapping!$C1061,'[1]TrialBalance (Quarter)'!A:A,0),MATCH([1]TBMapping!N$3,'[1]TrialBalance (Quarter)'!$7:$7,0)),0)</f>
        <v>0</v>
      </c>
      <c r="N1059" s="5">
        <f>IFERROR(INDEX('[1]TrialBalance (Quarter)'!$A:$L,MATCH([1]TBMapping!$C1061,'[1]TrialBalance (Quarter)'!A:A,0),MATCH([1]TBMapping!O$3,'[1]TrialBalance (Quarter)'!$7:$7,0)),0)</f>
        <v>0</v>
      </c>
    </row>
    <row r="1060" spans="1:14">
      <c r="A1060" s="2">
        <v>21</v>
      </c>
      <c r="B1060" s="3">
        <v>471300</v>
      </c>
      <c r="C1060" s="10" t="s">
        <v>865</v>
      </c>
      <c r="D1060" s="10" t="s">
        <v>11</v>
      </c>
      <c r="E1060" s="10"/>
      <c r="F1060" s="5" t="e">
        <f>IF(DataExtraction="Manual",SUMIF('[1]TrialBalance (YTD)'!$C:$C,B1060,'[1]TrialBalance (YTD)'!$E:$E),SUMIF('[1]TrialBalance (YTD)'!$G:$G,B1060,'[1]TrialBalance (YTD)'!$I:$I))</f>
        <v>#VALUE!</v>
      </c>
      <c r="G1060" s="5">
        <f>IFERROR(INDEX('[1]TrialBalance (YTD)'!$G:$S,MATCH([1]TBMapping!$C1062,'[1]TrialBalance (YTD)'!G:G,0),MATCH([1]TBMapping!H$3,'[1]TrialBalance (YTD)'!$G$7:$Z$7,0)),0)</f>
        <v>0</v>
      </c>
      <c r="H1060" s="5" t="e">
        <f>SUMIF('[1]TrialBalance (YTD)'!G:G,B1060,'[1]TrialBalance (YTD)'!H:H)</f>
        <v>#VALUE!</v>
      </c>
      <c r="I1060" s="5">
        <f>IFERROR(INDEX('[1]TrialBalance (YTD)'!$G:$S,MATCH([1]TBMapping!$C1062,'[1]TrialBalance (YTD)'!G:G,0),MATCH([1]TBMapping!J$3,'[1]TrialBalance (YTD)'!$G$7:$Z$7,0)),0)</f>
        <v>0</v>
      </c>
      <c r="K1060" s="5" t="e">
        <f>SUMIF('[1]TrialBalance (Quarter)'!$A:$A,B1060,'[1]TrialBalance (Quarter)'!$B:$B)</f>
        <v>#VALUE!</v>
      </c>
      <c r="L1060" s="5">
        <f>IFERROR(INDEX('[1]TrialBalance (Quarter)'!$A:$L,MATCH([1]TBMapping!$C1062,'[1]TrialBalance (Quarter)'!A:A,0),MATCH([1]TBMapping!M$3,'[1]TrialBalance (Quarter)'!$7:$7,0)),0)</f>
        <v>0</v>
      </c>
      <c r="M1060" s="5">
        <f>IFERROR(INDEX('[1]TrialBalance (Quarter)'!$A:$L,MATCH([1]TBMapping!$C1062,'[1]TrialBalance (Quarter)'!A:A,0),MATCH([1]TBMapping!N$3,'[1]TrialBalance (Quarter)'!$7:$7,0)),0)</f>
        <v>0</v>
      </c>
      <c r="N1060" s="5">
        <f>IFERROR(INDEX('[1]TrialBalance (Quarter)'!$A:$L,MATCH([1]TBMapping!$C1062,'[1]TrialBalance (Quarter)'!A:A,0),MATCH([1]TBMapping!O$3,'[1]TrialBalance (Quarter)'!$7:$7,0)),0)</f>
        <v>0</v>
      </c>
    </row>
    <row r="1061" spans="1:14">
      <c r="A1061" s="2">
        <v>21</v>
      </c>
      <c r="B1061" s="3">
        <v>471310</v>
      </c>
      <c r="C1061" s="11" t="s">
        <v>866</v>
      </c>
      <c r="D1061" s="11" t="s">
        <v>11</v>
      </c>
      <c r="E1061" s="11"/>
      <c r="F1061" s="5" t="e">
        <f>IF(DataExtraction="Manual",SUMIF('[1]TrialBalance (YTD)'!$C:$C,B1061,'[1]TrialBalance (YTD)'!$E:$E),SUMIF('[1]TrialBalance (YTD)'!$G:$G,B1061,'[1]TrialBalance (YTD)'!$I:$I))</f>
        <v>#VALUE!</v>
      </c>
      <c r="G1061" s="5">
        <f>IFERROR(INDEX('[1]TrialBalance (YTD)'!$G:$S,MATCH([1]TBMapping!$C1063,'[1]TrialBalance (YTD)'!G:G,0),MATCH([1]TBMapping!H$3,'[1]TrialBalance (YTD)'!$G$7:$Z$7,0)),0)</f>
        <v>0</v>
      </c>
      <c r="H1061" s="5" t="e">
        <f>SUMIF('[1]TrialBalance (YTD)'!G:G,B1061,'[1]TrialBalance (YTD)'!H:H)</f>
        <v>#VALUE!</v>
      </c>
      <c r="I1061" s="5">
        <f>IFERROR(INDEX('[1]TrialBalance (YTD)'!$G:$S,MATCH([1]TBMapping!$C1063,'[1]TrialBalance (YTD)'!G:G,0),MATCH([1]TBMapping!J$3,'[1]TrialBalance (YTD)'!$G$7:$Z$7,0)),0)</f>
        <v>0</v>
      </c>
      <c r="K1061" s="5" t="e">
        <f>SUMIF('[1]TrialBalance (Quarter)'!$A:$A,B1061,'[1]TrialBalance (Quarter)'!$B:$B)</f>
        <v>#VALUE!</v>
      </c>
      <c r="L1061" s="5">
        <f>IFERROR(INDEX('[1]TrialBalance (Quarter)'!$A:$L,MATCH([1]TBMapping!$C1063,'[1]TrialBalance (Quarter)'!A:A,0),MATCH([1]TBMapping!M$3,'[1]TrialBalance (Quarter)'!$7:$7,0)),0)</f>
        <v>0</v>
      </c>
      <c r="M1061" s="5">
        <f>IFERROR(INDEX('[1]TrialBalance (Quarter)'!$A:$L,MATCH([1]TBMapping!$C1063,'[1]TrialBalance (Quarter)'!A:A,0),MATCH([1]TBMapping!N$3,'[1]TrialBalance (Quarter)'!$7:$7,0)),0)</f>
        <v>0</v>
      </c>
      <c r="N1061" s="5">
        <f>IFERROR(INDEX('[1]TrialBalance (Quarter)'!$A:$L,MATCH([1]TBMapping!$C1063,'[1]TrialBalance (Quarter)'!A:A,0),MATCH([1]TBMapping!O$3,'[1]TrialBalance (Quarter)'!$7:$7,0)),0)</f>
        <v>0</v>
      </c>
    </row>
    <row r="1062" spans="1:14">
      <c r="A1062" s="2">
        <v>21</v>
      </c>
      <c r="B1062" s="3">
        <v>472000</v>
      </c>
      <c r="C1062" s="10" t="s">
        <v>867</v>
      </c>
      <c r="D1062" s="10" t="s">
        <v>11</v>
      </c>
      <c r="E1062" s="10"/>
      <c r="F1062" s="5" t="e">
        <f>IF(DataExtraction="Manual",SUMIF('[1]TrialBalance (YTD)'!$C:$C,B1062,'[1]TrialBalance (YTD)'!$E:$E),SUMIF('[1]TrialBalance (YTD)'!$G:$G,B1062,'[1]TrialBalance (YTD)'!$I:$I))</f>
        <v>#VALUE!</v>
      </c>
      <c r="G1062" s="5">
        <f>IFERROR(INDEX('[1]TrialBalance (YTD)'!$G:$S,MATCH([1]TBMapping!$C1064,'[1]TrialBalance (YTD)'!G:G,0),MATCH([1]TBMapping!H$3,'[1]TrialBalance (YTD)'!$G$7:$Z$7,0)),0)</f>
        <v>0</v>
      </c>
      <c r="H1062" s="5" t="e">
        <f>SUMIF('[1]TrialBalance (YTD)'!G:G,B1062,'[1]TrialBalance (YTD)'!H:H)</f>
        <v>#VALUE!</v>
      </c>
      <c r="I1062" s="5">
        <f>IFERROR(INDEX('[1]TrialBalance (YTD)'!$G:$S,MATCH([1]TBMapping!$C1064,'[1]TrialBalance (YTD)'!G:G,0),MATCH([1]TBMapping!J$3,'[1]TrialBalance (YTD)'!$G$7:$Z$7,0)),0)</f>
        <v>0</v>
      </c>
      <c r="K1062" s="5" t="e">
        <f>SUMIF('[1]TrialBalance (Quarter)'!$A:$A,B1062,'[1]TrialBalance (Quarter)'!$B:$B)</f>
        <v>#VALUE!</v>
      </c>
      <c r="L1062" s="5">
        <f>IFERROR(INDEX('[1]TrialBalance (Quarter)'!$A:$L,MATCH([1]TBMapping!$C1064,'[1]TrialBalance (Quarter)'!A:A,0),MATCH([1]TBMapping!M$3,'[1]TrialBalance (Quarter)'!$7:$7,0)),0)</f>
        <v>0</v>
      </c>
      <c r="M1062" s="5">
        <f>IFERROR(INDEX('[1]TrialBalance (Quarter)'!$A:$L,MATCH([1]TBMapping!$C1064,'[1]TrialBalance (Quarter)'!A:A,0),MATCH([1]TBMapping!N$3,'[1]TrialBalance (Quarter)'!$7:$7,0)),0)</f>
        <v>0</v>
      </c>
      <c r="N1062" s="5">
        <f>IFERROR(INDEX('[1]TrialBalance (Quarter)'!$A:$L,MATCH([1]TBMapping!$C1064,'[1]TrialBalance (Quarter)'!A:A,0),MATCH([1]TBMapping!O$3,'[1]TrialBalance (Quarter)'!$7:$7,0)),0)</f>
        <v>0</v>
      </c>
    </row>
    <row r="1063" spans="1:14">
      <c r="A1063" s="2">
        <v>21</v>
      </c>
      <c r="B1063" s="3">
        <v>472010</v>
      </c>
      <c r="C1063" s="11" t="s">
        <v>868</v>
      </c>
      <c r="D1063" s="11" t="s">
        <v>11</v>
      </c>
      <c r="E1063" s="11"/>
      <c r="F1063" s="5" t="e">
        <f>IF(DataExtraction="Manual",SUMIF('[1]TrialBalance (YTD)'!$C:$C,B1063,'[1]TrialBalance (YTD)'!$E:$E),SUMIF('[1]TrialBalance (YTD)'!$G:$G,B1063,'[1]TrialBalance (YTD)'!$I:$I))</f>
        <v>#VALUE!</v>
      </c>
      <c r="G1063" s="5">
        <f>IFERROR(INDEX('[1]TrialBalance (YTD)'!$G:$S,MATCH([1]TBMapping!$C1065,'[1]TrialBalance (YTD)'!G:G,0),MATCH([1]TBMapping!H$3,'[1]TrialBalance (YTD)'!$G$7:$Z$7,0)),0)</f>
        <v>0</v>
      </c>
      <c r="H1063" s="5" t="e">
        <f>SUMIF('[1]TrialBalance (YTD)'!G:G,B1063,'[1]TrialBalance (YTD)'!H:H)</f>
        <v>#VALUE!</v>
      </c>
      <c r="I1063" s="5">
        <f>IFERROR(INDEX('[1]TrialBalance (YTD)'!$G:$S,MATCH([1]TBMapping!$C1065,'[1]TrialBalance (YTD)'!G:G,0),MATCH([1]TBMapping!J$3,'[1]TrialBalance (YTD)'!$G$7:$Z$7,0)),0)</f>
        <v>0</v>
      </c>
      <c r="K1063" s="5" t="e">
        <f>SUMIF('[1]TrialBalance (Quarter)'!$A:$A,B1063,'[1]TrialBalance (Quarter)'!$B:$B)</f>
        <v>#VALUE!</v>
      </c>
      <c r="L1063" s="5">
        <f>IFERROR(INDEX('[1]TrialBalance (Quarter)'!$A:$L,MATCH([1]TBMapping!$C1065,'[1]TrialBalance (Quarter)'!A:A,0),MATCH([1]TBMapping!M$3,'[1]TrialBalance (Quarter)'!$7:$7,0)),0)</f>
        <v>0</v>
      </c>
      <c r="M1063" s="5">
        <f>IFERROR(INDEX('[1]TrialBalance (Quarter)'!$A:$L,MATCH([1]TBMapping!$C1065,'[1]TrialBalance (Quarter)'!A:A,0),MATCH([1]TBMapping!N$3,'[1]TrialBalance (Quarter)'!$7:$7,0)),0)</f>
        <v>0</v>
      </c>
      <c r="N1063" s="5">
        <f>IFERROR(INDEX('[1]TrialBalance (Quarter)'!$A:$L,MATCH([1]TBMapping!$C1065,'[1]TrialBalance (Quarter)'!A:A,0),MATCH([1]TBMapping!O$3,'[1]TrialBalance (Quarter)'!$7:$7,0)),0)</f>
        <v>0</v>
      </c>
    </row>
    <row r="1064" spans="1:14">
      <c r="A1064" s="2">
        <v>21</v>
      </c>
      <c r="B1064" s="3">
        <v>473000</v>
      </c>
      <c r="C1064" s="10" t="s">
        <v>869</v>
      </c>
      <c r="D1064" s="10" t="s">
        <v>11</v>
      </c>
      <c r="E1064" s="10"/>
      <c r="F1064" s="5" t="e">
        <f>IF(DataExtraction="Manual",SUMIF('[1]TrialBalance (YTD)'!$C:$C,B1064,'[1]TrialBalance (YTD)'!$E:$E),SUMIF('[1]TrialBalance (YTD)'!$G:$G,B1064,'[1]TrialBalance (YTD)'!$I:$I))</f>
        <v>#VALUE!</v>
      </c>
      <c r="G1064" s="5">
        <f>IFERROR(INDEX('[1]TrialBalance (YTD)'!$G:$S,MATCH([1]TBMapping!$C1066,'[1]TrialBalance (YTD)'!G:G,0),MATCH([1]TBMapping!H$3,'[1]TrialBalance (YTD)'!$G$7:$Z$7,0)),0)</f>
        <v>0</v>
      </c>
      <c r="H1064" s="5" t="e">
        <f>SUMIF('[1]TrialBalance (YTD)'!G:G,B1064,'[1]TrialBalance (YTD)'!H:H)</f>
        <v>#VALUE!</v>
      </c>
      <c r="I1064" s="5">
        <f>IFERROR(INDEX('[1]TrialBalance (YTD)'!$G:$S,MATCH([1]TBMapping!$C1066,'[1]TrialBalance (YTD)'!G:G,0),MATCH([1]TBMapping!J$3,'[1]TrialBalance (YTD)'!$G$7:$Z$7,0)),0)</f>
        <v>0</v>
      </c>
      <c r="K1064" s="5" t="e">
        <f>SUMIF('[1]TrialBalance (Quarter)'!$A:$A,B1064,'[1]TrialBalance (Quarter)'!$B:$B)</f>
        <v>#VALUE!</v>
      </c>
      <c r="L1064" s="5">
        <f>IFERROR(INDEX('[1]TrialBalance (Quarter)'!$A:$L,MATCH([1]TBMapping!$C1066,'[1]TrialBalance (Quarter)'!A:A,0),MATCH([1]TBMapping!M$3,'[1]TrialBalance (Quarter)'!$7:$7,0)),0)</f>
        <v>0</v>
      </c>
      <c r="M1064" s="5">
        <f>IFERROR(INDEX('[1]TrialBalance (Quarter)'!$A:$L,MATCH([1]TBMapping!$C1066,'[1]TrialBalance (Quarter)'!A:A,0),MATCH([1]TBMapping!N$3,'[1]TrialBalance (Quarter)'!$7:$7,0)),0)</f>
        <v>0</v>
      </c>
      <c r="N1064" s="5">
        <f>IFERROR(INDEX('[1]TrialBalance (Quarter)'!$A:$L,MATCH([1]TBMapping!$C1066,'[1]TrialBalance (Quarter)'!A:A,0),MATCH([1]TBMapping!O$3,'[1]TrialBalance (Quarter)'!$7:$7,0)),0)</f>
        <v>0</v>
      </c>
    </row>
    <row r="1065" spans="1:14">
      <c r="A1065" s="2">
        <v>21</v>
      </c>
      <c r="B1065" s="3">
        <v>473010</v>
      </c>
      <c r="C1065" s="11" t="s">
        <v>870</v>
      </c>
      <c r="D1065" s="11" t="s">
        <v>11</v>
      </c>
      <c r="E1065" s="11"/>
      <c r="F1065" s="5" t="e">
        <f>IF(DataExtraction="Manual",SUMIF('[1]TrialBalance (YTD)'!$C:$C,B1065,'[1]TrialBalance (YTD)'!$E:$E),SUMIF('[1]TrialBalance (YTD)'!$G:$G,B1065,'[1]TrialBalance (YTD)'!$I:$I))</f>
        <v>#VALUE!</v>
      </c>
      <c r="G1065" s="5">
        <f>IFERROR(INDEX('[1]TrialBalance (YTD)'!$G:$S,MATCH([1]TBMapping!$C1067,'[1]TrialBalance (YTD)'!G:G,0),MATCH([1]TBMapping!H$3,'[1]TrialBalance (YTD)'!$G$7:$Z$7,0)),0)</f>
        <v>0</v>
      </c>
      <c r="H1065" s="5" t="e">
        <f>SUMIF('[1]TrialBalance (YTD)'!G:G,B1065,'[1]TrialBalance (YTD)'!H:H)</f>
        <v>#VALUE!</v>
      </c>
      <c r="I1065" s="5">
        <f>IFERROR(INDEX('[1]TrialBalance (YTD)'!$G:$S,MATCH([1]TBMapping!$C1067,'[1]TrialBalance (YTD)'!G:G,0),MATCH([1]TBMapping!J$3,'[1]TrialBalance (YTD)'!$G$7:$Z$7,0)),0)</f>
        <v>0</v>
      </c>
      <c r="K1065" s="5" t="e">
        <f>SUMIF('[1]TrialBalance (Quarter)'!$A:$A,B1065,'[1]TrialBalance (Quarter)'!$B:$B)</f>
        <v>#VALUE!</v>
      </c>
      <c r="L1065" s="5">
        <f>IFERROR(INDEX('[1]TrialBalance (Quarter)'!$A:$L,MATCH([1]TBMapping!$C1067,'[1]TrialBalance (Quarter)'!A:A,0),MATCH([1]TBMapping!M$3,'[1]TrialBalance (Quarter)'!$7:$7,0)),0)</f>
        <v>0</v>
      </c>
      <c r="M1065" s="5">
        <f>IFERROR(INDEX('[1]TrialBalance (Quarter)'!$A:$L,MATCH([1]TBMapping!$C1067,'[1]TrialBalance (Quarter)'!A:A,0),MATCH([1]TBMapping!N$3,'[1]TrialBalance (Quarter)'!$7:$7,0)),0)</f>
        <v>0</v>
      </c>
      <c r="N1065" s="5">
        <f>IFERROR(INDEX('[1]TrialBalance (Quarter)'!$A:$L,MATCH([1]TBMapping!$C1067,'[1]TrialBalance (Quarter)'!A:A,0),MATCH([1]TBMapping!O$3,'[1]TrialBalance (Quarter)'!$7:$7,0)),0)</f>
        <v>0</v>
      </c>
    </row>
    <row r="1066" spans="1:14">
      <c r="A1066" s="2">
        <v>21</v>
      </c>
      <c r="B1066" s="3">
        <v>473100</v>
      </c>
      <c r="C1066" s="10" t="s">
        <v>871</v>
      </c>
      <c r="D1066" s="10" t="s">
        <v>5</v>
      </c>
      <c r="E1066" s="10"/>
      <c r="F1066" s="5" t="e">
        <f>IF(DataExtraction="Manual",SUMIF('[1]TrialBalance (YTD)'!$C:$C,B1066,'[1]TrialBalance (YTD)'!$E:$E),SUMIF('[1]TrialBalance (YTD)'!$G:$G,B1066,'[1]TrialBalance (YTD)'!$I:$I))</f>
        <v>#VALUE!</v>
      </c>
      <c r="G1066" s="5">
        <f>IFERROR(INDEX('[1]TrialBalance (YTD)'!$G:$S,MATCH([1]TBMapping!$C1068,'[1]TrialBalance (YTD)'!G:G,0),MATCH([1]TBMapping!H$3,'[1]TrialBalance (YTD)'!$G$7:$Z$7,0)),0)</f>
        <v>0</v>
      </c>
      <c r="H1066" s="5" t="e">
        <f>SUMIF('[1]TrialBalance (YTD)'!G:G,B1066,'[1]TrialBalance (YTD)'!H:H)</f>
        <v>#VALUE!</v>
      </c>
      <c r="I1066" s="5">
        <f>IFERROR(INDEX('[1]TrialBalance (YTD)'!$G:$S,MATCH([1]TBMapping!$C1068,'[1]TrialBalance (YTD)'!G:G,0),MATCH([1]TBMapping!J$3,'[1]TrialBalance (YTD)'!$G$7:$Z$7,0)),0)</f>
        <v>0</v>
      </c>
      <c r="K1066" s="5" t="e">
        <f>SUMIF('[1]TrialBalance (Quarter)'!$A:$A,B1066,'[1]TrialBalance (Quarter)'!$B:$B)</f>
        <v>#VALUE!</v>
      </c>
      <c r="L1066" s="5">
        <f>IFERROR(INDEX('[1]TrialBalance (Quarter)'!$A:$L,MATCH([1]TBMapping!$C1068,'[1]TrialBalance (Quarter)'!A:A,0),MATCH([1]TBMapping!M$3,'[1]TrialBalance (Quarter)'!$7:$7,0)),0)</f>
        <v>0</v>
      </c>
      <c r="M1066" s="5">
        <f>IFERROR(INDEX('[1]TrialBalance (Quarter)'!$A:$L,MATCH([1]TBMapping!$C1068,'[1]TrialBalance (Quarter)'!A:A,0),MATCH([1]TBMapping!N$3,'[1]TrialBalance (Quarter)'!$7:$7,0)),0)</f>
        <v>0</v>
      </c>
      <c r="N1066" s="5">
        <f>IFERROR(INDEX('[1]TrialBalance (Quarter)'!$A:$L,MATCH([1]TBMapping!$C1068,'[1]TrialBalance (Quarter)'!A:A,0),MATCH([1]TBMapping!O$3,'[1]TrialBalance (Quarter)'!$7:$7,0)),0)</f>
        <v>0</v>
      </c>
    </row>
    <row r="1067" spans="1:14">
      <c r="A1067" s="2">
        <v>21</v>
      </c>
      <c r="B1067" s="3">
        <v>473110</v>
      </c>
      <c r="C1067" s="11" t="s">
        <v>872</v>
      </c>
      <c r="D1067" s="11" t="s">
        <v>11</v>
      </c>
      <c r="E1067" s="11"/>
      <c r="F1067" s="5" t="e">
        <f>IF(DataExtraction="Manual",SUMIF('[1]TrialBalance (YTD)'!$C:$C,B1067,'[1]TrialBalance (YTD)'!$E:$E),SUMIF('[1]TrialBalance (YTD)'!$G:$G,B1067,'[1]TrialBalance (YTD)'!$I:$I))</f>
        <v>#VALUE!</v>
      </c>
      <c r="G1067" s="5">
        <f>IFERROR(INDEX('[1]TrialBalance (YTD)'!$G:$S,MATCH([1]TBMapping!$C1069,'[1]TrialBalance (YTD)'!G:G,0),MATCH([1]TBMapping!H$3,'[1]TrialBalance (YTD)'!$G$7:$Z$7,0)),0)</f>
        <v>0</v>
      </c>
      <c r="H1067" s="5" t="e">
        <f>SUMIF('[1]TrialBalance (YTD)'!G:G,B1067,'[1]TrialBalance (YTD)'!H:H)</f>
        <v>#VALUE!</v>
      </c>
      <c r="I1067" s="5">
        <f>IFERROR(INDEX('[1]TrialBalance (YTD)'!$G:$S,MATCH([1]TBMapping!$C1069,'[1]TrialBalance (YTD)'!G:G,0),MATCH([1]TBMapping!J$3,'[1]TrialBalance (YTD)'!$G$7:$Z$7,0)),0)</f>
        <v>0</v>
      </c>
      <c r="K1067" s="5" t="e">
        <f>SUMIF('[1]TrialBalance (Quarter)'!$A:$A,B1067,'[1]TrialBalance (Quarter)'!$B:$B)</f>
        <v>#VALUE!</v>
      </c>
      <c r="L1067" s="5">
        <f>IFERROR(INDEX('[1]TrialBalance (Quarter)'!$A:$L,MATCH([1]TBMapping!$C1069,'[1]TrialBalance (Quarter)'!A:A,0),MATCH([1]TBMapping!M$3,'[1]TrialBalance (Quarter)'!$7:$7,0)),0)</f>
        <v>0</v>
      </c>
      <c r="M1067" s="5">
        <f>IFERROR(INDEX('[1]TrialBalance (Quarter)'!$A:$L,MATCH([1]TBMapping!$C1069,'[1]TrialBalance (Quarter)'!A:A,0),MATCH([1]TBMapping!N$3,'[1]TrialBalance (Quarter)'!$7:$7,0)),0)</f>
        <v>0</v>
      </c>
      <c r="N1067" s="5">
        <f>IFERROR(INDEX('[1]TrialBalance (Quarter)'!$A:$L,MATCH([1]TBMapping!$C1069,'[1]TrialBalance (Quarter)'!A:A,0),MATCH([1]TBMapping!O$3,'[1]TrialBalance (Quarter)'!$7:$7,0)),0)</f>
        <v>0</v>
      </c>
    </row>
    <row r="1068" spans="1:14">
      <c r="B1068" s="3">
        <v>474000</v>
      </c>
      <c r="C1068" s="10" t="s">
        <v>873</v>
      </c>
      <c r="D1068" s="10" t="s">
        <v>11</v>
      </c>
      <c r="E1068" s="10"/>
      <c r="F1068" s="5" t="e">
        <f>IF(DataExtraction="Manual",SUMIF('[1]TrialBalance (YTD)'!$C:$C,B1068,'[1]TrialBalance (YTD)'!$E:$E),SUMIF('[1]TrialBalance (YTD)'!$G:$G,B1068,'[1]TrialBalance (YTD)'!$I:$I))</f>
        <v>#VALUE!</v>
      </c>
      <c r="G1068" s="5">
        <f>IFERROR(INDEX('[1]TrialBalance (YTD)'!$G:$S,MATCH([1]TBMapping!$C1070,'[1]TrialBalance (YTD)'!G:G,0),MATCH([1]TBMapping!H$3,'[1]TrialBalance (YTD)'!$G$7:$Z$7,0)),0)</f>
        <v>0</v>
      </c>
      <c r="H1068" s="5" t="e">
        <f>SUMIF('[1]TrialBalance (YTD)'!G:G,B1068,'[1]TrialBalance (YTD)'!H:H)</f>
        <v>#VALUE!</v>
      </c>
      <c r="I1068" s="5">
        <f>IFERROR(INDEX('[1]TrialBalance (YTD)'!$G:$S,MATCH([1]TBMapping!$C1070,'[1]TrialBalance (YTD)'!G:G,0),MATCH([1]TBMapping!J$3,'[1]TrialBalance (YTD)'!$G$7:$Z$7,0)),0)</f>
        <v>0</v>
      </c>
      <c r="K1068" s="5" t="e">
        <f>SUMIF('[1]TrialBalance (Quarter)'!$A:$A,B1068,'[1]TrialBalance (Quarter)'!$B:$B)</f>
        <v>#VALUE!</v>
      </c>
      <c r="L1068" s="5">
        <f>IFERROR(INDEX('[1]TrialBalance (Quarter)'!$A:$L,MATCH([1]TBMapping!$C1070,'[1]TrialBalance (Quarter)'!A:A,0),MATCH([1]TBMapping!M$3,'[1]TrialBalance (Quarter)'!$7:$7,0)),0)</f>
        <v>0</v>
      </c>
      <c r="M1068" s="5">
        <f>IFERROR(INDEX('[1]TrialBalance (Quarter)'!$A:$L,MATCH([1]TBMapping!$C1070,'[1]TrialBalance (Quarter)'!A:A,0),MATCH([1]TBMapping!N$3,'[1]TrialBalance (Quarter)'!$7:$7,0)),0)</f>
        <v>0</v>
      </c>
      <c r="N1068" s="5">
        <f>IFERROR(INDEX('[1]TrialBalance (Quarter)'!$A:$L,MATCH([1]TBMapping!$C1070,'[1]TrialBalance (Quarter)'!A:A,0),MATCH([1]TBMapping!O$3,'[1]TrialBalance (Quarter)'!$7:$7,0)),0)</f>
        <v>0</v>
      </c>
    </row>
    <row r="1069" spans="1:14">
      <c r="A1069" s="2">
        <v>21</v>
      </c>
      <c r="B1069" s="3">
        <v>474050</v>
      </c>
      <c r="C1069" s="11" t="s">
        <v>874</v>
      </c>
      <c r="D1069" s="11" t="s">
        <v>11</v>
      </c>
      <c r="E1069" s="11"/>
      <c r="F1069" s="5" t="e">
        <f>IF(DataExtraction="Manual",SUMIF('[1]TrialBalance (YTD)'!$C:$C,B1069,'[1]TrialBalance (YTD)'!$E:$E),SUMIF('[1]TrialBalance (YTD)'!$G:$G,B1069,'[1]TrialBalance (YTD)'!$I:$I))</f>
        <v>#VALUE!</v>
      </c>
      <c r="G1069" s="5">
        <f>IFERROR(INDEX('[1]TrialBalance (YTD)'!$G:$S,MATCH([1]TBMapping!$C1071,'[1]TrialBalance (YTD)'!G:G,0),MATCH([1]TBMapping!H$3,'[1]TrialBalance (YTD)'!$G$7:$Z$7,0)),0)</f>
        <v>0</v>
      </c>
      <c r="H1069" s="5" t="e">
        <f>SUMIF('[1]TrialBalance (YTD)'!G:G,B1069,'[1]TrialBalance (YTD)'!H:H)</f>
        <v>#VALUE!</v>
      </c>
      <c r="I1069" s="5">
        <f>IFERROR(INDEX('[1]TrialBalance (YTD)'!$G:$S,MATCH([1]TBMapping!$C1071,'[1]TrialBalance (YTD)'!G:G,0),MATCH([1]TBMapping!J$3,'[1]TrialBalance (YTD)'!$G$7:$Z$7,0)),0)</f>
        <v>0</v>
      </c>
      <c r="K1069" s="5" t="e">
        <f>SUMIF('[1]TrialBalance (Quarter)'!$A:$A,B1069,'[1]TrialBalance (Quarter)'!$B:$B)</f>
        <v>#VALUE!</v>
      </c>
      <c r="L1069" s="5">
        <f>IFERROR(INDEX('[1]TrialBalance (Quarter)'!$A:$L,MATCH([1]TBMapping!$C1071,'[1]TrialBalance (Quarter)'!A:A,0),MATCH([1]TBMapping!M$3,'[1]TrialBalance (Quarter)'!$7:$7,0)),0)</f>
        <v>0</v>
      </c>
      <c r="M1069" s="5">
        <f>IFERROR(INDEX('[1]TrialBalance (Quarter)'!$A:$L,MATCH([1]TBMapping!$C1071,'[1]TrialBalance (Quarter)'!A:A,0),MATCH([1]TBMapping!N$3,'[1]TrialBalance (Quarter)'!$7:$7,0)),0)</f>
        <v>0</v>
      </c>
      <c r="N1069" s="5">
        <f>IFERROR(INDEX('[1]TrialBalance (Quarter)'!$A:$L,MATCH([1]TBMapping!$C1071,'[1]TrialBalance (Quarter)'!A:A,0),MATCH([1]TBMapping!O$3,'[1]TrialBalance (Quarter)'!$7:$7,0)),0)</f>
        <v>0</v>
      </c>
    </row>
    <row r="1070" spans="1:14">
      <c r="A1070" s="2">
        <v>21</v>
      </c>
      <c r="B1070" s="3">
        <v>474100</v>
      </c>
      <c r="C1070" s="10" t="s">
        <v>875</v>
      </c>
      <c r="D1070" s="10" t="s">
        <v>11</v>
      </c>
      <c r="E1070" s="10"/>
      <c r="F1070" s="5" t="e">
        <f>IF(DataExtraction="Manual",SUMIF('[1]TrialBalance (YTD)'!$C:$C,B1070,'[1]TrialBalance (YTD)'!$E:$E),SUMIF('[1]TrialBalance (YTD)'!$G:$G,B1070,'[1]TrialBalance (YTD)'!$I:$I))</f>
        <v>#VALUE!</v>
      </c>
      <c r="G1070" s="5">
        <f>IFERROR(INDEX('[1]TrialBalance (YTD)'!$G:$S,MATCH([1]TBMapping!$C1072,'[1]TrialBalance (YTD)'!G:G,0),MATCH([1]TBMapping!H$3,'[1]TrialBalance (YTD)'!$G$7:$Z$7,0)),0)</f>
        <v>0</v>
      </c>
      <c r="H1070" s="5" t="e">
        <f>SUMIF('[1]TrialBalance (YTD)'!G:G,B1070,'[1]TrialBalance (YTD)'!H:H)</f>
        <v>#VALUE!</v>
      </c>
      <c r="I1070" s="5">
        <f>IFERROR(INDEX('[1]TrialBalance (YTD)'!$G:$S,MATCH([1]TBMapping!$C1072,'[1]TrialBalance (YTD)'!G:G,0),MATCH([1]TBMapping!J$3,'[1]TrialBalance (YTD)'!$G$7:$Z$7,0)),0)</f>
        <v>0</v>
      </c>
      <c r="K1070" s="5" t="e">
        <f>SUMIF('[1]TrialBalance (Quarter)'!$A:$A,B1070,'[1]TrialBalance (Quarter)'!$B:$B)</f>
        <v>#VALUE!</v>
      </c>
      <c r="L1070" s="5">
        <f>IFERROR(INDEX('[1]TrialBalance (Quarter)'!$A:$L,MATCH([1]TBMapping!$C1072,'[1]TrialBalance (Quarter)'!A:A,0),MATCH([1]TBMapping!M$3,'[1]TrialBalance (Quarter)'!$7:$7,0)),0)</f>
        <v>0</v>
      </c>
      <c r="M1070" s="5">
        <f>IFERROR(INDEX('[1]TrialBalance (Quarter)'!$A:$L,MATCH([1]TBMapping!$C1072,'[1]TrialBalance (Quarter)'!A:A,0),MATCH([1]TBMapping!N$3,'[1]TrialBalance (Quarter)'!$7:$7,0)),0)</f>
        <v>0</v>
      </c>
      <c r="N1070" s="5">
        <f>IFERROR(INDEX('[1]TrialBalance (Quarter)'!$A:$L,MATCH([1]TBMapping!$C1072,'[1]TrialBalance (Quarter)'!A:A,0),MATCH([1]TBMapping!O$3,'[1]TrialBalance (Quarter)'!$7:$7,0)),0)</f>
        <v>0</v>
      </c>
    </row>
    <row r="1071" spans="1:14">
      <c r="A1071" s="2">
        <v>21</v>
      </c>
      <c r="B1071" s="3">
        <v>474150</v>
      </c>
      <c r="C1071" s="11" t="s">
        <v>876</v>
      </c>
      <c r="D1071" s="11" t="s">
        <v>11</v>
      </c>
      <c r="E1071" s="11"/>
      <c r="F1071" s="5" t="e">
        <f>IF(DataExtraction="Manual",SUMIF('[1]TrialBalance (YTD)'!$C:$C,B1071,'[1]TrialBalance (YTD)'!$E:$E),SUMIF('[1]TrialBalance (YTD)'!$G:$G,B1071,'[1]TrialBalance (YTD)'!$I:$I))</f>
        <v>#VALUE!</v>
      </c>
      <c r="G1071" s="5">
        <f>IFERROR(INDEX('[1]TrialBalance (YTD)'!$G:$S,MATCH([1]TBMapping!$C1073,'[1]TrialBalance (YTD)'!G:G,0),MATCH([1]TBMapping!H$3,'[1]TrialBalance (YTD)'!$G$7:$Z$7,0)),0)</f>
        <v>0</v>
      </c>
      <c r="H1071" s="5" t="e">
        <f>SUMIF('[1]TrialBalance (YTD)'!G:G,B1071,'[1]TrialBalance (YTD)'!H:H)</f>
        <v>#VALUE!</v>
      </c>
      <c r="I1071" s="5">
        <f>IFERROR(INDEX('[1]TrialBalance (YTD)'!$G:$S,MATCH([1]TBMapping!$C1073,'[1]TrialBalance (YTD)'!G:G,0),MATCH([1]TBMapping!J$3,'[1]TrialBalance (YTD)'!$G$7:$Z$7,0)),0)</f>
        <v>0</v>
      </c>
      <c r="K1071" s="5" t="e">
        <f>SUMIF('[1]TrialBalance (Quarter)'!$A:$A,B1071,'[1]TrialBalance (Quarter)'!$B:$B)</f>
        <v>#VALUE!</v>
      </c>
      <c r="L1071" s="5">
        <f>IFERROR(INDEX('[1]TrialBalance (Quarter)'!$A:$L,MATCH([1]TBMapping!$C1073,'[1]TrialBalance (Quarter)'!A:A,0),MATCH([1]TBMapping!M$3,'[1]TrialBalance (Quarter)'!$7:$7,0)),0)</f>
        <v>0</v>
      </c>
      <c r="M1071" s="5">
        <f>IFERROR(INDEX('[1]TrialBalance (Quarter)'!$A:$L,MATCH([1]TBMapping!$C1073,'[1]TrialBalance (Quarter)'!A:A,0),MATCH([1]TBMapping!N$3,'[1]TrialBalance (Quarter)'!$7:$7,0)),0)</f>
        <v>0</v>
      </c>
      <c r="N1071" s="5">
        <f>IFERROR(INDEX('[1]TrialBalance (Quarter)'!$A:$L,MATCH([1]TBMapping!$C1073,'[1]TrialBalance (Quarter)'!A:A,0),MATCH([1]TBMapping!O$3,'[1]TrialBalance (Quarter)'!$7:$7,0)),0)</f>
        <v>0</v>
      </c>
    </row>
    <row r="1072" spans="1:14">
      <c r="A1072" s="2">
        <v>21</v>
      </c>
      <c r="B1072" s="3">
        <v>474200</v>
      </c>
      <c r="C1072" s="10" t="s">
        <v>877</v>
      </c>
      <c r="D1072" s="10" t="s">
        <v>11</v>
      </c>
      <c r="E1072" s="10"/>
      <c r="F1072" s="5" t="e">
        <f>IF(DataExtraction="Manual",SUMIF('[1]TrialBalance (YTD)'!$C:$C,B1072,'[1]TrialBalance (YTD)'!$E:$E),SUMIF('[1]TrialBalance (YTD)'!$G:$G,B1072,'[1]TrialBalance (YTD)'!$I:$I))</f>
        <v>#VALUE!</v>
      </c>
      <c r="G1072" s="5">
        <f>IFERROR(INDEX('[1]TrialBalance (YTD)'!$G:$S,MATCH([1]TBMapping!$C1074,'[1]TrialBalance (YTD)'!G:G,0),MATCH([1]TBMapping!H$3,'[1]TrialBalance (YTD)'!$G$7:$Z$7,0)),0)</f>
        <v>0</v>
      </c>
      <c r="H1072" s="5" t="e">
        <f>SUMIF('[1]TrialBalance (YTD)'!G:G,B1072,'[1]TrialBalance (YTD)'!H:H)</f>
        <v>#VALUE!</v>
      </c>
      <c r="I1072" s="5">
        <f>IFERROR(INDEX('[1]TrialBalance (YTD)'!$G:$S,MATCH([1]TBMapping!$C1074,'[1]TrialBalance (YTD)'!G:G,0),MATCH([1]TBMapping!J$3,'[1]TrialBalance (YTD)'!$G$7:$Z$7,0)),0)</f>
        <v>0</v>
      </c>
      <c r="K1072" s="5" t="e">
        <f>SUMIF('[1]TrialBalance (Quarter)'!$A:$A,B1072,'[1]TrialBalance (Quarter)'!$B:$B)</f>
        <v>#VALUE!</v>
      </c>
      <c r="L1072" s="5">
        <f>IFERROR(INDEX('[1]TrialBalance (Quarter)'!$A:$L,MATCH([1]TBMapping!$C1074,'[1]TrialBalance (Quarter)'!A:A,0),MATCH([1]TBMapping!M$3,'[1]TrialBalance (Quarter)'!$7:$7,0)),0)</f>
        <v>0</v>
      </c>
      <c r="M1072" s="5">
        <f>IFERROR(INDEX('[1]TrialBalance (Quarter)'!$A:$L,MATCH([1]TBMapping!$C1074,'[1]TrialBalance (Quarter)'!A:A,0),MATCH([1]TBMapping!N$3,'[1]TrialBalance (Quarter)'!$7:$7,0)),0)</f>
        <v>0</v>
      </c>
      <c r="N1072" s="5">
        <f>IFERROR(INDEX('[1]TrialBalance (Quarter)'!$A:$L,MATCH([1]TBMapping!$C1074,'[1]TrialBalance (Quarter)'!A:A,0),MATCH([1]TBMapping!O$3,'[1]TrialBalance (Quarter)'!$7:$7,0)),0)</f>
        <v>0</v>
      </c>
    </row>
    <row r="1073" spans="1:14">
      <c r="A1073" s="2">
        <v>21</v>
      </c>
      <c r="B1073" s="3">
        <v>474250</v>
      </c>
      <c r="C1073" s="11" t="s">
        <v>878</v>
      </c>
      <c r="D1073" s="11" t="s">
        <v>11</v>
      </c>
      <c r="E1073" s="11"/>
      <c r="F1073" s="5" t="e">
        <f>IF(DataExtraction="Manual",SUMIF('[1]TrialBalance (YTD)'!$C:$C,B1073,'[1]TrialBalance (YTD)'!$E:$E),SUMIF('[1]TrialBalance (YTD)'!$G:$G,B1073,'[1]TrialBalance (YTD)'!$I:$I))</f>
        <v>#VALUE!</v>
      </c>
      <c r="G1073" s="5">
        <f>IFERROR(INDEX('[1]TrialBalance (YTD)'!$G:$S,MATCH([1]TBMapping!$C1075,'[1]TrialBalance (YTD)'!G:G,0),MATCH([1]TBMapping!H$3,'[1]TrialBalance (YTD)'!$G$7:$Z$7,0)),0)</f>
        <v>0</v>
      </c>
      <c r="H1073" s="5" t="e">
        <f>SUMIF('[1]TrialBalance (YTD)'!G:G,B1073,'[1]TrialBalance (YTD)'!H:H)</f>
        <v>#VALUE!</v>
      </c>
      <c r="I1073" s="5">
        <f>IFERROR(INDEX('[1]TrialBalance (YTD)'!$G:$S,MATCH([1]TBMapping!$C1075,'[1]TrialBalance (YTD)'!G:G,0),MATCH([1]TBMapping!J$3,'[1]TrialBalance (YTD)'!$G$7:$Z$7,0)),0)</f>
        <v>0</v>
      </c>
      <c r="K1073" s="5" t="e">
        <f>SUMIF('[1]TrialBalance (Quarter)'!$A:$A,B1073,'[1]TrialBalance (Quarter)'!$B:$B)</f>
        <v>#VALUE!</v>
      </c>
      <c r="L1073" s="5">
        <f>IFERROR(INDEX('[1]TrialBalance (Quarter)'!$A:$L,MATCH([1]TBMapping!$C1075,'[1]TrialBalance (Quarter)'!A:A,0),MATCH([1]TBMapping!M$3,'[1]TrialBalance (Quarter)'!$7:$7,0)),0)</f>
        <v>0</v>
      </c>
      <c r="M1073" s="5">
        <f>IFERROR(INDEX('[1]TrialBalance (Quarter)'!$A:$L,MATCH([1]TBMapping!$C1075,'[1]TrialBalance (Quarter)'!A:A,0),MATCH([1]TBMapping!N$3,'[1]TrialBalance (Quarter)'!$7:$7,0)),0)</f>
        <v>0</v>
      </c>
      <c r="N1073" s="5">
        <f>IFERROR(INDEX('[1]TrialBalance (Quarter)'!$A:$L,MATCH([1]TBMapping!$C1075,'[1]TrialBalance (Quarter)'!A:A,0),MATCH([1]TBMapping!O$3,'[1]TrialBalance (Quarter)'!$7:$7,0)),0)</f>
        <v>0</v>
      </c>
    </row>
    <row r="1074" spans="1:14">
      <c r="A1074" s="2">
        <v>21</v>
      </c>
      <c r="B1074" s="3">
        <v>474300</v>
      </c>
      <c r="C1074" s="10" t="s">
        <v>879</v>
      </c>
      <c r="D1074" s="10" t="s">
        <v>11</v>
      </c>
      <c r="E1074" s="10"/>
      <c r="F1074" s="5" t="e">
        <f>IF(DataExtraction="Manual",SUMIF('[1]TrialBalance (YTD)'!$C:$C,B1074,'[1]TrialBalance (YTD)'!$E:$E),SUMIF('[1]TrialBalance (YTD)'!$G:$G,B1074,'[1]TrialBalance (YTD)'!$I:$I))</f>
        <v>#VALUE!</v>
      </c>
      <c r="G1074" s="5">
        <f>IFERROR(INDEX('[1]TrialBalance (YTD)'!$G:$S,MATCH([1]TBMapping!$C1076,'[1]TrialBalance (YTD)'!G:G,0),MATCH([1]TBMapping!H$3,'[1]TrialBalance (YTD)'!$G$7:$Z$7,0)),0)</f>
        <v>0</v>
      </c>
      <c r="H1074" s="5" t="e">
        <f>SUMIF('[1]TrialBalance (YTD)'!G:G,B1074,'[1]TrialBalance (YTD)'!H:H)</f>
        <v>#VALUE!</v>
      </c>
      <c r="I1074" s="5">
        <f>IFERROR(INDEX('[1]TrialBalance (YTD)'!$G:$S,MATCH([1]TBMapping!$C1076,'[1]TrialBalance (YTD)'!G:G,0),MATCH([1]TBMapping!J$3,'[1]TrialBalance (YTD)'!$G$7:$Z$7,0)),0)</f>
        <v>0</v>
      </c>
      <c r="K1074" s="5" t="e">
        <f>SUMIF('[1]TrialBalance (Quarter)'!$A:$A,B1074,'[1]TrialBalance (Quarter)'!$B:$B)</f>
        <v>#VALUE!</v>
      </c>
      <c r="L1074" s="5">
        <f>IFERROR(INDEX('[1]TrialBalance (Quarter)'!$A:$L,MATCH([1]TBMapping!$C1076,'[1]TrialBalance (Quarter)'!A:A,0),MATCH([1]TBMapping!M$3,'[1]TrialBalance (Quarter)'!$7:$7,0)),0)</f>
        <v>0</v>
      </c>
      <c r="M1074" s="5">
        <f>IFERROR(INDEX('[1]TrialBalance (Quarter)'!$A:$L,MATCH([1]TBMapping!$C1076,'[1]TrialBalance (Quarter)'!A:A,0),MATCH([1]TBMapping!N$3,'[1]TrialBalance (Quarter)'!$7:$7,0)),0)</f>
        <v>0</v>
      </c>
      <c r="N1074" s="5">
        <f>IFERROR(INDEX('[1]TrialBalance (Quarter)'!$A:$L,MATCH([1]TBMapping!$C1076,'[1]TrialBalance (Quarter)'!A:A,0),MATCH([1]TBMapping!O$3,'[1]TrialBalance (Quarter)'!$7:$7,0)),0)</f>
        <v>0</v>
      </c>
    </row>
    <row r="1075" spans="1:14">
      <c r="A1075" s="2">
        <v>21</v>
      </c>
      <c r="B1075" s="3">
        <v>474350</v>
      </c>
      <c r="C1075" s="11" t="s">
        <v>880</v>
      </c>
      <c r="D1075" s="11" t="s">
        <v>16</v>
      </c>
      <c r="E1075" s="11"/>
      <c r="F1075" s="5" t="e">
        <f>IF(DataExtraction="Manual",SUMIF('[1]TrialBalance (YTD)'!$C:$C,B1075,'[1]TrialBalance (YTD)'!$E:$E),SUMIF('[1]TrialBalance (YTD)'!$G:$G,B1075,'[1]TrialBalance (YTD)'!$I:$I))</f>
        <v>#VALUE!</v>
      </c>
      <c r="G1075" s="5">
        <f>IFERROR(INDEX('[1]TrialBalance (YTD)'!$G:$S,MATCH([1]TBMapping!$C1077,'[1]TrialBalance (YTD)'!G:G,0),MATCH([1]TBMapping!H$3,'[1]TrialBalance (YTD)'!$G$7:$Z$7,0)),0)</f>
        <v>0</v>
      </c>
      <c r="H1075" s="5" t="e">
        <f>SUMIF('[1]TrialBalance (YTD)'!G:G,B1075,'[1]TrialBalance (YTD)'!H:H)</f>
        <v>#VALUE!</v>
      </c>
      <c r="I1075" s="5">
        <f>IFERROR(INDEX('[1]TrialBalance (YTD)'!$G:$S,MATCH([1]TBMapping!$C1077,'[1]TrialBalance (YTD)'!G:G,0),MATCH([1]TBMapping!J$3,'[1]TrialBalance (YTD)'!$G$7:$Z$7,0)),0)</f>
        <v>0</v>
      </c>
      <c r="K1075" s="5" t="e">
        <f>SUMIF('[1]TrialBalance (Quarter)'!$A:$A,B1075,'[1]TrialBalance (Quarter)'!$B:$B)</f>
        <v>#VALUE!</v>
      </c>
      <c r="L1075" s="5">
        <f>IFERROR(INDEX('[1]TrialBalance (Quarter)'!$A:$L,MATCH([1]TBMapping!$C1077,'[1]TrialBalance (Quarter)'!A:A,0),MATCH([1]TBMapping!M$3,'[1]TrialBalance (Quarter)'!$7:$7,0)),0)</f>
        <v>0</v>
      </c>
      <c r="M1075" s="5">
        <f>IFERROR(INDEX('[1]TrialBalance (Quarter)'!$A:$L,MATCH([1]TBMapping!$C1077,'[1]TrialBalance (Quarter)'!A:A,0),MATCH([1]TBMapping!N$3,'[1]TrialBalance (Quarter)'!$7:$7,0)),0)</f>
        <v>0</v>
      </c>
      <c r="N1075" s="5">
        <f>IFERROR(INDEX('[1]TrialBalance (Quarter)'!$A:$L,MATCH([1]TBMapping!$C1077,'[1]TrialBalance (Quarter)'!A:A,0),MATCH([1]TBMapping!O$3,'[1]TrialBalance (Quarter)'!$7:$7,0)),0)</f>
        <v>0</v>
      </c>
    </row>
    <row r="1076" spans="1:14">
      <c r="A1076" s="2">
        <v>21</v>
      </c>
      <c r="B1076" s="3">
        <v>474600</v>
      </c>
      <c r="C1076" s="10" t="s">
        <v>881</v>
      </c>
      <c r="D1076" s="10" t="s">
        <v>16</v>
      </c>
      <c r="E1076" s="10"/>
      <c r="F1076" s="5" t="e">
        <f>IF(DataExtraction="Manual",SUMIF('[1]TrialBalance (YTD)'!$C:$C,B1076,'[1]TrialBalance (YTD)'!$E:$E),SUMIF('[1]TrialBalance (YTD)'!$G:$G,B1076,'[1]TrialBalance (YTD)'!$I:$I))</f>
        <v>#VALUE!</v>
      </c>
      <c r="G1076" s="5">
        <f>IFERROR(INDEX('[1]TrialBalance (YTD)'!$G:$S,MATCH([1]TBMapping!$C1078,'[1]TrialBalance (YTD)'!G:G,0),MATCH([1]TBMapping!H$3,'[1]TrialBalance (YTD)'!$G$7:$Z$7,0)),0)</f>
        <v>0</v>
      </c>
      <c r="H1076" s="5" t="e">
        <f>SUMIF('[1]TrialBalance (YTD)'!G:G,B1076,'[1]TrialBalance (YTD)'!H:H)</f>
        <v>#VALUE!</v>
      </c>
      <c r="I1076" s="5">
        <f>IFERROR(INDEX('[1]TrialBalance (YTD)'!$G:$S,MATCH([1]TBMapping!$C1078,'[1]TrialBalance (YTD)'!G:G,0),MATCH([1]TBMapping!J$3,'[1]TrialBalance (YTD)'!$G$7:$Z$7,0)),0)</f>
        <v>0</v>
      </c>
      <c r="K1076" s="5" t="e">
        <f>SUMIF('[1]TrialBalance (Quarter)'!$A:$A,B1076,'[1]TrialBalance (Quarter)'!$B:$B)</f>
        <v>#VALUE!</v>
      </c>
      <c r="L1076" s="5">
        <f>IFERROR(INDEX('[1]TrialBalance (Quarter)'!$A:$L,MATCH([1]TBMapping!$C1078,'[1]TrialBalance (Quarter)'!A:A,0),MATCH([1]TBMapping!M$3,'[1]TrialBalance (Quarter)'!$7:$7,0)),0)</f>
        <v>0</v>
      </c>
      <c r="M1076" s="5">
        <f>IFERROR(INDEX('[1]TrialBalance (Quarter)'!$A:$L,MATCH([1]TBMapping!$C1078,'[1]TrialBalance (Quarter)'!A:A,0),MATCH([1]TBMapping!N$3,'[1]TrialBalance (Quarter)'!$7:$7,0)),0)</f>
        <v>0</v>
      </c>
      <c r="N1076" s="5">
        <f>IFERROR(INDEX('[1]TrialBalance (Quarter)'!$A:$L,MATCH([1]TBMapping!$C1078,'[1]TrialBalance (Quarter)'!A:A,0),MATCH([1]TBMapping!O$3,'[1]TrialBalance (Quarter)'!$7:$7,0)),0)</f>
        <v>0</v>
      </c>
    </row>
    <row r="1077" spans="1:14">
      <c r="B1077" s="3">
        <v>474999</v>
      </c>
      <c r="C1077" s="11" t="s">
        <v>882</v>
      </c>
      <c r="D1077" s="11" t="s">
        <v>16</v>
      </c>
      <c r="E1077" s="11"/>
      <c r="F1077" s="5" t="e">
        <f>IF(DataExtraction="Manual",SUMIF('[1]TrialBalance (YTD)'!$C:$C,B1077,'[1]TrialBalance (YTD)'!$E:$E),SUMIF('[1]TrialBalance (YTD)'!$G:$G,B1077,'[1]TrialBalance (YTD)'!$I:$I))</f>
        <v>#VALUE!</v>
      </c>
      <c r="G1077" s="5">
        <f>IFERROR(INDEX('[1]TrialBalance (YTD)'!$G:$S,MATCH([1]TBMapping!$C1079,'[1]TrialBalance (YTD)'!G:G,0),MATCH([1]TBMapping!H$3,'[1]TrialBalance (YTD)'!$G$7:$Z$7,0)),0)</f>
        <v>0</v>
      </c>
      <c r="H1077" s="5" t="e">
        <f>SUMIF('[1]TrialBalance (YTD)'!G:G,B1077,'[1]TrialBalance (YTD)'!H:H)</f>
        <v>#VALUE!</v>
      </c>
      <c r="I1077" s="5">
        <f>IFERROR(INDEX('[1]TrialBalance (YTD)'!$G:$S,MATCH([1]TBMapping!$C1079,'[1]TrialBalance (YTD)'!G:G,0),MATCH([1]TBMapping!J$3,'[1]TrialBalance (YTD)'!$G$7:$Z$7,0)),0)</f>
        <v>0</v>
      </c>
      <c r="K1077" s="5" t="e">
        <f>SUMIF('[1]TrialBalance (Quarter)'!$A:$A,B1077,'[1]TrialBalance (Quarter)'!$B:$B)</f>
        <v>#VALUE!</v>
      </c>
      <c r="L1077" s="5">
        <f>IFERROR(INDEX('[1]TrialBalance (Quarter)'!$A:$L,MATCH([1]TBMapping!$C1079,'[1]TrialBalance (Quarter)'!A:A,0),MATCH([1]TBMapping!M$3,'[1]TrialBalance (Quarter)'!$7:$7,0)),0)</f>
        <v>0</v>
      </c>
      <c r="M1077" s="5">
        <f>IFERROR(INDEX('[1]TrialBalance (Quarter)'!$A:$L,MATCH([1]TBMapping!$C1079,'[1]TrialBalance (Quarter)'!A:A,0),MATCH([1]TBMapping!N$3,'[1]TrialBalance (Quarter)'!$7:$7,0)),0)</f>
        <v>0</v>
      </c>
      <c r="N1077" s="5">
        <f>IFERROR(INDEX('[1]TrialBalance (Quarter)'!$A:$L,MATCH([1]TBMapping!$C1079,'[1]TrialBalance (Quarter)'!A:A,0),MATCH([1]TBMapping!O$3,'[1]TrialBalance (Quarter)'!$7:$7,0)),0)</f>
        <v>0</v>
      </c>
    </row>
    <row r="1078" spans="1:14">
      <c r="B1078" s="3">
        <v>479998</v>
      </c>
      <c r="C1078" s="10" t="s">
        <v>883</v>
      </c>
      <c r="D1078" s="10" t="s">
        <v>5</v>
      </c>
      <c r="E1078" s="10"/>
      <c r="F1078" s="5" t="e">
        <f>IF(DataExtraction="Manual",SUMIF('[1]TrialBalance (YTD)'!$C:$C,B1078,'[1]TrialBalance (YTD)'!$E:$E),SUMIF('[1]TrialBalance (YTD)'!$G:$G,B1078,'[1]TrialBalance (YTD)'!$I:$I))</f>
        <v>#VALUE!</v>
      </c>
      <c r="G1078" s="5">
        <f>IFERROR(INDEX('[1]TrialBalance (YTD)'!$G:$S,MATCH([1]TBMapping!$C1080,'[1]TrialBalance (YTD)'!G:G,0),MATCH([1]TBMapping!H$3,'[1]TrialBalance (YTD)'!$G$7:$Z$7,0)),0)</f>
        <v>0</v>
      </c>
      <c r="H1078" s="5" t="e">
        <f>SUMIF('[1]TrialBalance (YTD)'!G:G,B1078,'[1]TrialBalance (YTD)'!H:H)</f>
        <v>#VALUE!</v>
      </c>
      <c r="I1078" s="5">
        <f>IFERROR(INDEX('[1]TrialBalance (YTD)'!$G:$S,MATCH([1]TBMapping!$C1080,'[1]TrialBalance (YTD)'!G:G,0),MATCH([1]TBMapping!J$3,'[1]TrialBalance (YTD)'!$G$7:$Z$7,0)),0)</f>
        <v>0</v>
      </c>
      <c r="K1078" s="5" t="e">
        <f>SUMIF('[1]TrialBalance (Quarter)'!$A:$A,B1078,'[1]TrialBalance (Quarter)'!$B:$B)</f>
        <v>#VALUE!</v>
      </c>
      <c r="L1078" s="5">
        <f>IFERROR(INDEX('[1]TrialBalance (Quarter)'!$A:$L,MATCH([1]TBMapping!$C1080,'[1]TrialBalance (Quarter)'!A:A,0),MATCH([1]TBMapping!M$3,'[1]TrialBalance (Quarter)'!$7:$7,0)),0)</f>
        <v>0</v>
      </c>
      <c r="M1078" s="5">
        <f>IFERROR(INDEX('[1]TrialBalance (Quarter)'!$A:$L,MATCH([1]TBMapping!$C1080,'[1]TrialBalance (Quarter)'!A:A,0),MATCH([1]TBMapping!N$3,'[1]TrialBalance (Quarter)'!$7:$7,0)),0)</f>
        <v>0</v>
      </c>
      <c r="N1078" s="5">
        <f>IFERROR(INDEX('[1]TrialBalance (Quarter)'!$A:$L,MATCH([1]TBMapping!$C1080,'[1]TrialBalance (Quarter)'!A:A,0),MATCH([1]TBMapping!O$3,'[1]TrialBalance (Quarter)'!$7:$7,0)),0)</f>
        <v>0</v>
      </c>
    </row>
    <row r="1079" spans="1:14">
      <c r="B1079" s="3">
        <v>479999</v>
      </c>
      <c r="C1079" s="11" t="s">
        <v>884</v>
      </c>
      <c r="D1079" s="11" t="s">
        <v>11</v>
      </c>
      <c r="E1079" s="11"/>
      <c r="F1079" s="5" t="e">
        <f>IF(DataExtraction="Manual",SUMIF('[1]TrialBalance (YTD)'!$C:$C,B1079,'[1]TrialBalance (YTD)'!$E:$E),SUMIF('[1]TrialBalance (YTD)'!$G:$G,B1079,'[1]TrialBalance (YTD)'!$I:$I))</f>
        <v>#VALUE!</v>
      </c>
      <c r="G1079" s="5">
        <f>IFERROR(INDEX('[1]TrialBalance (YTD)'!$G:$S,MATCH([1]TBMapping!$C1081,'[1]TrialBalance (YTD)'!G:G,0),MATCH([1]TBMapping!H$3,'[1]TrialBalance (YTD)'!$G$7:$Z$7,0)),0)</f>
        <v>0</v>
      </c>
      <c r="H1079" s="5" t="e">
        <f>SUMIF('[1]TrialBalance (YTD)'!G:G,B1079,'[1]TrialBalance (YTD)'!H:H)</f>
        <v>#VALUE!</v>
      </c>
      <c r="I1079" s="5">
        <f>IFERROR(INDEX('[1]TrialBalance (YTD)'!$G:$S,MATCH([1]TBMapping!$C1081,'[1]TrialBalance (YTD)'!G:G,0),MATCH([1]TBMapping!J$3,'[1]TrialBalance (YTD)'!$G$7:$Z$7,0)),0)</f>
        <v>0</v>
      </c>
      <c r="K1079" s="5" t="e">
        <f>SUMIF('[1]TrialBalance (Quarter)'!$A:$A,B1079,'[1]TrialBalance (Quarter)'!$B:$B)</f>
        <v>#VALUE!</v>
      </c>
      <c r="L1079" s="5">
        <f>IFERROR(INDEX('[1]TrialBalance (Quarter)'!$A:$L,MATCH([1]TBMapping!$C1081,'[1]TrialBalance (Quarter)'!A:A,0),MATCH([1]TBMapping!M$3,'[1]TrialBalance (Quarter)'!$7:$7,0)),0)</f>
        <v>0</v>
      </c>
      <c r="M1079" s="5">
        <f>IFERROR(INDEX('[1]TrialBalance (Quarter)'!$A:$L,MATCH([1]TBMapping!$C1081,'[1]TrialBalance (Quarter)'!A:A,0),MATCH([1]TBMapping!N$3,'[1]TrialBalance (Quarter)'!$7:$7,0)),0)</f>
        <v>0</v>
      </c>
      <c r="N1079" s="5">
        <f>IFERROR(INDEX('[1]TrialBalance (Quarter)'!$A:$L,MATCH([1]TBMapping!$C1081,'[1]TrialBalance (Quarter)'!A:A,0),MATCH([1]TBMapping!O$3,'[1]TrialBalance (Quarter)'!$7:$7,0)),0)</f>
        <v>0</v>
      </c>
    </row>
    <row r="1080" spans="1:14">
      <c r="B1080" s="3">
        <v>481000</v>
      </c>
      <c r="C1080" s="10" t="s">
        <v>885</v>
      </c>
      <c r="D1080" s="10" t="s">
        <v>11</v>
      </c>
      <c r="E1080" s="10"/>
      <c r="F1080" s="5" t="e">
        <f>IF(DataExtraction="Manual",SUMIF('[1]TrialBalance (YTD)'!$C:$C,B1080,'[1]TrialBalance (YTD)'!$E:$E),SUMIF('[1]TrialBalance (YTD)'!$G:$G,B1080,'[1]TrialBalance (YTD)'!$I:$I))</f>
        <v>#VALUE!</v>
      </c>
      <c r="G1080" s="5">
        <f>IFERROR(INDEX('[1]TrialBalance (YTD)'!$G:$S,MATCH([1]TBMapping!$C1082,'[1]TrialBalance (YTD)'!G:G,0),MATCH([1]TBMapping!H$3,'[1]TrialBalance (YTD)'!$G$7:$Z$7,0)),0)</f>
        <v>0</v>
      </c>
      <c r="H1080" s="5" t="e">
        <f>SUMIF('[1]TrialBalance (YTD)'!G:G,B1080,'[1]TrialBalance (YTD)'!H:H)</f>
        <v>#VALUE!</v>
      </c>
      <c r="I1080" s="5">
        <f>IFERROR(INDEX('[1]TrialBalance (YTD)'!$G:$S,MATCH([1]TBMapping!$C1082,'[1]TrialBalance (YTD)'!G:G,0),MATCH([1]TBMapping!J$3,'[1]TrialBalance (YTD)'!$G$7:$Z$7,0)),0)</f>
        <v>0</v>
      </c>
      <c r="K1080" s="5" t="e">
        <f>SUMIF('[1]TrialBalance (Quarter)'!$A:$A,B1080,'[1]TrialBalance (Quarter)'!$B:$B)</f>
        <v>#VALUE!</v>
      </c>
      <c r="L1080" s="5">
        <f>IFERROR(INDEX('[1]TrialBalance (Quarter)'!$A:$L,MATCH([1]TBMapping!$C1082,'[1]TrialBalance (Quarter)'!A:A,0),MATCH([1]TBMapping!M$3,'[1]TrialBalance (Quarter)'!$7:$7,0)),0)</f>
        <v>0</v>
      </c>
      <c r="M1080" s="5">
        <f>IFERROR(INDEX('[1]TrialBalance (Quarter)'!$A:$L,MATCH([1]TBMapping!$C1082,'[1]TrialBalance (Quarter)'!A:A,0),MATCH([1]TBMapping!N$3,'[1]TrialBalance (Quarter)'!$7:$7,0)),0)</f>
        <v>0</v>
      </c>
      <c r="N1080" s="5">
        <f>IFERROR(INDEX('[1]TrialBalance (Quarter)'!$A:$L,MATCH([1]TBMapping!$C1082,'[1]TrialBalance (Quarter)'!A:A,0),MATCH([1]TBMapping!O$3,'[1]TrialBalance (Quarter)'!$7:$7,0)),0)</f>
        <v>0</v>
      </c>
    </row>
    <row r="1081" spans="1:14">
      <c r="A1081" s="2">
        <v>22</v>
      </c>
      <c r="B1081" s="3">
        <v>481001</v>
      </c>
      <c r="C1081" s="11" t="s">
        <v>886</v>
      </c>
      <c r="D1081" s="11" t="s">
        <v>11</v>
      </c>
      <c r="E1081" s="11"/>
      <c r="F1081" s="5" t="e">
        <f>IF(DataExtraction="Manual",SUMIF('[1]TrialBalance (YTD)'!$C:$C,B1081,'[1]TrialBalance (YTD)'!$E:$E),SUMIF('[1]TrialBalance (YTD)'!$G:$G,B1081,'[1]TrialBalance (YTD)'!$I:$I))</f>
        <v>#VALUE!</v>
      </c>
      <c r="G1081" s="5">
        <f>IFERROR(INDEX('[1]TrialBalance (YTD)'!$G:$S,MATCH([1]TBMapping!$C1083,'[1]TrialBalance (YTD)'!G:G,0),MATCH([1]TBMapping!H$3,'[1]TrialBalance (YTD)'!$G$7:$Z$7,0)),0)</f>
        <v>0</v>
      </c>
      <c r="H1081" s="5" t="e">
        <f>SUMIF('[1]TrialBalance (YTD)'!G:G,B1081,'[1]TrialBalance (YTD)'!H:H)</f>
        <v>#VALUE!</v>
      </c>
      <c r="I1081" s="5">
        <f>IFERROR(INDEX('[1]TrialBalance (YTD)'!$G:$S,MATCH([1]TBMapping!$C1083,'[1]TrialBalance (YTD)'!G:G,0),MATCH([1]TBMapping!J$3,'[1]TrialBalance (YTD)'!$G$7:$Z$7,0)),0)</f>
        <v>0</v>
      </c>
      <c r="K1081" s="5" t="e">
        <f>SUMIF('[1]TrialBalance (Quarter)'!$A:$A,B1081,'[1]TrialBalance (Quarter)'!$B:$B)</f>
        <v>#VALUE!</v>
      </c>
      <c r="L1081" s="5">
        <f>IFERROR(INDEX('[1]TrialBalance (Quarter)'!$A:$L,MATCH([1]TBMapping!$C1083,'[1]TrialBalance (Quarter)'!A:A,0),MATCH([1]TBMapping!M$3,'[1]TrialBalance (Quarter)'!$7:$7,0)),0)</f>
        <v>0</v>
      </c>
      <c r="M1081" s="5">
        <f>IFERROR(INDEX('[1]TrialBalance (Quarter)'!$A:$L,MATCH([1]TBMapping!$C1083,'[1]TrialBalance (Quarter)'!A:A,0),MATCH([1]TBMapping!N$3,'[1]TrialBalance (Quarter)'!$7:$7,0)),0)</f>
        <v>0</v>
      </c>
      <c r="N1081" s="5">
        <f>IFERROR(INDEX('[1]TrialBalance (Quarter)'!$A:$L,MATCH([1]TBMapping!$C1083,'[1]TrialBalance (Quarter)'!A:A,0),MATCH([1]TBMapping!O$3,'[1]TrialBalance (Quarter)'!$7:$7,0)),0)</f>
        <v>0</v>
      </c>
    </row>
    <row r="1082" spans="1:14">
      <c r="A1082" s="2">
        <v>22</v>
      </c>
      <c r="B1082" s="3">
        <v>481010</v>
      </c>
      <c r="C1082" s="10" t="s">
        <v>887</v>
      </c>
      <c r="D1082" s="10" t="s">
        <v>11</v>
      </c>
      <c r="E1082" s="10"/>
      <c r="F1082" s="5" t="e">
        <f>IF(DataExtraction="Manual",SUMIF('[1]TrialBalance (YTD)'!$C:$C,B1082,'[1]TrialBalance (YTD)'!$E:$E),SUMIF('[1]TrialBalance (YTD)'!$G:$G,B1082,'[1]TrialBalance (YTD)'!$I:$I))</f>
        <v>#VALUE!</v>
      </c>
      <c r="G1082" s="5">
        <f>IFERROR(INDEX('[1]TrialBalance (YTD)'!$G:$S,MATCH([1]TBMapping!$C1084,'[1]TrialBalance (YTD)'!G:G,0),MATCH([1]TBMapping!H$3,'[1]TrialBalance (YTD)'!$G$7:$Z$7,0)),0)</f>
        <v>0</v>
      </c>
      <c r="H1082" s="5" t="e">
        <f>SUMIF('[1]TrialBalance (YTD)'!G:G,B1082,'[1]TrialBalance (YTD)'!H:H)</f>
        <v>#VALUE!</v>
      </c>
      <c r="I1082" s="5">
        <f>IFERROR(INDEX('[1]TrialBalance (YTD)'!$G:$S,MATCH([1]TBMapping!$C1084,'[1]TrialBalance (YTD)'!G:G,0),MATCH([1]TBMapping!J$3,'[1]TrialBalance (YTD)'!$G$7:$Z$7,0)),0)</f>
        <v>0</v>
      </c>
      <c r="K1082" s="5" t="e">
        <f>SUMIF('[1]TrialBalance (Quarter)'!$A:$A,B1082,'[1]TrialBalance (Quarter)'!$B:$B)</f>
        <v>#VALUE!</v>
      </c>
      <c r="L1082" s="5">
        <f>IFERROR(INDEX('[1]TrialBalance (Quarter)'!$A:$L,MATCH([1]TBMapping!$C1084,'[1]TrialBalance (Quarter)'!A:A,0),MATCH([1]TBMapping!M$3,'[1]TrialBalance (Quarter)'!$7:$7,0)),0)</f>
        <v>0</v>
      </c>
      <c r="M1082" s="5">
        <f>IFERROR(INDEX('[1]TrialBalance (Quarter)'!$A:$L,MATCH([1]TBMapping!$C1084,'[1]TrialBalance (Quarter)'!A:A,0),MATCH([1]TBMapping!N$3,'[1]TrialBalance (Quarter)'!$7:$7,0)),0)</f>
        <v>0</v>
      </c>
      <c r="N1082" s="5">
        <f>IFERROR(INDEX('[1]TrialBalance (Quarter)'!$A:$L,MATCH([1]TBMapping!$C1084,'[1]TrialBalance (Quarter)'!A:A,0),MATCH([1]TBMapping!O$3,'[1]TrialBalance (Quarter)'!$7:$7,0)),0)</f>
        <v>0</v>
      </c>
    </row>
    <row r="1083" spans="1:14">
      <c r="A1083" s="2">
        <v>22</v>
      </c>
      <c r="B1083" s="3">
        <v>481020</v>
      </c>
      <c r="C1083" s="11" t="s">
        <v>888</v>
      </c>
      <c r="D1083" s="11" t="s">
        <v>16</v>
      </c>
      <c r="E1083" s="11"/>
      <c r="F1083" s="5" t="e">
        <f>IF(DataExtraction="Manual",SUMIF('[1]TrialBalance (YTD)'!$C:$C,B1083,'[1]TrialBalance (YTD)'!$E:$E),SUMIF('[1]TrialBalance (YTD)'!$G:$G,B1083,'[1]TrialBalance (YTD)'!$I:$I))</f>
        <v>#VALUE!</v>
      </c>
      <c r="G1083" s="5">
        <f>IFERROR(INDEX('[1]TrialBalance (YTD)'!$G:$S,MATCH([1]TBMapping!$C1085,'[1]TrialBalance (YTD)'!G:G,0),MATCH([1]TBMapping!H$3,'[1]TrialBalance (YTD)'!$G$7:$Z$7,0)),0)</f>
        <v>0</v>
      </c>
      <c r="H1083" s="5" t="e">
        <f>SUMIF('[1]TrialBalance (YTD)'!G:G,B1083,'[1]TrialBalance (YTD)'!H:H)</f>
        <v>#VALUE!</v>
      </c>
      <c r="I1083" s="5">
        <f>IFERROR(INDEX('[1]TrialBalance (YTD)'!$G:$S,MATCH([1]TBMapping!$C1085,'[1]TrialBalance (YTD)'!G:G,0),MATCH([1]TBMapping!J$3,'[1]TrialBalance (YTD)'!$G$7:$Z$7,0)),0)</f>
        <v>0</v>
      </c>
      <c r="K1083" s="5" t="e">
        <f>SUMIF('[1]TrialBalance (Quarter)'!$A:$A,B1083,'[1]TrialBalance (Quarter)'!$B:$B)</f>
        <v>#VALUE!</v>
      </c>
      <c r="L1083" s="5">
        <f>IFERROR(INDEX('[1]TrialBalance (Quarter)'!$A:$L,MATCH([1]TBMapping!$C1085,'[1]TrialBalance (Quarter)'!A:A,0),MATCH([1]TBMapping!M$3,'[1]TrialBalance (Quarter)'!$7:$7,0)),0)</f>
        <v>0</v>
      </c>
      <c r="M1083" s="5">
        <f>IFERROR(INDEX('[1]TrialBalance (Quarter)'!$A:$L,MATCH([1]TBMapping!$C1085,'[1]TrialBalance (Quarter)'!A:A,0),MATCH([1]TBMapping!N$3,'[1]TrialBalance (Quarter)'!$7:$7,0)),0)</f>
        <v>0</v>
      </c>
      <c r="N1083" s="5">
        <f>IFERROR(INDEX('[1]TrialBalance (Quarter)'!$A:$L,MATCH([1]TBMapping!$C1085,'[1]TrialBalance (Quarter)'!A:A,0),MATCH([1]TBMapping!O$3,'[1]TrialBalance (Quarter)'!$7:$7,0)),0)</f>
        <v>0</v>
      </c>
    </row>
    <row r="1084" spans="1:14">
      <c r="A1084" s="2">
        <v>22</v>
      </c>
      <c r="B1084" s="3">
        <v>481030</v>
      </c>
      <c r="C1084" s="10" t="s">
        <v>888</v>
      </c>
      <c r="D1084" s="10" t="s">
        <v>16</v>
      </c>
      <c r="E1084" s="10"/>
      <c r="F1084" s="5" t="e">
        <f>IF(DataExtraction="Manual",SUMIF('[1]TrialBalance (YTD)'!$C:$C,B1084,'[1]TrialBalance (YTD)'!$E:$E),SUMIF('[1]TrialBalance (YTD)'!$G:$G,B1084,'[1]TrialBalance (YTD)'!$I:$I))</f>
        <v>#VALUE!</v>
      </c>
      <c r="G1084" s="5">
        <f>IFERROR(INDEX('[1]TrialBalance (YTD)'!$G:$S,MATCH([1]TBMapping!$C1086,'[1]TrialBalance (YTD)'!G:G,0),MATCH([1]TBMapping!H$3,'[1]TrialBalance (YTD)'!$G$7:$Z$7,0)),0)</f>
        <v>0</v>
      </c>
      <c r="H1084" s="5" t="e">
        <f>SUMIF('[1]TrialBalance (YTD)'!G:G,B1084,'[1]TrialBalance (YTD)'!H:H)</f>
        <v>#VALUE!</v>
      </c>
      <c r="I1084" s="5">
        <f>IFERROR(INDEX('[1]TrialBalance (YTD)'!$G:$S,MATCH([1]TBMapping!$C1086,'[1]TrialBalance (YTD)'!G:G,0),MATCH([1]TBMapping!J$3,'[1]TrialBalance (YTD)'!$G$7:$Z$7,0)),0)</f>
        <v>0</v>
      </c>
      <c r="K1084" s="5" t="e">
        <f>SUMIF('[1]TrialBalance (Quarter)'!$A:$A,B1084,'[1]TrialBalance (Quarter)'!$B:$B)</f>
        <v>#VALUE!</v>
      </c>
      <c r="L1084" s="5">
        <f>IFERROR(INDEX('[1]TrialBalance (Quarter)'!$A:$L,MATCH([1]TBMapping!$C1086,'[1]TrialBalance (Quarter)'!A:A,0),MATCH([1]TBMapping!M$3,'[1]TrialBalance (Quarter)'!$7:$7,0)),0)</f>
        <v>0</v>
      </c>
      <c r="M1084" s="5">
        <f>IFERROR(INDEX('[1]TrialBalance (Quarter)'!$A:$L,MATCH([1]TBMapping!$C1086,'[1]TrialBalance (Quarter)'!A:A,0),MATCH([1]TBMapping!N$3,'[1]TrialBalance (Quarter)'!$7:$7,0)),0)</f>
        <v>0</v>
      </c>
      <c r="N1084" s="5">
        <f>IFERROR(INDEX('[1]TrialBalance (Quarter)'!$A:$L,MATCH([1]TBMapping!$C1086,'[1]TrialBalance (Quarter)'!A:A,0),MATCH([1]TBMapping!O$3,'[1]TrialBalance (Quarter)'!$7:$7,0)),0)</f>
        <v>0</v>
      </c>
    </row>
    <row r="1085" spans="1:14">
      <c r="B1085" s="3">
        <v>481999</v>
      </c>
      <c r="C1085" s="11" t="s">
        <v>422</v>
      </c>
      <c r="D1085" s="11" t="s">
        <v>5</v>
      </c>
      <c r="E1085" s="11"/>
      <c r="F1085" s="5" t="e">
        <f>IF(DataExtraction="Manual",SUMIF('[1]TrialBalance (YTD)'!$C:$C,B1085,'[1]TrialBalance (YTD)'!$E:$E),SUMIF('[1]TrialBalance (YTD)'!$G:$G,B1085,'[1]TrialBalance (YTD)'!$I:$I))</f>
        <v>#VALUE!</v>
      </c>
      <c r="G1085" s="5">
        <f>IFERROR(INDEX('[1]TrialBalance (YTD)'!$G:$S,MATCH([1]TBMapping!$C1087,'[1]TrialBalance (YTD)'!G:G,0),MATCH([1]TBMapping!H$3,'[1]TrialBalance (YTD)'!$G$7:$Z$7,0)),0)</f>
        <v>0</v>
      </c>
      <c r="H1085" s="5" t="e">
        <f>SUMIF('[1]TrialBalance (YTD)'!G:G,B1085,'[1]TrialBalance (YTD)'!H:H)</f>
        <v>#VALUE!</v>
      </c>
      <c r="I1085" s="5">
        <f>IFERROR(INDEX('[1]TrialBalance (YTD)'!$G:$S,MATCH([1]TBMapping!$C1087,'[1]TrialBalance (YTD)'!G:G,0),MATCH([1]TBMapping!J$3,'[1]TrialBalance (YTD)'!$G$7:$Z$7,0)),0)</f>
        <v>0</v>
      </c>
      <c r="K1085" s="5" t="e">
        <f>SUMIF('[1]TrialBalance (Quarter)'!$A:$A,B1085,'[1]TrialBalance (Quarter)'!$B:$B)</f>
        <v>#VALUE!</v>
      </c>
      <c r="L1085" s="5">
        <f>IFERROR(INDEX('[1]TrialBalance (Quarter)'!$A:$L,MATCH([1]TBMapping!$C1087,'[1]TrialBalance (Quarter)'!A:A,0),MATCH([1]TBMapping!M$3,'[1]TrialBalance (Quarter)'!$7:$7,0)),0)</f>
        <v>0</v>
      </c>
      <c r="M1085" s="5">
        <f>IFERROR(INDEX('[1]TrialBalance (Quarter)'!$A:$L,MATCH([1]TBMapping!$C1087,'[1]TrialBalance (Quarter)'!A:A,0),MATCH([1]TBMapping!N$3,'[1]TrialBalance (Quarter)'!$7:$7,0)),0)</f>
        <v>0</v>
      </c>
      <c r="N1085" s="5">
        <f>IFERROR(INDEX('[1]TrialBalance (Quarter)'!$A:$L,MATCH([1]TBMapping!$C1087,'[1]TrialBalance (Quarter)'!A:A,0),MATCH([1]TBMapping!O$3,'[1]TrialBalance (Quarter)'!$7:$7,0)),0)</f>
        <v>0</v>
      </c>
    </row>
    <row r="1086" spans="1:14">
      <c r="B1086" s="3">
        <v>489990</v>
      </c>
      <c r="C1086" s="10" t="s">
        <v>422</v>
      </c>
      <c r="D1086" s="10" t="s">
        <v>5</v>
      </c>
      <c r="E1086" s="10"/>
      <c r="F1086" s="5" t="e">
        <f>IF(DataExtraction="Manual",SUMIF('[1]TrialBalance (YTD)'!$C:$C,B1086,'[1]TrialBalance (YTD)'!$E:$E),SUMIF('[1]TrialBalance (YTD)'!$G:$G,B1086,'[1]TrialBalance (YTD)'!$I:$I))</f>
        <v>#VALUE!</v>
      </c>
      <c r="G1086" s="5">
        <f>IFERROR(INDEX('[1]TrialBalance (YTD)'!$G:$S,MATCH([1]TBMapping!$C1088,'[1]TrialBalance (YTD)'!G:G,0),MATCH([1]TBMapping!H$3,'[1]TrialBalance (YTD)'!$G$7:$Z$7,0)),0)</f>
        <v>0</v>
      </c>
      <c r="H1086" s="5" t="e">
        <f>SUMIF('[1]TrialBalance (YTD)'!G:G,B1086,'[1]TrialBalance (YTD)'!H:H)</f>
        <v>#VALUE!</v>
      </c>
      <c r="I1086" s="5">
        <f>IFERROR(INDEX('[1]TrialBalance (YTD)'!$G:$S,MATCH([1]TBMapping!$C1088,'[1]TrialBalance (YTD)'!G:G,0),MATCH([1]TBMapping!J$3,'[1]TrialBalance (YTD)'!$G$7:$Z$7,0)),0)</f>
        <v>0</v>
      </c>
      <c r="K1086" s="5" t="e">
        <f>SUMIF('[1]TrialBalance (Quarter)'!$A:$A,B1086,'[1]TrialBalance (Quarter)'!$B:$B)</f>
        <v>#VALUE!</v>
      </c>
      <c r="L1086" s="5">
        <f>IFERROR(INDEX('[1]TrialBalance (Quarter)'!$A:$L,MATCH([1]TBMapping!$C1088,'[1]TrialBalance (Quarter)'!A:A,0),MATCH([1]TBMapping!M$3,'[1]TrialBalance (Quarter)'!$7:$7,0)),0)</f>
        <v>0</v>
      </c>
      <c r="M1086" s="5">
        <f>IFERROR(INDEX('[1]TrialBalance (Quarter)'!$A:$L,MATCH([1]TBMapping!$C1088,'[1]TrialBalance (Quarter)'!A:A,0),MATCH([1]TBMapping!N$3,'[1]TrialBalance (Quarter)'!$7:$7,0)),0)</f>
        <v>0</v>
      </c>
      <c r="N1086" s="5">
        <f>IFERROR(INDEX('[1]TrialBalance (Quarter)'!$A:$L,MATCH([1]TBMapping!$C1088,'[1]TrialBalance (Quarter)'!A:A,0),MATCH([1]TBMapping!O$3,'[1]TrialBalance (Quarter)'!$7:$7,0)),0)</f>
        <v>0</v>
      </c>
    </row>
    <row r="1087" spans="1:14">
      <c r="B1087" s="3">
        <v>490000</v>
      </c>
      <c r="C1087" s="11" t="s">
        <v>889</v>
      </c>
      <c r="D1087" s="11" t="s">
        <v>11</v>
      </c>
      <c r="E1087" s="11"/>
      <c r="F1087" s="5" t="e">
        <f>IF(DataExtraction="Manual",SUMIF('[1]TrialBalance (YTD)'!$C:$C,B1087,'[1]TrialBalance (YTD)'!$E:$E),SUMIF('[1]TrialBalance (YTD)'!$G:$G,B1087,'[1]TrialBalance (YTD)'!$I:$I))</f>
        <v>#VALUE!</v>
      </c>
      <c r="G1087" s="5">
        <f>IFERROR(INDEX('[1]TrialBalance (YTD)'!$G:$S,MATCH([1]TBMapping!$C1089,'[1]TrialBalance (YTD)'!G:G,0),MATCH([1]TBMapping!H$3,'[1]TrialBalance (YTD)'!$G$7:$Z$7,0)),0)</f>
        <v>0</v>
      </c>
      <c r="H1087" s="5" t="e">
        <f>SUMIF('[1]TrialBalance (YTD)'!G:G,B1087,'[1]TrialBalance (YTD)'!H:H)</f>
        <v>#VALUE!</v>
      </c>
      <c r="I1087" s="5">
        <f>IFERROR(INDEX('[1]TrialBalance (YTD)'!$G:$S,MATCH([1]TBMapping!$C1089,'[1]TrialBalance (YTD)'!G:G,0),MATCH([1]TBMapping!J$3,'[1]TrialBalance (YTD)'!$G$7:$Z$7,0)),0)</f>
        <v>0</v>
      </c>
      <c r="K1087" s="5" t="e">
        <f>SUMIF('[1]TrialBalance (Quarter)'!$A:$A,B1087,'[1]TrialBalance (Quarter)'!$B:$B)</f>
        <v>#VALUE!</v>
      </c>
      <c r="L1087" s="5">
        <f>IFERROR(INDEX('[1]TrialBalance (Quarter)'!$A:$L,MATCH([1]TBMapping!$C1089,'[1]TrialBalance (Quarter)'!A:A,0),MATCH([1]TBMapping!M$3,'[1]TrialBalance (Quarter)'!$7:$7,0)),0)</f>
        <v>0</v>
      </c>
      <c r="M1087" s="5">
        <f>IFERROR(INDEX('[1]TrialBalance (Quarter)'!$A:$L,MATCH([1]TBMapping!$C1089,'[1]TrialBalance (Quarter)'!A:A,0),MATCH([1]TBMapping!N$3,'[1]TrialBalance (Quarter)'!$7:$7,0)),0)</f>
        <v>0</v>
      </c>
      <c r="N1087" s="5">
        <f>IFERROR(INDEX('[1]TrialBalance (Quarter)'!$A:$L,MATCH([1]TBMapping!$C1089,'[1]TrialBalance (Quarter)'!A:A,0),MATCH([1]TBMapping!O$3,'[1]TrialBalance (Quarter)'!$7:$7,0)),0)</f>
        <v>0</v>
      </c>
    </row>
    <row r="1088" spans="1:14">
      <c r="B1088" s="3">
        <v>491000</v>
      </c>
      <c r="C1088" s="10" t="s">
        <v>890</v>
      </c>
      <c r="D1088" s="10" t="s">
        <v>11</v>
      </c>
      <c r="E1088" s="10"/>
      <c r="F1088" s="5" t="e">
        <f>IF(DataExtraction="Manual",SUMIF('[1]TrialBalance (YTD)'!$C:$C,B1088,'[1]TrialBalance (YTD)'!$E:$E),SUMIF('[1]TrialBalance (YTD)'!$G:$G,B1088,'[1]TrialBalance (YTD)'!$I:$I))</f>
        <v>#VALUE!</v>
      </c>
      <c r="G1088" s="5">
        <f>IFERROR(INDEX('[1]TrialBalance (YTD)'!$G:$S,MATCH([1]TBMapping!$C1090,'[1]TrialBalance (YTD)'!G:G,0),MATCH([1]TBMapping!H$3,'[1]TrialBalance (YTD)'!$G$7:$Z$7,0)),0)</f>
        <v>0</v>
      </c>
      <c r="H1088" s="5" t="e">
        <f>SUMIF('[1]TrialBalance (YTD)'!G:G,B1088,'[1]TrialBalance (YTD)'!H:H)</f>
        <v>#VALUE!</v>
      </c>
      <c r="I1088" s="5">
        <f>IFERROR(INDEX('[1]TrialBalance (YTD)'!$G:$S,MATCH([1]TBMapping!$C1090,'[1]TrialBalance (YTD)'!G:G,0),MATCH([1]TBMapping!J$3,'[1]TrialBalance (YTD)'!$G$7:$Z$7,0)),0)</f>
        <v>0</v>
      </c>
      <c r="K1088" s="5" t="e">
        <f>SUMIF('[1]TrialBalance (Quarter)'!$A:$A,B1088,'[1]TrialBalance (Quarter)'!$B:$B)</f>
        <v>#VALUE!</v>
      </c>
      <c r="L1088" s="5">
        <f>IFERROR(INDEX('[1]TrialBalance (Quarter)'!$A:$L,MATCH([1]TBMapping!$C1090,'[1]TrialBalance (Quarter)'!A:A,0),MATCH([1]TBMapping!M$3,'[1]TrialBalance (Quarter)'!$7:$7,0)),0)</f>
        <v>0</v>
      </c>
      <c r="M1088" s="5">
        <f>IFERROR(INDEX('[1]TrialBalance (Quarter)'!$A:$L,MATCH([1]TBMapping!$C1090,'[1]TrialBalance (Quarter)'!A:A,0),MATCH([1]TBMapping!N$3,'[1]TrialBalance (Quarter)'!$7:$7,0)),0)</f>
        <v>0</v>
      </c>
      <c r="N1088" s="5">
        <f>IFERROR(INDEX('[1]TrialBalance (Quarter)'!$A:$L,MATCH([1]TBMapping!$C1090,'[1]TrialBalance (Quarter)'!A:A,0),MATCH([1]TBMapping!O$3,'[1]TrialBalance (Quarter)'!$7:$7,0)),0)</f>
        <v>0</v>
      </c>
    </row>
    <row r="1089" spans="1:14">
      <c r="A1089" s="2">
        <v>23</v>
      </c>
      <c r="B1089" s="3">
        <v>491100</v>
      </c>
      <c r="C1089" s="11" t="s">
        <v>891</v>
      </c>
      <c r="D1089" s="11" t="s">
        <v>11</v>
      </c>
      <c r="E1089" s="11"/>
      <c r="F1089" s="5" t="e">
        <f>IF(DataExtraction="Manual",SUMIF('[1]TrialBalance (YTD)'!$C:$C,B1089,'[1]TrialBalance (YTD)'!$E:$E),SUMIF('[1]TrialBalance (YTD)'!$G:$G,B1089,'[1]TrialBalance (YTD)'!$I:$I))</f>
        <v>#VALUE!</v>
      </c>
      <c r="G1089" s="5">
        <f>IFERROR(INDEX('[1]TrialBalance (YTD)'!$G:$S,MATCH([1]TBMapping!$C1091,'[1]TrialBalance (YTD)'!G:G,0),MATCH([1]TBMapping!H$3,'[1]TrialBalance (YTD)'!$G$7:$Z$7,0)),0)</f>
        <v>0</v>
      </c>
      <c r="H1089" s="5" t="e">
        <f>SUMIF('[1]TrialBalance (YTD)'!G:G,B1089,'[1]TrialBalance (YTD)'!H:H)</f>
        <v>#VALUE!</v>
      </c>
      <c r="I1089" s="5">
        <f>IFERROR(INDEX('[1]TrialBalance (YTD)'!$G:$S,MATCH([1]TBMapping!$C1091,'[1]TrialBalance (YTD)'!G:G,0),MATCH([1]TBMapping!J$3,'[1]TrialBalance (YTD)'!$G$7:$Z$7,0)),0)</f>
        <v>0</v>
      </c>
      <c r="K1089" s="5" t="e">
        <f>SUMIF('[1]TrialBalance (Quarter)'!$A:$A,B1089,'[1]TrialBalance (Quarter)'!$B:$B)</f>
        <v>#VALUE!</v>
      </c>
      <c r="L1089" s="5">
        <f>IFERROR(INDEX('[1]TrialBalance (Quarter)'!$A:$L,MATCH([1]TBMapping!$C1091,'[1]TrialBalance (Quarter)'!A:A,0),MATCH([1]TBMapping!M$3,'[1]TrialBalance (Quarter)'!$7:$7,0)),0)</f>
        <v>0</v>
      </c>
      <c r="M1089" s="5">
        <f>IFERROR(INDEX('[1]TrialBalance (Quarter)'!$A:$L,MATCH([1]TBMapping!$C1091,'[1]TrialBalance (Quarter)'!A:A,0),MATCH([1]TBMapping!N$3,'[1]TrialBalance (Quarter)'!$7:$7,0)),0)</f>
        <v>0</v>
      </c>
      <c r="N1089" s="5">
        <f>IFERROR(INDEX('[1]TrialBalance (Quarter)'!$A:$L,MATCH([1]TBMapping!$C1091,'[1]TrialBalance (Quarter)'!A:A,0),MATCH([1]TBMapping!O$3,'[1]TrialBalance (Quarter)'!$7:$7,0)),0)</f>
        <v>0</v>
      </c>
    </row>
    <row r="1090" spans="1:14">
      <c r="A1090" s="2">
        <v>23</v>
      </c>
      <c r="B1090" s="3">
        <v>491120</v>
      </c>
      <c r="C1090" s="10" t="s">
        <v>892</v>
      </c>
      <c r="D1090" s="10" t="s">
        <v>11</v>
      </c>
      <c r="E1090" s="10"/>
      <c r="F1090" s="5" t="e">
        <f>IF(DataExtraction="Manual",SUMIF('[1]TrialBalance (YTD)'!$C:$C,B1090,'[1]TrialBalance (YTD)'!$E:$E),SUMIF('[1]TrialBalance (YTD)'!$G:$G,B1090,'[1]TrialBalance (YTD)'!$I:$I))</f>
        <v>#VALUE!</v>
      </c>
      <c r="G1090" s="5">
        <f>IFERROR(INDEX('[1]TrialBalance (YTD)'!$G:$S,MATCH([1]TBMapping!$C1092,'[1]TrialBalance (YTD)'!G:G,0),MATCH([1]TBMapping!H$3,'[1]TrialBalance (YTD)'!$G$7:$Z$7,0)),0)</f>
        <v>0</v>
      </c>
      <c r="H1090" s="5" t="e">
        <f>SUMIF('[1]TrialBalance (YTD)'!G:G,B1090,'[1]TrialBalance (YTD)'!H:H)</f>
        <v>#VALUE!</v>
      </c>
      <c r="I1090" s="5">
        <f>IFERROR(INDEX('[1]TrialBalance (YTD)'!$G:$S,MATCH([1]TBMapping!$C1092,'[1]TrialBalance (YTD)'!G:G,0),MATCH([1]TBMapping!J$3,'[1]TrialBalance (YTD)'!$G$7:$Z$7,0)),0)</f>
        <v>0</v>
      </c>
      <c r="K1090" s="5" t="e">
        <f>SUMIF('[1]TrialBalance (Quarter)'!$A:$A,B1090,'[1]TrialBalance (Quarter)'!$B:$B)</f>
        <v>#VALUE!</v>
      </c>
      <c r="L1090" s="5">
        <f>IFERROR(INDEX('[1]TrialBalance (Quarter)'!$A:$L,MATCH([1]TBMapping!$C1092,'[1]TrialBalance (Quarter)'!A:A,0),MATCH([1]TBMapping!M$3,'[1]TrialBalance (Quarter)'!$7:$7,0)),0)</f>
        <v>0</v>
      </c>
      <c r="M1090" s="5">
        <f>IFERROR(INDEX('[1]TrialBalance (Quarter)'!$A:$L,MATCH([1]TBMapping!$C1092,'[1]TrialBalance (Quarter)'!A:A,0),MATCH([1]TBMapping!N$3,'[1]TrialBalance (Quarter)'!$7:$7,0)),0)</f>
        <v>0</v>
      </c>
      <c r="N1090" s="5">
        <f>IFERROR(INDEX('[1]TrialBalance (Quarter)'!$A:$L,MATCH([1]TBMapping!$C1092,'[1]TrialBalance (Quarter)'!A:A,0),MATCH([1]TBMapping!O$3,'[1]TrialBalance (Quarter)'!$7:$7,0)),0)</f>
        <v>0</v>
      </c>
    </row>
    <row r="1091" spans="1:14">
      <c r="A1091" s="2">
        <v>23</v>
      </c>
      <c r="B1091" s="3">
        <v>491140</v>
      </c>
      <c r="C1091" s="11" t="s">
        <v>893</v>
      </c>
      <c r="D1091" s="11" t="s">
        <v>11</v>
      </c>
      <c r="E1091" s="11"/>
      <c r="F1091" s="5" t="e">
        <f>IF(DataExtraction="Manual",SUMIF('[1]TrialBalance (YTD)'!$C:$C,B1091,'[1]TrialBalance (YTD)'!$E:$E),SUMIF('[1]TrialBalance (YTD)'!$G:$G,B1091,'[1]TrialBalance (YTD)'!$I:$I))</f>
        <v>#VALUE!</v>
      </c>
      <c r="G1091" s="5">
        <f>IFERROR(INDEX('[1]TrialBalance (YTD)'!$G:$S,MATCH([1]TBMapping!$C1093,'[1]TrialBalance (YTD)'!G:G,0),MATCH([1]TBMapping!H$3,'[1]TrialBalance (YTD)'!$G$7:$Z$7,0)),0)</f>
        <v>0</v>
      </c>
      <c r="H1091" s="5" t="e">
        <f>SUMIF('[1]TrialBalance (YTD)'!G:G,B1091,'[1]TrialBalance (YTD)'!H:H)</f>
        <v>#VALUE!</v>
      </c>
      <c r="I1091" s="5">
        <f>IFERROR(INDEX('[1]TrialBalance (YTD)'!$G:$S,MATCH([1]TBMapping!$C1093,'[1]TrialBalance (YTD)'!G:G,0),MATCH([1]TBMapping!J$3,'[1]TrialBalance (YTD)'!$G$7:$Z$7,0)),0)</f>
        <v>0</v>
      </c>
      <c r="K1091" s="5" t="e">
        <f>SUMIF('[1]TrialBalance (Quarter)'!$A:$A,B1091,'[1]TrialBalance (Quarter)'!$B:$B)</f>
        <v>#VALUE!</v>
      </c>
      <c r="L1091" s="5">
        <f>IFERROR(INDEX('[1]TrialBalance (Quarter)'!$A:$L,MATCH([1]TBMapping!$C1093,'[1]TrialBalance (Quarter)'!A:A,0),MATCH([1]TBMapping!M$3,'[1]TrialBalance (Quarter)'!$7:$7,0)),0)</f>
        <v>0</v>
      </c>
      <c r="M1091" s="5">
        <f>IFERROR(INDEX('[1]TrialBalance (Quarter)'!$A:$L,MATCH([1]TBMapping!$C1093,'[1]TrialBalance (Quarter)'!A:A,0),MATCH([1]TBMapping!N$3,'[1]TrialBalance (Quarter)'!$7:$7,0)),0)</f>
        <v>0</v>
      </c>
      <c r="N1091" s="5">
        <f>IFERROR(INDEX('[1]TrialBalance (Quarter)'!$A:$L,MATCH([1]TBMapping!$C1093,'[1]TrialBalance (Quarter)'!A:A,0),MATCH([1]TBMapping!O$3,'[1]TrialBalance (Quarter)'!$7:$7,0)),0)</f>
        <v>0</v>
      </c>
    </row>
    <row r="1092" spans="1:14">
      <c r="A1092" s="2">
        <v>23</v>
      </c>
      <c r="B1092" s="3">
        <v>491200</v>
      </c>
      <c r="C1092" s="10" t="s">
        <v>894</v>
      </c>
      <c r="D1092" s="10" t="s">
        <v>11</v>
      </c>
      <c r="E1092" s="10"/>
      <c r="F1092" s="5" t="e">
        <f>IF(DataExtraction="Manual",SUMIF('[1]TrialBalance (YTD)'!$C:$C,B1092,'[1]TrialBalance (YTD)'!$E:$E),SUMIF('[1]TrialBalance (YTD)'!$G:$G,B1092,'[1]TrialBalance (YTD)'!$I:$I))</f>
        <v>#VALUE!</v>
      </c>
      <c r="G1092" s="5">
        <f>IFERROR(INDEX('[1]TrialBalance (YTD)'!$G:$S,MATCH([1]TBMapping!$C1094,'[1]TrialBalance (YTD)'!G:G,0),MATCH([1]TBMapping!H$3,'[1]TrialBalance (YTD)'!$G$7:$Z$7,0)),0)</f>
        <v>0</v>
      </c>
      <c r="H1092" s="5" t="e">
        <f>SUMIF('[1]TrialBalance (YTD)'!G:G,B1092,'[1]TrialBalance (YTD)'!H:H)</f>
        <v>#VALUE!</v>
      </c>
      <c r="I1092" s="5">
        <f>IFERROR(INDEX('[1]TrialBalance (YTD)'!$G:$S,MATCH([1]TBMapping!$C1094,'[1]TrialBalance (YTD)'!G:G,0),MATCH([1]TBMapping!J$3,'[1]TrialBalance (YTD)'!$G$7:$Z$7,0)),0)</f>
        <v>0</v>
      </c>
      <c r="K1092" s="5" t="e">
        <f>SUMIF('[1]TrialBalance (Quarter)'!$A:$A,B1092,'[1]TrialBalance (Quarter)'!$B:$B)</f>
        <v>#VALUE!</v>
      </c>
      <c r="L1092" s="5">
        <f>IFERROR(INDEX('[1]TrialBalance (Quarter)'!$A:$L,MATCH([1]TBMapping!$C1094,'[1]TrialBalance (Quarter)'!A:A,0),MATCH([1]TBMapping!M$3,'[1]TrialBalance (Quarter)'!$7:$7,0)),0)</f>
        <v>0</v>
      </c>
      <c r="M1092" s="5">
        <f>IFERROR(INDEX('[1]TrialBalance (Quarter)'!$A:$L,MATCH([1]TBMapping!$C1094,'[1]TrialBalance (Quarter)'!A:A,0),MATCH([1]TBMapping!N$3,'[1]TrialBalance (Quarter)'!$7:$7,0)),0)</f>
        <v>0</v>
      </c>
      <c r="N1092" s="5">
        <f>IFERROR(INDEX('[1]TrialBalance (Quarter)'!$A:$L,MATCH([1]TBMapping!$C1094,'[1]TrialBalance (Quarter)'!A:A,0),MATCH([1]TBMapping!O$3,'[1]TrialBalance (Quarter)'!$7:$7,0)),0)</f>
        <v>0</v>
      </c>
    </row>
    <row r="1093" spans="1:14">
      <c r="A1093" s="2">
        <v>23</v>
      </c>
      <c r="B1093" s="3">
        <v>491300</v>
      </c>
      <c r="C1093" s="11" t="s">
        <v>895</v>
      </c>
      <c r="D1093" s="11" t="s">
        <v>16</v>
      </c>
      <c r="E1093" s="11"/>
      <c r="F1093" s="5" t="e">
        <f>IF(DataExtraction="Manual",SUMIF('[1]TrialBalance (YTD)'!$C:$C,B1093,'[1]TrialBalance (YTD)'!$E:$E),SUMIF('[1]TrialBalance (YTD)'!$G:$G,B1093,'[1]TrialBalance (YTD)'!$I:$I))</f>
        <v>#VALUE!</v>
      </c>
      <c r="G1093" s="5">
        <f>IFERROR(INDEX('[1]TrialBalance (YTD)'!$G:$S,MATCH([1]TBMapping!$C1095,'[1]TrialBalance (YTD)'!G:G,0),MATCH([1]TBMapping!H$3,'[1]TrialBalance (YTD)'!$G$7:$Z$7,0)),0)</f>
        <v>0</v>
      </c>
      <c r="H1093" s="5" t="e">
        <f>SUMIF('[1]TrialBalance (YTD)'!G:G,B1093,'[1]TrialBalance (YTD)'!H:H)</f>
        <v>#VALUE!</v>
      </c>
      <c r="I1093" s="5">
        <f>IFERROR(INDEX('[1]TrialBalance (YTD)'!$G:$S,MATCH([1]TBMapping!$C1095,'[1]TrialBalance (YTD)'!G:G,0),MATCH([1]TBMapping!J$3,'[1]TrialBalance (YTD)'!$G$7:$Z$7,0)),0)</f>
        <v>0</v>
      </c>
      <c r="K1093" s="5" t="e">
        <f>SUMIF('[1]TrialBalance (Quarter)'!$A:$A,B1093,'[1]TrialBalance (Quarter)'!$B:$B)</f>
        <v>#VALUE!</v>
      </c>
      <c r="L1093" s="5">
        <f>IFERROR(INDEX('[1]TrialBalance (Quarter)'!$A:$L,MATCH([1]TBMapping!$C1095,'[1]TrialBalance (Quarter)'!A:A,0),MATCH([1]TBMapping!M$3,'[1]TrialBalance (Quarter)'!$7:$7,0)),0)</f>
        <v>0</v>
      </c>
      <c r="M1093" s="5">
        <f>IFERROR(INDEX('[1]TrialBalance (Quarter)'!$A:$L,MATCH([1]TBMapping!$C1095,'[1]TrialBalance (Quarter)'!A:A,0),MATCH([1]TBMapping!N$3,'[1]TrialBalance (Quarter)'!$7:$7,0)),0)</f>
        <v>0</v>
      </c>
      <c r="N1093" s="5">
        <f>IFERROR(INDEX('[1]TrialBalance (Quarter)'!$A:$L,MATCH([1]TBMapping!$C1095,'[1]TrialBalance (Quarter)'!A:A,0),MATCH([1]TBMapping!O$3,'[1]TrialBalance (Quarter)'!$7:$7,0)),0)</f>
        <v>0</v>
      </c>
    </row>
    <row r="1094" spans="1:14">
      <c r="A1094" s="2">
        <v>23</v>
      </c>
      <c r="B1094" s="3">
        <v>491400</v>
      </c>
      <c r="C1094" s="10" t="s">
        <v>895</v>
      </c>
      <c r="D1094" s="10" t="s">
        <v>16</v>
      </c>
      <c r="E1094" s="10"/>
      <c r="F1094" s="5" t="e">
        <f>IF(DataExtraction="Manual",SUMIF('[1]TrialBalance (YTD)'!$C:$C,B1094,'[1]TrialBalance (YTD)'!$E:$E),SUMIF('[1]TrialBalance (YTD)'!$G:$G,B1094,'[1]TrialBalance (YTD)'!$I:$I))</f>
        <v>#VALUE!</v>
      </c>
      <c r="G1094" s="5">
        <f>IFERROR(INDEX('[1]TrialBalance (YTD)'!$G:$S,MATCH([1]TBMapping!$C1096,'[1]TrialBalance (YTD)'!G:G,0),MATCH([1]TBMapping!H$3,'[1]TrialBalance (YTD)'!$G$7:$Z$7,0)),0)</f>
        <v>0</v>
      </c>
      <c r="H1094" s="5" t="e">
        <f>SUMIF('[1]TrialBalance (YTD)'!G:G,B1094,'[1]TrialBalance (YTD)'!H:H)</f>
        <v>#VALUE!</v>
      </c>
      <c r="I1094" s="5">
        <f>IFERROR(INDEX('[1]TrialBalance (YTD)'!$G:$S,MATCH([1]TBMapping!$C1096,'[1]TrialBalance (YTD)'!G:G,0),MATCH([1]TBMapping!J$3,'[1]TrialBalance (YTD)'!$G$7:$Z$7,0)),0)</f>
        <v>0</v>
      </c>
      <c r="K1094" s="5" t="e">
        <f>SUMIF('[1]TrialBalance (Quarter)'!$A:$A,B1094,'[1]TrialBalance (Quarter)'!$B:$B)</f>
        <v>#VALUE!</v>
      </c>
      <c r="L1094" s="5">
        <f>IFERROR(INDEX('[1]TrialBalance (Quarter)'!$A:$L,MATCH([1]TBMapping!$C1096,'[1]TrialBalance (Quarter)'!A:A,0),MATCH([1]TBMapping!M$3,'[1]TrialBalance (Quarter)'!$7:$7,0)),0)</f>
        <v>0</v>
      </c>
      <c r="M1094" s="5">
        <f>IFERROR(INDEX('[1]TrialBalance (Quarter)'!$A:$L,MATCH([1]TBMapping!$C1096,'[1]TrialBalance (Quarter)'!A:A,0),MATCH([1]TBMapping!N$3,'[1]TrialBalance (Quarter)'!$7:$7,0)),0)</f>
        <v>0</v>
      </c>
      <c r="N1094" s="5">
        <f>IFERROR(INDEX('[1]TrialBalance (Quarter)'!$A:$L,MATCH([1]TBMapping!$C1096,'[1]TrialBalance (Quarter)'!A:A,0),MATCH([1]TBMapping!O$3,'[1]TrialBalance (Quarter)'!$7:$7,0)),0)</f>
        <v>0</v>
      </c>
    </row>
    <row r="1095" spans="1:14">
      <c r="B1095" s="3">
        <v>491999</v>
      </c>
      <c r="C1095" s="11" t="s">
        <v>896</v>
      </c>
      <c r="D1095" s="11" t="s">
        <v>5</v>
      </c>
      <c r="E1095" s="11"/>
      <c r="F1095" s="5" t="e">
        <f>IF(DataExtraction="Manual",SUMIF('[1]TrialBalance (YTD)'!$C:$C,B1095,'[1]TrialBalance (YTD)'!$E:$E),SUMIF('[1]TrialBalance (YTD)'!$G:$G,B1095,'[1]TrialBalance (YTD)'!$I:$I))</f>
        <v>#VALUE!</v>
      </c>
      <c r="G1095" s="5">
        <f>IFERROR(INDEX('[1]TrialBalance (YTD)'!$G:$S,MATCH([1]TBMapping!$C1097,'[1]TrialBalance (YTD)'!G:G,0),MATCH([1]TBMapping!H$3,'[1]TrialBalance (YTD)'!$G$7:$Z$7,0)),0)</f>
        <v>0</v>
      </c>
      <c r="H1095" s="5" t="e">
        <f>SUMIF('[1]TrialBalance (YTD)'!G:G,B1095,'[1]TrialBalance (YTD)'!H:H)</f>
        <v>#VALUE!</v>
      </c>
      <c r="I1095" s="5">
        <f>IFERROR(INDEX('[1]TrialBalance (YTD)'!$G:$S,MATCH([1]TBMapping!$C1097,'[1]TrialBalance (YTD)'!G:G,0),MATCH([1]TBMapping!J$3,'[1]TrialBalance (YTD)'!$G$7:$Z$7,0)),0)</f>
        <v>0</v>
      </c>
      <c r="K1095" s="5" t="e">
        <f>SUMIF('[1]TrialBalance (Quarter)'!$A:$A,B1095,'[1]TrialBalance (Quarter)'!$B:$B)</f>
        <v>#VALUE!</v>
      </c>
      <c r="L1095" s="5">
        <f>IFERROR(INDEX('[1]TrialBalance (Quarter)'!$A:$L,MATCH([1]TBMapping!$C1097,'[1]TrialBalance (Quarter)'!A:A,0),MATCH([1]TBMapping!M$3,'[1]TrialBalance (Quarter)'!$7:$7,0)),0)</f>
        <v>0</v>
      </c>
      <c r="M1095" s="5">
        <f>IFERROR(INDEX('[1]TrialBalance (Quarter)'!$A:$L,MATCH([1]TBMapping!$C1097,'[1]TrialBalance (Quarter)'!A:A,0),MATCH([1]TBMapping!N$3,'[1]TrialBalance (Quarter)'!$7:$7,0)),0)</f>
        <v>0</v>
      </c>
      <c r="N1095" s="5">
        <f>IFERROR(INDEX('[1]TrialBalance (Quarter)'!$A:$L,MATCH([1]TBMapping!$C1097,'[1]TrialBalance (Quarter)'!A:A,0),MATCH([1]TBMapping!O$3,'[1]TrialBalance (Quarter)'!$7:$7,0)),0)</f>
        <v>0</v>
      </c>
    </row>
    <row r="1096" spans="1:14">
      <c r="B1096" s="3">
        <v>499999</v>
      </c>
      <c r="C1096" s="10" t="s">
        <v>897</v>
      </c>
      <c r="D1096" s="10" t="s">
        <v>5</v>
      </c>
      <c r="E1096" s="10"/>
      <c r="F1096" s="5" t="e">
        <f>IF(DataExtraction="Manual",SUMIF('[1]TrialBalance (YTD)'!$C:$C,B1096,'[1]TrialBalance (YTD)'!$E:$E),SUMIF('[1]TrialBalance (YTD)'!$G:$G,B1096,'[1]TrialBalance (YTD)'!$I:$I))</f>
        <v>#VALUE!</v>
      </c>
      <c r="G1096" s="5">
        <f>IFERROR(INDEX('[1]TrialBalance (YTD)'!$G:$S,MATCH([1]TBMapping!$C1098,'[1]TrialBalance (YTD)'!G:G,0),MATCH([1]TBMapping!H$3,'[1]TrialBalance (YTD)'!$G$7:$Z$7,0)),0)</f>
        <v>0</v>
      </c>
      <c r="H1096" s="5" t="e">
        <f>SUMIF('[1]TrialBalance (YTD)'!G:G,B1096,'[1]TrialBalance (YTD)'!H:H)</f>
        <v>#VALUE!</v>
      </c>
      <c r="I1096" s="5">
        <f>IFERROR(INDEX('[1]TrialBalance (YTD)'!$G:$S,MATCH([1]TBMapping!$C1098,'[1]TrialBalance (YTD)'!G:G,0),MATCH([1]TBMapping!J$3,'[1]TrialBalance (YTD)'!$G$7:$Z$7,0)),0)</f>
        <v>0</v>
      </c>
      <c r="K1096" s="5" t="e">
        <f>SUMIF('[1]TrialBalance (Quarter)'!$A:$A,B1096,'[1]TrialBalance (Quarter)'!$B:$B)</f>
        <v>#VALUE!</v>
      </c>
      <c r="L1096" s="5">
        <f>IFERROR(INDEX('[1]TrialBalance (Quarter)'!$A:$L,MATCH([1]TBMapping!$C1098,'[1]TrialBalance (Quarter)'!A:A,0),MATCH([1]TBMapping!M$3,'[1]TrialBalance (Quarter)'!$7:$7,0)),0)</f>
        <v>0</v>
      </c>
      <c r="M1096" s="5">
        <f>IFERROR(INDEX('[1]TrialBalance (Quarter)'!$A:$L,MATCH([1]TBMapping!$C1098,'[1]TrialBalance (Quarter)'!A:A,0),MATCH([1]TBMapping!N$3,'[1]TrialBalance (Quarter)'!$7:$7,0)),0)</f>
        <v>0</v>
      </c>
      <c r="N1096" s="5">
        <f>IFERROR(INDEX('[1]TrialBalance (Quarter)'!$A:$L,MATCH([1]TBMapping!$C1098,'[1]TrialBalance (Quarter)'!A:A,0),MATCH([1]TBMapping!O$3,'[1]TrialBalance (Quarter)'!$7:$7,0)),0)</f>
        <v>0</v>
      </c>
    </row>
    <row r="1097" spans="1:14">
      <c r="B1097" s="3">
        <v>500000</v>
      </c>
      <c r="C1097" s="11" t="s">
        <v>898</v>
      </c>
      <c r="D1097" s="11" t="s">
        <v>11</v>
      </c>
      <c r="E1097" s="11"/>
      <c r="F1097" s="5" t="e">
        <f>IF(DataExtraction="Manual",SUMIF('[1]TrialBalance (YTD)'!$C:$C,B1097,'[1]TrialBalance (YTD)'!$E:$E),SUMIF('[1]TrialBalance (YTD)'!$G:$G,B1097,'[1]TrialBalance (YTD)'!$I:$I))</f>
        <v>#VALUE!</v>
      </c>
      <c r="G1097" s="5">
        <f>IFERROR(INDEX('[1]TrialBalance (YTD)'!$G:$S,MATCH([1]TBMapping!$C1099,'[1]TrialBalance (YTD)'!G:G,0),MATCH([1]TBMapping!H$3,'[1]TrialBalance (YTD)'!$G$7:$Z$7,0)),0)</f>
        <v>0</v>
      </c>
      <c r="H1097" s="5" t="e">
        <f>SUMIF('[1]TrialBalance (YTD)'!G:G,B1097,'[1]TrialBalance (YTD)'!H:H)</f>
        <v>#VALUE!</v>
      </c>
      <c r="I1097" s="5">
        <f>IFERROR(INDEX('[1]TrialBalance (YTD)'!$G:$S,MATCH([1]TBMapping!$C1099,'[1]TrialBalance (YTD)'!G:G,0),MATCH([1]TBMapping!J$3,'[1]TrialBalance (YTD)'!$G$7:$Z$7,0)),0)</f>
        <v>0</v>
      </c>
      <c r="K1097" s="5" t="e">
        <f>SUMIF('[1]TrialBalance (Quarter)'!$A:$A,B1097,'[1]TrialBalance (Quarter)'!$B:$B)</f>
        <v>#VALUE!</v>
      </c>
      <c r="L1097" s="5">
        <f>IFERROR(INDEX('[1]TrialBalance (Quarter)'!$A:$L,MATCH([1]TBMapping!$C1099,'[1]TrialBalance (Quarter)'!A:A,0),MATCH([1]TBMapping!M$3,'[1]TrialBalance (Quarter)'!$7:$7,0)),0)</f>
        <v>0</v>
      </c>
      <c r="M1097" s="5">
        <f>IFERROR(INDEX('[1]TrialBalance (Quarter)'!$A:$L,MATCH([1]TBMapping!$C1099,'[1]TrialBalance (Quarter)'!A:A,0),MATCH([1]TBMapping!N$3,'[1]TrialBalance (Quarter)'!$7:$7,0)),0)</f>
        <v>0</v>
      </c>
      <c r="N1097" s="5">
        <f>IFERROR(INDEX('[1]TrialBalance (Quarter)'!$A:$L,MATCH([1]TBMapping!$C1099,'[1]TrialBalance (Quarter)'!A:A,0),MATCH([1]TBMapping!O$3,'[1]TrialBalance (Quarter)'!$7:$7,0)),0)</f>
        <v>0</v>
      </c>
    </row>
    <row r="1098" spans="1:14">
      <c r="B1098" s="3">
        <v>500050</v>
      </c>
      <c r="C1098" s="10" t="s">
        <v>509</v>
      </c>
      <c r="D1098" s="10" t="s">
        <v>11</v>
      </c>
      <c r="E1098" s="10"/>
      <c r="F1098" s="5" t="e">
        <f>IF(DataExtraction="Manual",SUMIF('[1]TrialBalance (YTD)'!$C:$C,B1098,'[1]TrialBalance (YTD)'!$E:$E),SUMIF('[1]TrialBalance (YTD)'!$G:$G,B1098,'[1]TrialBalance (YTD)'!$I:$I))</f>
        <v>#VALUE!</v>
      </c>
      <c r="G1098" s="5">
        <f>IFERROR(INDEX('[1]TrialBalance (YTD)'!$G:$S,MATCH([1]TBMapping!$C1100,'[1]TrialBalance (YTD)'!G:G,0),MATCH([1]TBMapping!H$3,'[1]TrialBalance (YTD)'!$G$7:$Z$7,0)),0)</f>
        <v>0</v>
      </c>
      <c r="H1098" s="5" t="e">
        <f>SUMIF('[1]TrialBalance (YTD)'!G:G,B1098,'[1]TrialBalance (YTD)'!H:H)</f>
        <v>#VALUE!</v>
      </c>
      <c r="I1098" s="5">
        <f>IFERROR(INDEX('[1]TrialBalance (YTD)'!$G:$S,MATCH([1]TBMapping!$C1100,'[1]TrialBalance (YTD)'!G:G,0),MATCH([1]TBMapping!J$3,'[1]TrialBalance (YTD)'!$G$7:$Z$7,0)),0)</f>
        <v>0</v>
      </c>
      <c r="K1098" s="5" t="e">
        <f>SUMIF('[1]TrialBalance (Quarter)'!$A:$A,B1098,'[1]TrialBalance (Quarter)'!$B:$B)</f>
        <v>#VALUE!</v>
      </c>
      <c r="L1098" s="5">
        <f>IFERROR(INDEX('[1]TrialBalance (Quarter)'!$A:$L,MATCH([1]TBMapping!$C1100,'[1]TrialBalance (Quarter)'!A:A,0),MATCH([1]TBMapping!M$3,'[1]TrialBalance (Quarter)'!$7:$7,0)),0)</f>
        <v>0</v>
      </c>
      <c r="M1098" s="5">
        <f>IFERROR(INDEX('[1]TrialBalance (Quarter)'!$A:$L,MATCH([1]TBMapping!$C1100,'[1]TrialBalance (Quarter)'!A:A,0),MATCH([1]TBMapping!N$3,'[1]TrialBalance (Quarter)'!$7:$7,0)),0)</f>
        <v>-4535209.3499999996</v>
      </c>
      <c r="N1098" s="5">
        <f>IFERROR(INDEX('[1]TrialBalance (Quarter)'!$A:$L,MATCH([1]TBMapping!$C1100,'[1]TrialBalance (Quarter)'!A:A,0),MATCH([1]TBMapping!O$3,'[1]TrialBalance (Quarter)'!$7:$7,0)),0)</f>
        <v>0</v>
      </c>
    </row>
    <row r="1099" spans="1:14">
      <c r="A1099" s="2">
        <v>28</v>
      </c>
      <c r="B1099" s="3">
        <v>500110</v>
      </c>
      <c r="C1099" s="11" t="s">
        <v>510</v>
      </c>
      <c r="D1099" s="11" t="s">
        <v>11</v>
      </c>
      <c r="E1099" s="11"/>
      <c r="F1099" s="5" t="e">
        <f>IF(DataExtraction="Manual",SUMIF('[1]TrialBalance (YTD)'!$C:$C,B1099,'[1]TrialBalance (YTD)'!$E:$E),SUMIF('[1]TrialBalance (YTD)'!$G:$G,B1099,'[1]TrialBalance (YTD)'!$I:$I))</f>
        <v>#VALUE!</v>
      </c>
      <c r="G1099" s="5">
        <f>IFERROR(INDEX('[1]TrialBalance (YTD)'!$G:$S,MATCH([1]TBMapping!$C1101,'[1]TrialBalance (YTD)'!G:G,0),MATCH([1]TBMapping!H$3,'[1]TrialBalance (YTD)'!$G$7:$Z$7,0)),0)</f>
        <v>0</v>
      </c>
      <c r="H1099" s="5" t="e">
        <f>SUMIF('[1]TrialBalance (YTD)'!G:G,B1099,'[1]TrialBalance (YTD)'!H:H)</f>
        <v>#VALUE!</v>
      </c>
      <c r="I1099" s="5">
        <f>IFERROR(INDEX('[1]TrialBalance (YTD)'!$G:$S,MATCH([1]TBMapping!$C1101,'[1]TrialBalance (YTD)'!G:G,0),MATCH([1]TBMapping!J$3,'[1]TrialBalance (YTD)'!$G$7:$Z$7,0)),0)</f>
        <v>0</v>
      </c>
      <c r="K1099" s="5" t="e">
        <f>SUMIF('[1]TrialBalance (Quarter)'!$A:$A,B1099,'[1]TrialBalance (Quarter)'!$B:$B)</f>
        <v>#VALUE!</v>
      </c>
      <c r="L1099" s="5">
        <f>IFERROR(INDEX('[1]TrialBalance (Quarter)'!$A:$L,MATCH([1]TBMapping!$C1101,'[1]TrialBalance (Quarter)'!A:A,0),MATCH([1]TBMapping!M$3,'[1]TrialBalance (Quarter)'!$7:$7,0)),0)</f>
        <v>0</v>
      </c>
      <c r="M1099" s="5">
        <f>IFERROR(INDEX('[1]TrialBalance (Quarter)'!$A:$L,MATCH([1]TBMapping!$C1101,'[1]TrialBalance (Quarter)'!A:A,0),MATCH([1]TBMapping!N$3,'[1]TrialBalance (Quarter)'!$7:$7,0)),0)</f>
        <v>0</v>
      </c>
      <c r="N1099" s="5">
        <f>IFERROR(INDEX('[1]TrialBalance (Quarter)'!$A:$L,MATCH([1]TBMapping!$C1101,'[1]TrialBalance (Quarter)'!A:A,0),MATCH([1]TBMapping!O$3,'[1]TrialBalance (Quarter)'!$7:$7,0)),0)</f>
        <v>0</v>
      </c>
    </row>
    <row r="1100" spans="1:14">
      <c r="A1100" s="2">
        <v>28</v>
      </c>
      <c r="B1100" s="3">
        <v>500120</v>
      </c>
      <c r="C1100" s="10" t="s">
        <v>899</v>
      </c>
      <c r="D1100" s="10" t="s">
        <v>11</v>
      </c>
      <c r="E1100" s="10"/>
      <c r="F1100" s="5" t="e">
        <f>IF(DataExtraction="Manual",SUMIF('[1]TrialBalance (YTD)'!$C:$C,B1100,'[1]TrialBalance (YTD)'!$E:$E),SUMIF('[1]TrialBalance (YTD)'!$G:$G,B1100,'[1]TrialBalance (YTD)'!$I:$I))</f>
        <v>#VALUE!</v>
      </c>
      <c r="G1100" s="5">
        <f>IFERROR(INDEX('[1]TrialBalance (YTD)'!$G:$S,MATCH([1]TBMapping!$C1102,'[1]TrialBalance (YTD)'!G:G,0),MATCH([1]TBMapping!H$3,'[1]TrialBalance (YTD)'!$G$7:$Z$7,0)),0)</f>
        <v>0</v>
      </c>
      <c r="H1100" s="5" t="e">
        <f>SUMIF('[1]TrialBalance (YTD)'!G:G,B1100,'[1]TrialBalance (YTD)'!H:H)</f>
        <v>#VALUE!</v>
      </c>
      <c r="I1100" s="5">
        <f>IFERROR(INDEX('[1]TrialBalance (YTD)'!$G:$S,MATCH([1]TBMapping!$C1102,'[1]TrialBalance (YTD)'!G:G,0),MATCH([1]TBMapping!J$3,'[1]TrialBalance (YTD)'!$G$7:$Z$7,0)),0)</f>
        <v>0</v>
      </c>
      <c r="K1100" s="5" t="e">
        <f>SUMIF('[1]TrialBalance (Quarter)'!$A:$A,B1100,'[1]TrialBalance (Quarter)'!$B:$B)</f>
        <v>#VALUE!</v>
      </c>
      <c r="L1100" s="5">
        <f>IFERROR(INDEX('[1]TrialBalance (Quarter)'!$A:$L,MATCH([1]TBMapping!$C1102,'[1]TrialBalance (Quarter)'!A:A,0),MATCH([1]TBMapping!M$3,'[1]TrialBalance (Quarter)'!$7:$7,0)),0)</f>
        <v>0</v>
      </c>
      <c r="M1100" s="5">
        <f>IFERROR(INDEX('[1]TrialBalance (Quarter)'!$A:$L,MATCH([1]TBMapping!$C1102,'[1]TrialBalance (Quarter)'!A:A,0),MATCH([1]TBMapping!N$3,'[1]TrialBalance (Quarter)'!$7:$7,0)),0)</f>
        <v>0</v>
      </c>
      <c r="N1100" s="5">
        <f>IFERROR(INDEX('[1]TrialBalance (Quarter)'!$A:$L,MATCH([1]TBMapping!$C1102,'[1]TrialBalance (Quarter)'!A:A,0),MATCH([1]TBMapping!O$3,'[1]TrialBalance (Quarter)'!$7:$7,0)),0)</f>
        <v>0</v>
      </c>
    </row>
    <row r="1101" spans="1:14">
      <c r="A1101" s="2">
        <v>28</v>
      </c>
      <c r="B1101" s="3">
        <v>500130</v>
      </c>
      <c r="C1101" s="11" t="s">
        <v>900</v>
      </c>
      <c r="D1101" s="11" t="s">
        <v>11</v>
      </c>
      <c r="E1101" s="11"/>
      <c r="F1101" s="5" t="e">
        <f>IF(DataExtraction="Manual",SUMIF('[1]TrialBalance (YTD)'!$C:$C,B1101,'[1]TrialBalance (YTD)'!$E:$E),SUMIF('[1]TrialBalance (YTD)'!$G:$G,B1101,'[1]TrialBalance (YTD)'!$I:$I))</f>
        <v>#VALUE!</v>
      </c>
      <c r="G1101" s="5">
        <f>IFERROR(INDEX('[1]TrialBalance (YTD)'!$G:$S,MATCH([1]TBMapping!$C1103,'[1]TrialBalance (YTD)'!G:G,0),MATCH([1]TBMapping!H$3,'[1]TrialBalance (YTD)'!$G$7:$Z$7,0)),0)</f>
        <v>0</v>
      </c>
      <c r="H1101" s="5" t="e">
        <f>SUMIF('[1]TrialBalance (YTD)'!G:G,B1101,'[1]TrialBalance (YTD)'!H:H)</f>
        <v>#VALUE!</v>
      </c>
      <c r="I1101" s="5">
        <f>IFERROR(INDEX('[1]TrialBalance (YTD)'!$G:$S,MATCH([1]TBMapping!$C1103,'[1]TrialBalance (YTD)'!G:G,0),MATCH([1]TBMapping!J$3,'[1]TrialBalance (YTD)'!$G$7:$Z$7,0)),0)</f>
        <v>-4535209.3499999996</v>
      </c>
      <c r="K1101" s="5" t="e">
        <f>SUMIF('[1]TrialBalance (Quarter)'!$A:$A,B1101,'[1]TrialBalance (Quarter)'!$B:$B)</f>
        <v>#VALUE!</v>
      </c>
      <c r="L1101" s="5">
        <f>IFERROR(INDEX('[1]TrialBalance (Quarter)'!$A:$L,MATCH([1]TBMapping!$C1103,'[1]TrialBalance (Quarter)'!A:A,0),MATCH([1]TBMapping!M$3,'[1]TrialBalance (Quarter)'!$7:$7,0)),0)</f>
        <v>0</v>
      </c>
      <c r="M1101" s="5">
        <f>IFERROR(INDEX('[1]TrialBalance (Quarter)'!$A:$L,MATCH([1]TBMapping!$C1103,'[1]TrialBalance (Quarter)'!A:A,0),MATCH([1]TBMapping!N$3,'[1]TrialBalance (Quarter)'!$7:$7,0)),0)</f>
        <v>4535209.3499999996</v>
      </c>
      <c r="N1101" s="5">
        <f>IFERROR(INDEX('[1]TrialBalance (Quarter)'!$A:$L,MATCH([1]TBMapping!$C1103,'[1]TrialBalance (Quarter)'!A:A,0),MATCH([1]TBMapping!O$3,'[1]TrialBalance (Quarter)'!$7:$7,0)),0)</f>
        <v>0</v>
      </c>
    </row>
    <row r="1102" spans="1:14">
      <c r="A1102" s="2">
        <v>28</v>
      </c>
      <c r="B1102" s="3">
        <v>500140</v>
      </c>
      <c r="C1102" s="10" t="s">
        <v>901</v>
      </c>
      <c r="D1102" s="10" t="s">
        <v>11</v>
      </c>
      <c r="E1102" s="10"/>
      <c r="F1102" s="5" t="e">
        <f>IF(DataExtraction="Manual",SUMIF('[1]TrialBalance (YTD)'!$C:$C,B1102,'[1]TrialBalance (YTD)'!$E:$E),SUMIF('[1]TrialBalance (YTD)'!$G:$G,B1102,'[1]TrialBalance (YTD)'!$I:$I))</f>
        <v>#VALUE!</v>
      </c>
      <c r="G1102" s="5">
        <f>IFERROR(INDEX('[1]TrialBalance (YTD)'!$G:$S,MATCH([1]TBMapping!$C1104,'[1]TrialBalance (YTD)'!G:G,0),MATCH([1]TBMapping!H$3,'[1]TrialBalance (YTD)'!$G$7:$Z$7,0)),0)</f>
        <v>0</v>
      </c>
      <c r="H1102" s="5" t="e">
        <f>SUMIF('[1]TrialBalance (YTD)'!G:G,B1102,'[1]TrialBalance (YTD)'!H:H)</f>
        <v>#VALUE!</v>
      </c>
      <c r="I1102" s="5">
        <f>IFERROR(INDEX('[1]TrialBalance (YTD)'!$G:$S,MATCH([1]TBMapping!$C1104,'[1]TrialBalance (YTD)'!G:G,0),MATCH([1]TBMapping!J$3,'[1]TrialBalance (YTD)'!$G$7:$Z$7,0)),0)</f>
        <v>0</v>
      </c>
      <c r="K1102" s="5" t="e">
        <f>SUMIF('[1]TrialBalance (Quarter)'!$A:$A,B1102,'[1]TrialBalance (Quarter)'!$B:$B)</f>
        <v>#VALUE!</v>
      </c>
      <c r="L1102" s="5">
        <f>IFERROR(INDEX('[1]TrialBalance (Quarter)'!$A:$L,MATCH([1]TBMapping!$C1104,'[1]TrialBalance (Quarter)'!A:A,0),MATCH([1]TBMapping!M$3,'[1]TrialBalance (Quarter)'!$7:$7,0)),0)</f>
        <v>0</v>
      </c>
      <c r="M1102" s="5">
        <f>IFERROR(INDEX('[1]TrialBalance (Quarter)'!$A:$L,MATCH([1]TBMapping!$C1104,'[1]TrialBalance (Quarter)'!A:A,0),MATCH([1]TBMapping!N$3,'[1]TrialBalance (Quarter)'!$7:$7,0)),0)</f>
        <v>0</v>
      </c>
      <c r="N1102" s="5">
        <f>IFERROR(INDEX('[1]TrialBalance (Quarter)'!$A:$L,MATCH([1]TBMapping!$C1104,'[1]TrialBalance (Quarter)'!A:A,0),MATCH([1]TBMapping!O$3,'[1]TrialBalance (Quarter)'!$7:$7,0)),0)</f>
        <v>0</v>
      </c>
    </row>
    <row r="1103" spans="1:14">
      <c r="A1103" s="2">
        <v>28</v>
      </c>
      <c r="B1103" s="3">
        <v>500150</v>
      </c>
      <c r="C1103" s="11" t="s">
        <v>902</v>
      </c>
      <c r="D1103" s="11" t="s">
        <v>16</v>
      </c>
      <c r="E1103" s="11"/>
      <c r="F1103" s="5" t="e">
        <f>IF(DataExtraction="Manual",SUMIF('[1]TrialBalance (YTD)'!$C:$C,B1103,'[1]TrialBalance (YTD)'!$E:$E),SUMIF('[1]TrialBalance (YTD)'!$G:$G,B1103,'[1]TrialBalance (YTD)'!$I:$I))</f>
        <v>#VALUE!</v>
      </c>
      <c r="G1103" s="5">
        <f>IFERROR(INDEX('[1]TrialBalance (YTD)'!$G:$S,MATCH([1]TBMapping!$C1105,'[1]TrialBalance (YTD)'!G:G,0),MATCH([1]TBMapping!H$3,'[1]TrialBalance (YTD)'!$G$7:$Z$7,0)),0)</f>
        <v>0</v>
      </c>
      <c r="H1103" s="5" t="e">
        <f>SUMIF('[1]TrialBalance (YTD)'!G:G,B1103,'[1]TrialBalance (YTD)'!H:H)</f>
        <v>#VALUE!</v>
      </c>
      <c r="I1103" s="5">
        <f>IFERROR(INDEX('[1]TrialBalance (YTD)'!$G:$S,MATCH([1]TBMapping!$C1105,'[1]TrialBalance (YTD)'!G:G,0),MATCH([1]TBMapping!J$3,'[1]TrialBalance (YTD)'!$G$7:$Z$7,0)),0)</f>
        <v>0</v>
      </c>
      <c r="K1103" s="5" t="e">
        <f>SUMIF('[1]TrialBalance (Quarter)'!$A:$A,B1103,'[1]TrialBalance (Quarter)'!$B:$B)</f>
        <v>#VALUE!</v>
      </c>
      <c r="L1103" s="5">
        <f>IFERROR(INDEX('[1]TrialBalance (Quarter)'!$A:$L,MATCH([1]TBMapping!$C1105,'[1]TrialBalance (Quarter)'!A:A,0),MATCH([1]TBMapping!M$3,'[1]TrialBalance (Quarter)'!$7:$7,0)),0)</f>
        <v>0</v>
      </c>
      <c r="M1103" s="5">
        <f>IFERROR(INDEX('[1]TrialBalance (Quarter)'!$A:$L,MATCH([1]TBMapping!$C1105,'[1]TrialBalance (Quarter)'!A:A,0),MATCH([1]TBMapping!N$3,'[1]TrialBalance (Quarter)'!$7:$7,0)),0)</f>
        <v>0</v>
      </c>
      <c r="N1103" s="5">
        <f>IFERROR(INDEX('[1]TrialBalance (Quarter)'!$A:$L,MATCH([1]TBMapping!$C1105,'[1]TrialBalance (Quarter)'!A:A,0),MATCH([1]TBMapping!O$3,'[1]TrialBalance (Quarter)'!$7:$7,0)),0)</f>
        <v>0</v>
      </c>
    </row>
    <row r="1104" spans="1:14">
      <c r="A1104" s="2">
        <v>28</v>
      </c>
      <c r="B1104" s="3">
        <v>500160</v>
      </c>
      <c r="C1104" s="10" t="s">
        <v>903</v>
      </c>
      <c r="D1104" s="10" t="s">
        <v>5</v>
      </c>
      <c r="E1104" s="10"/>
      <c r="F1104" s="5" t="e">
        <f>IF(DataExtraction="Manual",SUMIF('[1]TrialBalance (YTD)'!$C:$C,B1104,'[1]TrialBalance (YTD)'!$E:$E),SUMIF('[1]TrialBalance (YTD)'!$G:$G,B1104,'[1]TrialBalance (YTD)'!$I:$I))</f>
        <v>#VALUE!</v>
      </c>
      <c r="G1104" s="5">
        <f>IFERROR(INDEX('[1]TrialBalance (YTD)'!$G:$S,MATCH([1]TBMapping!$C1106,'[1]TrialBalance (YTD)'!G:G,0),MATCH([1]TBMapping!H$3,'[1]TrialBalance (YTD)'!$G$7:$Z$7,0)),0)</f>
        <v>0</v>
      </c>
      <c r="H1104" s="5" t="e">
        <f>SUMIF('[1]TrialBalance (YTD)'!G:G,B1104,'[1]TrialBalance (YTD)'!H:H)</f>
        <v>#VALUE!</v>
      </c>
      <c r="I1104" s="5">
        <f>IFERROR(INDEX('[1]TrialBalance (YTD)'!$G:$S,MATCH([1]TBMapping!$C1106,'[1]TrialBalance (YTD)'!G:G,0),MATCH([1]TBMapping!J$3,'[1]TrialBalance (YTD)'!$G$7:$Z$7,0)),0)</f>
        <v>0</v>
      </c>
      <c r="K1104" s="5" t="e">
        <f>SUMIF('[1]TrialBalance (Quarter)'!$A:$A,B1104,'[1]TrialBalance (Quarter)'!$B:$B)</f>
        <v>#VALUE!</v>
      </c>
      <c r="L1104" s="5">
        <f>IFERROR(INDEX('[1]TrialBalance (Quarter)'!$A:$L,MATCH([1]TBMapping!$C1106,'[1]TrialBalance (Quarter)'!A:A,0),MATCH([1]TBMapping!M$3,'[1]TrialBalance (Quarter)'!$7:$7,0)),0)</f>
        <v>0</v>
      </c>
      <c r="M1104" s="5">
        <f>IFERROR(INDEX('[1]TrialBalance (Quarter)'!$A:$L,MATCH([1]TBMapping!$C1106,'[1]TrialBalance (Quarter)'!A:A,0),MATCH([1]TBMapping!N$3,'[1]TrialBalance (Quarter)'!$7:$7,0)),0)</f>
        <v>0</v>
      </c>
      <c r="N1104" s="5">
        <f>IFERROR(INDEX('[1]TrialBalance (Quarter)'!$A:$L,MATCH([1]TBMapping!$C1106,'[1]TrialBalance (Quarter)'!A:A,0),MATCH([1]TBMapping!O$3,'[1]TrialBalance (Quarter)'!$7:$7,0)),0)</f>
        <v>0</v>
      </c>
    </row>
    <row r="1105" spans="1:14">
      <c r="B1105" s="3">
        <v>500199</v>
      </c>
      <c r="C1105" s="11" t="s">
        <v>904</v>
      </c>
      <c r="D1105" s="11" t="s">
        <v>11</v>
      </c>
      <c r="E1105" s="11"/>
      <c r="F1105" s="5" t="e">
        <f>IF(DataExtraction="Manual",SUMIF('[1]TrialBalance (YTD)'!$C:$C,B1105,'[1]TrialBalance (YTD)'!$E:$E),SUMIF('[1]TrialBalance (YTD)'!$G:$G,B1105,'[1]TrialBalance (YTD)'!$I:$I))</f>
        <v>#VALUE!</v>
      </c>
      <c r="G1105" s="5">
        <f>IFERROR(INDEX('[1]TrialBalance (YTD)'!$G:$S,MATCH([1]TBMapping!$C1107,'[1]TrialBalance (YTD)'!G:G,0),MATCH([1]TBMapping!H$3,'[1]TrialBalance (YTD)'!$G$7:$Z$7,0)),0)</f>
        <v>0</v>
      </c>
      <c r="H1105" s="5" t="e">
        <f>SUMIF('[1]TrialBalance (YTD)'!G:G,B1105,'[1]TrialBalance (YTD)'!H:H)</f>
        <v>#VALUE!</v>
      </c>
      <c r="I1105" s="5">
        <f>IFERROR(INDEX('[1]TrialBalance (YTD)'!$G:$S,MATCH([1]TBMapping!$C1107,'[1]TrialBalance (YTD)'!G:G,0),MATCH([1]TBMapping!J$3,'[1]TrialBalance (YTD)'!$G$7:$Z$7,0)),0)</f>
        <v>0</v>
      </c>
      <c r="K1105" s="5" t="e">
        <f>SUMIF('[1]TrialBalance (Quarter)'!$A:$A,B1105,'[1]TrialBalance (Quarter)'!$B:$B)</f>
        <v>#VALUE!</v>
      </c>
      <c r="L1105" s="5">
        <f>IFERROR(INDEX('[1]TrialBalance (Quarter)'!$A:$L,MATCH([1]TBMapping!$C1107,'[1]TrialBalance (Quarter)'!A:A,0),MATCH([1]TBMapping!M$3,'[1]TrialBalance (Quarter)'!$7:$7,0)),0)</f>
        <v>0</v>
      </c>
      <c r="M1105" s="5">
        <f>IFERROR(INDEX('[1]TrialBalance (Quarter)'!$A:$L,MATCH([1]TBMapping!$C1107,'[1]TrialBalance (Quarter)'!A:A,0),MATCH([1]TBMapping!N$3,'[1]TrialBalance (Quarter)'!$7:$7,0)),0)</f>
        <v>0</v>
      </c>
      <c r="N1105" s="5">
        <f>IFERROR(INDEX('[1]TrialBalance (Quarter)'!$A:$L,MATCH([1]TBMapping!$C1107,'[1]TrialBalance (Quarter)'!A:A,0),MATCH([1]TBMapping!O$3,'[1]TrialBalance (Quarter)'!$7:$7,0)),0)</f>
        <v>0</v>
      </c>
    </row>
    <row r="1106" spans="1:14">
      <c r="B1106" s="3">
        <v>510000</v>
      </c>
      <c r="C1106" s="10" t="s">
        <v>654</v>
      </c>
      <c r="D1106" s="10" t="s">
        <v>11</v>
      </c>
      <c r="E1106" s="10"/>
      <c r="F1106" s="5" t="e">
        <f>IF(DataExtraction="Manual",SUMIF('[1]TrialBalance (YTD)'!$C:$C,B1106,'[1]TrialBalance (YTD)'!$E:$E),SUMIF('[1]TrialBalance (YTD)'!$G:$G,B1106,'[1]TrialBalance (YTD)'!$I:$I))</f>
        <v>#VALUE!</v>
      </c>
      <c r="G1106" s="5">
        <f>IFERROR(INDEX('[1]TrialBalance (YTD)'!$G:$S,MATCH([1]TBMapping!$C1108,'[1]TrialBalance (YTD)'!G:G,0),MATCH([1]TBMapping!H$3,'[1]TrialBalance (YTD)'!$G$7:$Z$7,0)),0)</f>
        <v>0</v>
      </c>
      <c r="H1106" s="5" t="e">
        <f>SUMIF('[1]TrialBalance (YTD)'!G:G,B1106,'[1]TrialBalance (YTD)'!H:H)</f>
        <v>#VALUE!</v>
      </c>
      <c r="I1106" s="5">
        <f>IFERROR(INDEX('[1]TrialBalance (YTD)'!$G:$S,MATCH([1]TBMapping!$C1108,'[1]TrialBalance (YTD)'!G:G,0),MATCH([1]TBMapping!J$3,'[1]TrialBalance (YTD)'!$G$7:$Z$7,0)),0)</f>
        <v>0</v>
      </c>
      <c r="K1106" s="5" t="e">
        <f>SUMIF('[1]TrialBalance (Quarter)'!$A:$A,B1106,'[1]TrialBalance (Quarter)'!$B:$B)</f>
        <v>#VALUE!</v>
      </c>
      <c r="L1106" s="5">
        <f>IFERROR(INDEX('[1]TrialBalance (Quarter)'!$A:$L,MATCH([1]TBMapping!$C1108,'[1]TrialBalance (Quarter)'!A:A,0),MATCH([1]TBMapping!M$3,'[1]TrialBalance (Quarter)'!$7:$7,0)),0)</f>
        <v>0</v>
      </c>
      <c r="M1106" s="5">
        <f>IFERROR(INDEX('[1]TrialBalance (Quarter)'!$A:$L,MATCH([1]TBMapping!$C1108,'[1]TrialBalance (Quarter)'!A:A,0),MATCH([1]TBMapping!N$3,'[1]TrialBalance (Quarter)'!$7:$7,0)),0)</f>
        <v>0</v>
      </c>
      <c r="N1106" s="5">
        <f>IFERROR(INDEX('[1]TrialBalance (Quarter)'!$A:$L,MATCH([1]TBMapping!$C1108,'[1]TrialBalance (Quarter)'!A:A,0),MATCH([1]TBMapping!O$3,'[1]TrialBalance (Quarter)'!$7:$7,0)),0)</f>
        <v>0</v>
      </c>
    </row>
    <row r="1107" spans="1:14">
      <c r="A1107" s="2">
        <v>30</v>
      </c>
      <c r="B1107" s="3">
        <v>511000</v>
      </c>
      <c r="C1107" s="11" t="s">
        <v>905</v>
      </c>
      <c r="D1107" s="11" t="s">
        <v>11</v>
      </c>
      <c r="E1107" s="11"/>
      <c r="F1107" s="5" t="e">
        <f>IF(DataExtraction="Manual",SUMIF('[1]TrialBalance (YTD)'!$C:$C,B1107,'[1]TrialBalance (YTD)'!$E:$E),SUMIF('[1]TrialBalance (YTD)'!$G:$G,B1107,'[1]TrialBalance (YTD)'!$I:$I))</f>
        <v>#VALUE!</v>
      </c>
      <c r="G1107" s="5">
        <f>IFERROR(INDEX('[1]TrialBalance (YTD)'!$G:$S,MATCH([1]TBMapping!$C1109,'[1]TrialBalance (YTD)'!G:G,0),MATCH([1]TBMapping!H$3,'[1]TrialBalance (YTD)'!$G$7:$Z$7,0)),0)</f>
        <v>0</v>
      </c>
      <c r="H1107" s="5" t="e">
        <f>SUMIF('[1]TrialBalance (YTD)'!G:G,B1107,'[1]TrialBalance (YTD)'!H:H)</f>
        <v>#VALUE!</v>
      </c>
      <c r="I1107" s="5">
        <f>IFERROR(INDEX('[1]TrialBalance (YTD)'!$G:$S,MATCH([1]TBMapping!$C1109,'[1]TrialBalance (YTD)'!G:G,0),MATCH([1]TBMapping!J$3,'[1]TrialBalance (YTD)'!$G$7:$Z$7,0)),0)</f>
        <v>0</v>
      </c>
      <c r="K1107" s="5" t="e">
        <f>SUMIF('[1]TrialBalance (Quarter)'!$A:$A,B1107,'[1]TrialBalance (Quarter)'!$B:$B)</f>
        <v>#VALUE!</v>
      </c>
      <c r="L1107" s="5">
        <f>IFERROR(INDEX('[1]TrialBalance (Quarter)'!$A:$L,MATCH([1]TBMapping!$C1109,'[1]TrialBalance (Quarter)'!A:A,0),MATCH([1]TBMapping!M$3,'[1]TrialBalance (Quarter)'!$7:$7,0)),0)</f>
        <v>0</v>
      </c>
      <c r="M1107" s="5">
        <f>IFERROR(INDEX('[1]TrialBalance (Quarter)'!$A:$L,MATCH([1]TBMapping!$C1109,'[1]TrialBalance (Quarter)'!A:A,0),MATCH([1]TBMapping!N$3,'[1]TrialBalance (Quarter)'!$7:$7,0)),0)</f>
        <v>0</v>
      </c>
      <c r="N1107" s="5">
        <f>IFERROR(INDEX('[1]TrialBalance (Quarter)'!$A:$L,MATCH([1]TBMapping!$C1109,'[1]TrialBalance (Quarter)'!A:A,0),MATCH([1]TBMapping!O$3,'[1]TrialBalance (Quarter)'!$7:$7,0)),0)</f>
        <v>0</v>
      </c>
    </row>
    <row r="1108" spans="1:14">
      <c r="A1108" s="2">
        <v>30</v>
      </c>
      <c r="B1108" s="3">
        <v>511005</v>
      </c>
      <c r="C1108" s="10" t="s">
        <v>906</v>
      </c>
      <c r="D1108" s="10" t="s">
        <v>11</v>
      </c>
      <c r="E1108" s="10"/>
      <c r="F1108" s="5" t="e">
        <f>IF(DataExtraction="Manual",SUMIF('[1]TrialBalance (YTD)'!$C:$C,B1108,'[1]TrialBalance (YTD)'!$E:$E),SUMIF('[1]TrialBalance (YTD)'!$G:$G,B1108,'[1]TrialBalance (YTD)'!$I:$I))</f>
        <v>#VALUE!</v>
      </c>
      <c r="G1108" s="5">
        <f>IFERROR(INDEX('[1]TrialBalance (YTD)'!$G:$S,MATCH([1]TBMapping!$C1110,'[1]TrialBalance (YTD)'!G:G,0),MATCH([1]TBMapping!H$3,'[1]TrialBalance (YTD)'!$G$7:$Z$7,0)),0)</f>
        <v>0</v>
      </c>
      <c r="H1108" s="5" t="e">
        <f>SUMIF('[1]TrialBalance (YTD)'!G:G,B1108,'[1]TrialBalance (YTD)'!H:H)</f>
        <v>#VALUE!</v>
      </c>
      <c r="I1108" s="5">
        <f>IFERROR(INDEX('[1]TrialBalance (YTD)'!$G:$S,MATCH([1]TBMapping!$C1110,'[1]TrialBalance (YTD)'!G:G,0),MATCH([1]TBMapping!J$3,'[1]TrialBalance (YTD)'!$G$7:$Z$7,0)),0)</f>
        <v>0</v>
      </c>
      <c r="K1108" s="5" t="e">
        <f>SUMIF('[1]TrialBalance (Quarter)'!$A:$A,B1108,'[1]TrialBalance (Quarter)'!$B:$B)</f>
        <v>#VALUE!</v>
      </c>
      <c r="L1108" s="5">
        <f>IFERROR(INDEX('[1]TrialBalance (Quarter)'!$A:$L,MATCH([1]TBMapping!$C1110,'[1]TrialBalance (Quarter)'!A:A,0),MATCH([1]TBMapping!M$3,'[1]TrialBalance (Quarter)'!$7:$7,0)),0)</f>
        <v>0</v>
      </c>
      <c r="M1108" s="5">
        <f>IFERROR(INDEX('[1]TrialBalance (Quarter)'!$A:$L,MATCH([1]TBMapping!$C1110,'[1]TrialBalance (Quarter)'!A:A,0),MATCH([1]TBMapping!N$3,'[1]TrialBalance (Quarter)'!$7:$7,0)),0)</f>
        <v>0</v>
      </c>
      <c r="N1108" s="5">
        <f>IFERROR(INDEX('[1]TrialBalance (Quarter)'!$A:$L,MATCH([1]TBMapping!$C1110,'[1]TrialBalance (Quarter)'!A:A,0),MATCH([1]TBMapping!O$3,'[1]TrialBalance (Quarter)'!$7:$7,0)),0)</f>
        <v>0</v>
      </c>
    </row>
    <row r="1109" spans="1:14">
      <c r="A1109" s="2">
        <v>30</v>
      </c>
      <c r="B1109" s="3">
        <v>511010</v>
      </c>
      <c r="C1109" s="11" t="s">
        <v>656</v>
      </c>
      <c r="D1109" s="11" t="s">
        <v>11</v>
      </c>
      <c r="E1109" s="11"/>
      <c r="F1109" s="5" t="e">
        <f>IF(DataExtraction="Manual",SUMIF('[1]TrialBalance (YTD)'!$C:$C,B1109,'[1]TrialBalance (YTD)'!$E:$E),SUMIF('[1]TrialBalance (YTD)'!$G:$G,B1109,'[1]TrialBalance (YTD)'!$I:$I))</f>
        <v>#VALUE!</v>
      </c>
      <c r="G1109" s="5">
        <f>IFERROR(INDEX('[1]TrialBalance (YTD)'!$G:$S,MATCH([1]TBMapping!$C1111,'[1]TrialBalance (YTD)'!G:G,0),MATCH([1]TBMapping!H$3,'[1]TrialBalance (YTD)'!$G$7:$Z$7,0)),0)</f>
        <v>0</v>
      </c>
      <c r="H1109" s="5" t="e">
        <f>SUMIF('[1]TrialBalance (YTD)'!G:G,B1109,'[1]TrialBalance (YTD)'!H:H)</f>
        <v>#VALUE!</v>
      </c>
      <c r="I1109" s="5">
        <f>IFERROR(INDEX('[1]TrialBalance (YTD)'!$G:$S,MATCH([1]TBMapping!$C1111,'[1]TrialBalance (YTD)'!G:G,0),MATCH([1]TBMapping!J$3,'[1]TrialBalance (YTD)'!$G$7:$Z$7,0)),0)</f>
        <v>0</v>
      </c>
      <c r="K1109" s="5" t="e">
        <f>SUMIF('[1]TrialBalance (Quarter)'!$A:$A,B1109,'[1]TrialBalance (Quarter)'!$B:$B)</f>
        <v>#VALUE!</v>
      </c>
      <c r="L1109" s="5">
        <f>IFERROR(INDEX('[1]TrialBalance (Quarter)'!$A:$L,MATCH([1]TBMapping!$C1111,'[1]TrialBalance (Quarter)'!A:A,0),MATCH([1]TBMapping!M$3,'[1]TrialBalance (Quarter)'!$7:$7,0)),0)</f>
        <v>0</v>
      </c>
      <c r="M1109" s="5">
        <f>IFERROR(INDEX('[1]TrialBalance (Quarter)'!$A:$L,MATCH([1]TBMapping!$C1111,'[1]TrialBalance (Quarter)'!A:A,0),MATCH([1]TBMapping!N$3,'[1]TrialBalance (Quarter)'!$7:$7,0)),0)</f>
        <v>0</v>
      </c>
      <c r="N1109" s="5">
        <f>IFERROR(INDEX('[1]TrialBalance (Quarter)'!$A:$L,MATCH([1]TBMapping!$C1111,'[1]TrialBalance (Quarter)'!A:A,0),MATCH([1]TBMapping!O$3,'[1]TrialBalance (Quarter)'!$7:$7,0)),0)</f>
        <v>0</v>
      </c>
    </row>
    <row r="1110" spans="1:14">
      <c r="A1110" s="2">
        <v>30</v>
      </c>
      <c r="B1110" s="3">
        <v>511012</v>
      </c>
      <c r="C1110" s="10" t="s">
        <v>907</v>
      </c>
      <c r="D1110" s="10" t="s">
        <v>11</v>
      </c>
      <c r="E1110" s="10"/>
      <c r="F1110" s="5" t="e">
        <f>IF(DataExtraction="Manual",SUMIF('[1]TrialBalance (YTD)'!$C:$C,B1110,'[1]TrialBalance (YTD)'!$E:$E),SUMIF('[1]TrialBalance (YTD)'!$G:$G,B1110,'[1]TrialBalance (YTD)'!$I:$I))</f>
        <v>#VALUE!</v>
      </c>
      <c r="G1110" s="5">
        <f>IFERROR(INDEX('[1]TrialBalance (YTD)'!$G:$S,MATCH([1]TBMapping!$C1112,'[1]TrialBalance (YTD)'!G:G,0),MATCH([1]TBMapping!H$3,'[1]TrialBalance (YTD)'!$G$7:$Z$7,0)),0)</f>
        <v>0</v>
      </c>
      <c r="H1110" s="5" t="e">
        <f>SUMIF('[1]TrialBalance (YTD)'!G:G,B1110,'[1]TrialBalance (YTD)'!H:H)</f>
        <v>#VALUE!</v>
      </c>
      <c r="I1110" s="5">
        <f>IFERROR(INDEX('[1]TrialBalance (YTD)'!$G:$S,MATCH([1]TBMapping!$C1112,'[1]TrialBalance (YTD)'!G:G,0),MATCH([1]TBMapping!J$3,'[1]TrialBalance (YTD)'!$G$7:$Z$7,0)),0)</f>
        <v>0</v>
      </c>
      <c r="K1110" s="5" t="e">
        <f>SUMIF('[1]TrialBalance (Quarter)'!$A:$A,B1110,'[1]TrialBalance (Quarter)'!$B:$B)</f>
        <v>#VALUE!</v>
      </c>
      <c r="L1110" s="5">
        <f>IFERROR(INDEX('[1]TrialBalance (Quarter)'!$A:$L,MATCH([1]TBMapping!$C1112,'[1]TrialBalance (Quarter)'!A:A,0),MATCH([1]TBMapping!M$3,'[1]TrialBalance (Quarter)'!$7:$7,0)),0)</f>
        <v>0</v>
      </c>
      <c r="M1110" s="5">
        <f>IFERROR(INDEX('[1]TrialBalance (Quarter)'!$A:$L,MATCH([1]TBMapping!$C1112,'[1]TrialBalance (Quarter)'!A:A,0),MATCH([1]TBMapping!N$3,'[1]TrialBalance (Quarter)'!$7:$7,0)),0)</f>
        <v>0</v>
      </c>
      <c r="N1110" s="5">
        <f>IFERROR(INDEX('[1]TrialBalance (Quarter)'!$A:$L,MATCH([1]TBMapping!$C1112,'[1]TrialBalance (Quarter)'!A:A,0),MATCH([1]TBMapping!O$3,'[1]TrialBalance (Quarter)'!$7:$7,0)),0)</f>
        <v>0</v>
      </c>
    </row>
    <row r="1111" spans="1:14">
      <c r="A1111" s="2">
        <v>30</v>
      </c>
      <c r="B1111" s="3">
        <v>511014</v>
      </c>
      <c r="C1111" s="11" t="s">
        <v>908</v>
      </c>
      <c r="D1111" s="11" t="s">
        <v>11</v>
      </c>
      <c r="E1111" s="11"/>
      <c r="F1111" s="5" t="e">
        <f>IF(DataExtraction="Manual",SUMIF('[1]TrialBalance (YTD)'!$C:$C,B1111,'[1]TrialBalance (YTD)'!$E:$E),SUMIF('[1]TrialBalance (YTD)'!$G:$G,B1111,'[1]TrialBalance (YTD)'!$I:$I))</f>
        <v>#VALUE!</v>
      </c>
      <c r="G1111" s="5">
        <f>IFERROR(INDEX('[1]TrialBalance (YTD)'!$G:$S,MATCH([1]TBMapping!$C1113,'[1]TrialBalance (YTD)'!G:G,0),MATCH([1]TBMapping!H$3,'[1]TrialBalance (YTD)'!$G$7:$Z$7,0)),0)</f>
        <v>0</v>
      </c>
      <c r="H1111" s="5" t="e">
        <f>SUMIF('[1]TrialBalance (YTD)'!G:G,B1111,'[1]TrialBalance (YTD)'!H:H)</f>
        <v>#VALUE!</v>
      </c>
      <c r="I1111" s="5">
        <f>IFERROR(INDEX('[1]TrialBalance (YTD)'!$G:$S,MATCH([1]TBMapping!$C1113,'[1]TrialBalance (YTD)'!G:G,0),MATCH([1]TBMapping!J$3,'[1]TrialBalance (YTD)'!$G$7:$Z$7,0)),0)</f>
        <v>0</v>
      </c>
      <c r="K1111" s="5" t="e">
        <f>SUMIF('[1]TrialBalance (Quarter)'!$A:$A,B1111,'[1]TrialBalance (Quarter)'!$B:$B)</f>
        <v>#VALUE!</v>
      </c>
      <c r="L1111" s="5">
        <f>IFERROR(INDEX('[1]TrialBalance (Quarter)'!$A:$L,MATCH([1]TBMapping!$C1113,'[1]TrialBalance (Quarter)'!A:A,0),MATCH([1]TBMapping!M$3,'[1]TrialBalance (Quarter)'!$7:$7,0)),0)</f>
        <v>0</v>
      </c>
      <c r="M1111" s="5">
        <f>IFERROR(INDEX('[1]TrialBalance (Quarter)'!$A:$L,MATCH([1]TBMapping!$C1113,'[1]TrialBalance (Quarter)'!A:A,0),MATCH([1]TBMapping!N$3,'[1]TrialBalance (Quarter)'!$7:$7,0)),0)</f>
        <v>0</v>
      </c>
      <c r="N1111" s="5">
        <f>IFERROR(INDEX('[1]TrialBalance (Quarter)'!$A:$L,MATCH([1]TBMapping!$C1113,'[1]TrialBalance (Quarter)'!A:A,0),MATCH([1]TBMapping!O$3,'[1]TrialBalance (Quarter)'!$7:$7,0)),0)</f>
        <v>0</v>
      </c>
    </row>
    <row r="1112" spans="1:14">
      <c r="A1112" s="2">
        <v>30</v>
      </c>
      <c r="B1112" s="3">
        <v>511016</v>
      </c>
      <c r="C1112" s="10" t="s">
        <v>904</v>
      </c>
      <c r="D1112" s="10" t="s">
        <v>11</v>
      </c>
      <c r="E1112" s="10"/>
      <c r="F1112" s="5" t="e">
        <f>IF(DataExtraction="Manual",SUMIF('[1]TrialBalance (YTD)'!$C:$C,B1112,'[1]TrialBalance (YTD)'!$E:$E),SUMIF('[1]TrialBalance (YTD)'!$G:$G,B1112,'[1]TrialBalance (YTD)'!$I:$I))</f>
        <v>#VALUE!</v>
      </c>
      <c r="G1112" s="5">
        <f>IFERROR(INDEX('[1]TrialBalance (YTD)'!$G:$S,MATCH([1]TBMapping!$C1114,'[1]TrialBalance (YTD)'!G:G,0),MATCH([1]TBMapping!H$3,'[1]TrialBalance (YTD)'!$G$7:$Z$7,0)),0)</f>
        <v>0</v>
      </c>
      <c r="H1112" s="5" t="e">
        <f>SUMIF('[1]TrialBalance (YTD)'!G:G,B1112,'[1]TrialBalance (YTD)'!H:H)</f>
        <v>#VALUE!</v>
      </c>
      <c r="I1112" s="5">
        <f>IFERROR(INDEX('[1]TrialBalance (YTD)'!$G:$S,MATCH([1]TBMapping!$C1114,'[1]TrialBalance (YTD)'!G:G,0),MATCH([1]TBMapping!J$3,'[1]TrialBalance (YTD)'!$G$7:$Z$7,0)),0)</f>
        <v>-9476845.5399999991</v>
      </c>
      <c r="K1112" s="5" t="e">
        <f>SUMIF('[1]TrialBalance (Quarter)'!$A:$A,B1112,'[1]TrialBalance (Quarter)'!$B:$B)</f>
        <v>#VALUE!</v>
      </c>
      <c r="L1112" s="5">
        <f>IFERROR(INDEX('[1]TrialBalance (Quarter)'!$A:$L,MATCH([1]TBMapping!$C1114,'[1]TrialBalance (Quarter)'!A:A,0),MATCH([1]TBMapping!M$3,'[1]TrialBalance (Quarter)'!$7:$7,0)),0)</f>
        <v>0</v>
      </c>
      <c r="M1112" s="5">
        <f>IFERROR(INDEX('[1]TrialBalance (Quarter)'!$A:$L,MATCH([1]TBMapping!$C1114,'[1]TrialBalance (Quarter)'!A:A,0),MATCH([1]TBMapping!N$3,'[1]TrialBalance (Quarter)'!$7:$7,0)),0)</f>
        <v>0</v>
      </c>
      <c r="N1112" s="5">
        <f>IFERROR(INDEX('[1]TrialBalance (Quarter)'!$A:$L,MATCH([1]TBMapping!$C1114,'[1]TrialBalance (Quarter)'!A:A,0),MATCH([1]TBMapping!O$3,'[1]TrialBalance (Quarter)'!$7:$7,0)),0)</f>
        <v>0</v>
      </c>
    </row>
    <row r="1113" spans="1:14">
      <c r="A1113" s="2">
        <v>30</v>
      </c>
      <c r="B1113" s="3">
        <v>511020</v>
      </c>
      <c r="C1113" s="11" t="s">
        <v>909</v>
      </c>
      <c r="D1113" s="11" t="s">
        <v>11</v>
      </c>
      <c r="E1113" s="11"/>
      <c r="F1113" s="5" t="e">
        <f>IF(DataExtraction="Manual",SUMIF('[1]TrialBalance (YTD)'!$C:$C,B1113,'[1]TrialBalance (YTD)'!$E:$E),SUMIF('[1]TrialBalance (YTD)'!$G:$G,B1113,'[1]TrialBalance (YTD)'!$I:$I))</f>
        <v>#VALUE!</v>
      </c>
      <c r="G1113" s="5">
        <f>IFERROR(INDEX('[1]TrialBalance (YTD)'!$G:$S,MATCH([1]TBMapping!$C1115,'[1]TrialBalance (YTD)'!G:G,0),MATCH([1]TBMapping!H$3,'[1]TrialBalance (YTD)'!$G$7:$Z$7,0)),0)</f>
        <v>0</v>
      </c>
      <c r="H1113" s="5" t="e">
        <f>SUMIF('[1]TrialBalance (YTD)'!G:G,B1113,'[1]TrialBalance (YTD)'!H:H)</f>
        <v>#VALUE!</v>
      </c>
      <c r="I1113" s="5">
        <f>IFERROR(INDEX('[1]TrialBalance (YTD)'!$G:$S,MATCH([1]TBMapping!$C1115,'[1]TrialBalance (YTD)'!G:G,0),MATCH([1]TBMapping!J$3,'[1]TrialBalance (YTD)'!$G$7:$Z$7,0)),0)</f>
        <v>0</v>
      </c>
      <c r="K1113" s="5" t="e">
        <f>SUMIF('[1]TrialBalance (Quarter)'!$A:$A,B1113,'[1]TrialBalance (Quarter)'!$B:$B)</f>
        <v>#VALUE!</v>
      </c>
      <c r="L1113" s="5">
        <f>IFERROR(INDEX('[1]TrialBalance (Quarter)'!$A:$L,MATCH([1]TBMapping!$C1115,'[1]TrialBalance (Quarter)'!A:A,0),MATCH([1]TBMapping!M$3,'[1]TrialBalance (Quarter)'!$7:$7,0)),0)</f>
        <v>0</v>
      </c>
      <c r="M1113" s="5">
        <f>IFERROR(INDEX('[1]TrialBalance (Quarter)'!$A:$L,MATCH([1]TBMapping!$C1115,'[1]TrialBalance (Quarter)'!A:A,0),MATCH([1]TBMapping!N$3,'[1]TrialBalance (Quarter)'!$7:$7,0)),0)</f>
        <v>0</v>
      </c>
      <c r="N1113" s="5">
        <f>IFERROR(INDEX('[1]TrialBalance (Quarter)'!$A:$L,MATCH([1]TBMapping!$C1115,'[1]TrialBalance (Quarter)'!A:A,0),MATCH([1]TBMapping!O$3,'[1]TrialBalance (Quarter)'!$7:$7,0)),0)</f>
        <v>0</v>
      </c>
    </row>
    <row r="1114" spans="1:14">
      <c r="A1114" s="2">
        <v>30</v>
      </c>
      <c r="B1114" s="3">
        <v>512000</v>
      </c>
      <c r="C1114" s="10" t="s">
        <v>910</v>
      </c>
      <c r="D1114" s="10" t="s">
        <v>11</v>
      </c>
      <c r="E1114" s="10"/>
      <c r="F1114" s="5" t="e">
        <f>IF(DataExtraction="Manual",SUMIF('[1]TrialBalance (YTD)'!$C:$C,B1114,'[1]TrialBalance (YTD)'!$E:$E),SUMIF('[1]TrialBalance (YTD)'!$G:$G,B1114,'[1]TrialBalance (YTD)'!$I:$I))</f>
        <v>#VALUE!</v>
      </c>
      <c r="G1114" s="5">
        <f>IFERROR(INDEX('[1]TrialBalance (YTD)'!$G:$S,MATCH([1]TBMapping!$C1116,'[1]TrialBalance (YTD)'!G:G,0),MATCH([1]TBMapping!H$3,'[1]TrialBalance (YTD)'!$G$7:$Z$7,0)),0)</f>
        <v>0</v>
      </c>
      <c r="H1114" s="5" t="e">
        <f>SUMIF('[1]TrialBalance (YTD)'!G:G,B1114,'[1]TrialBalance (YTD)'!H:H)</f>
        <v>#VALUE!</v>
      </c>
      <c r="I1114" s="5">
        <f>IFERROR(INDEX('[1]TrialBalance (YTD)'!$G:$S,MATCH([1]TBMapping!$C1116,'[1]TrialBalance (YTD)'!G:G,0),MATCH([1]TBMapping!J$3,'[1]TrialBalance (YTD)'!$G$7:$Z$7,0)),0)</f>
        <v>0</v>
      </c>
      <c r="K1114" s="5" t="e">
        <f>SUMIF('[1]TrialBalance (Quarter)'!$A:$A,B1114,'[1]TrialBalance (Quarter)'!$B:$B)</f>
        <v>#VALUE!</v>
      </c>
      <c r="L1114" s="5">
        <f>IFERROR(INDEX('[1]TrialBalance (Quarter)'!$A:$L,MATCH([1]TBMapping!$C1116,'[1]TrialBalance (Quarter)'!A:A,0),MATCH([1]TBMapping!M$3,'[1]TrialBalance (Quarter)'!$7:$7,0)),0)</f>
        <v>0</v>
      </c>
      <c r="M1114" s="5">
        <f>IFERROR(INDEX('[1]TrialBalance (Quarter)'!$A:$L,MATCH([1]TBMapping!$C1116,'[1]TrialBalance (Quarter)'!A:A,0),MATCH([1]TBMapping!N$3,'[1]TrialBalance (Quarter)'!$7:$7,0)),0)</f>
        <v>0</v>
      </c>
      <c r="N1114" s="5">
        <f>IFERROR(INDEX('[1]TrialBalance (Quarter)'!$A:$L,MATCH([1]TBMapping!$C1116,'[1]TrialBalance (Quarter)'!A:A,0),MATCH([1]TBMapping!O$3,'[1]TrialBalance (Quarter)'!$7:$7,0)),0)</f>
        <v>0</v>
      </c>
    </row>
    <row r="1115" spans="1:14">
      <c r="A1115" s="2">
        <v>30</v>
      </c>
      <c r="B1115" s="3">
        <v>512005</v>
      </c>
      <c r="C1115" s="11" t="s">
        <v>911</v>
      </c>
      <c r="D1115" s="11" t="s">
        <v>11</v>
      </c>
      <c r="E1115" s="11"/>
      <c r="F1115" s="5" t="e">
        <f>IF(DataExtraction="Manual",SUMIF('[1]TrialBalance (YTD)'!$C:$C,B1115,'[1]TrialBalance (YTD)'!$E:$E),SUMIF('[1]TrialBalance (YTD)'!$G:$G,B1115,'[1]TrialBalance (YTD)'!$I:$I))</f>
        <v>#VALUE!</v>
      </c>
      <c r="G1115" s="5">
        <f>IFERROR(INDEX('[1]TrialBalance (YTD)'!$G:$S,MATCH([1]TBMapping!$C1117,'[1]TrialBalance (YTD)'!G:G,0),MATCH([1]TBMapping!H$3,'[1]TrialBalance (YTD)'!$G$7:$Z$7,0)),0)</f>
        <v>0</v>
      </c>
      <c r="H1115" s="5" t="e">
        <f>SUMIF('[1]TrialBalance (YTD)'!G:G,B1115,'[1]TrialBalance (YTD)'!H:H)</f>
        <v>#VALUE!</v>
      </c>
      <c r="I1115" s="5">
        <f>IFERROR(INDEX('[1]TrialBalance (YTD)'!$G:$S,MATCH([1]TBMapping!$C1117,'[1]TrialBalance (YTD)'!G:G,0),MATCH([1]TBMapping!J$3,'[1]TrialBalance (YTD)'!$G$7:$Z$7,0)),0)</f>
        <v>0</v>
      </c>
      <c r="K1115" s="5" t="e">
        <f>SUMIF('[1]TrialBalance (Quarter)'!$A:$A,B1115,'[1]TrialBalance (Quarter)'!$B:$B)</f>
        <v>#VALUE!</v>
      </c>
      <c r="L1115" s="5">
        <f>IFERROR(INDEX('[1]TrialBalance (Quarter)'!$A:$L,MATCH([1]TBMapping!$C1117,'[1]TrialBalance (Quarter)'!A:A,0),MATCH([1]TBMapping!M$3,'[1]TrialBalance (Quarter)'!$7:$7,0)),0)</f>
        <v>0</v>
      </c>
      <c r="M1115" s="5">
        <f>IFERROR(INDEX('[1]TrialBalance (Quarter)'!$A:$L,MATCH([1]TBMapping!$C1117,'[1]TrialBalance (Quarter)'!A:A,0),MATCH([1]TBMapping!N$3,'[1]TrialBalance (Quarter)'!$7:$7,0)),0)</f>
        <v>0</v>
      </c>
      <c r="N1115" s="5">
        <f>IFERROR(INDEX('[1]TrialBalance (Quarter)'!$A:$L,MATCH([1]TBMapping!$C1117,'[1]TrialBalance (Quarter)'!A:A,0),MATCH([1]TBMapping!O$3,'[1]TrialBalance (Quarter)'!$7:$7,0)),0)</f>
        <v>0</v>
      </c>
    </row>
    <row r="1116" spans="1:14">
      <c r="A1116" s="2">
        <v>30</v>
      </c>
      <c r="B1116" s="3">
        <v>512010</v>
      </c>
      <c r="C1116" s="10" t="s">
        <v>662</v>
      </c>
      <c r="D1116" s="10" t="s">
        <v>11</v>
      </c>
      <c r="E1116" s="10"/>
      <c r="F1116" s="5" t="e">
        <f>IF(DataExtraction="Manual",SUMIF('[1]TrialBalance (YTD)'!$C:$C,B1116,'[1]TrialBalance (YTD)'!$E:$E),SUMIF('[1]TrialBalance (YTD)'!$G:$G,B1116,'[1]TrialBalance (YTD)'!$I:$I))</f>
        <v>#VALUE!</v>
      </c>
      <c r="G1116" s="5">
        <f>IFERROR(INDEX('[1]TrialBalance (YTD)'!$G:$S,MATCH([1]TBMapping!$C1118,'[1]TrialBalance (YTD)'!G:G,0),MATCH([1]TBMapping!H$3,'[1]TrialBalance (YTD)'!$G$7:$Z$7,0)),0)</f>
        <v>0</v>
      </c>
      <c r="H1116" s="5" t="e">
        <f>SUMIF('[1]TrialBalance (YTD)'!G:G,B1116,'[1]TrialBalance (YTD)'!H:H)</f>
        <v>#VALUE!</v>
      </c>
      <c r="I1116" s="5">
        <f>IFERROR(INDEX('[1]TrialBalance (YTD)'!$G:$S,MATCH([1]TBMapping!$C1118,'[1]TrialBalance (YTD)'!G:G,0),MATCH([1]TBMapping!J$3,'[1]TrialBalance (YTD)'!$G$7:$Z$7,0)),0)</f>
        <v>0</v>
      </c>
      <c r="K1116" s="5" t="e">
        <f>SUMIF('[1]TrialBalance (Quarter)'!$A:$A,B1116,'[1]TrialBalance (Quarter)'!$B:$B)</f>
        <v>#VALUE!</v>
      </c>
      <c r="L1116" s="5">
        <f>IFERROR(INDEX('[1]TrialBalance (Quarter)'!$A:$L,MATCH([1]TBMapping!$C1118,'[1]TrialBalance (Quarter)'!A:A,0),MATCH([1]TBMapping!M$3,'[1]TrialBalance (Quarter)'!$7:$7,0)),0)</f>
        <v>0</v>
      </c>
      <c r="M1116" s="5">
        <f>IFERROR(INDEX('[1]TrialBalance (Quarter)'!$A:$L,MATCH([1]TBMapping!$C1118,'[1]TrialBalance (Quarter)'!A:A,0),MATCH([1]TBMapping!N$3,'[1]TrialBalance (Quarter)'!$7:$7,0)),0)</f>
        <v>0</v>
      </c>
      <c r="N1116" s="5">
        <f>IFERROR(INDEX('[1]TrialBalance (Quarter)'!$A:$L,MATCH([1]TBMapping!$C1118,'[1]TrialBalance (Quarter)'!A:A,0),MATCH([1]TBMapping!O$3,'[1]TrialBalance (Quarter)'!$7:$7,0)),0)</f>
        <v>0</v>
      </c>
    </row>
    <row r="1117" spans="1:14">
      <c r="A1117" s="2">
        <v>30</v>
      </c>
      <c r="B1117" s="3">
        <v>512012</v>
      </c>
      <c r="C1117" s="11" t="s">
        <v>912</v>
      </c>
      <c r="D1117" s="11" t="s">
        <v>11</v>
      </c>
      <c r="E1117" s="11"/>
      <c r="F1117" s="5" t="e">
        <f>IF(DataExtraction="Manual",SUMIF('[1]TrialBalance (YTD)'!$C:$C,B1117,'[1]TrialBalance (YTD)'!$E:$E),SUMIF('[1]TrialBalance (YTD)'!$G:$G,B1117,'[1]TrialBalance (YTD)'!$I:$I))</f>
        <v>#VALUE!</v>
      </c>
      <c r="G1117" s="5">
        <f>IFERROR(INDEX('[1]TrialBalance (YTD)'!$G:$S,MATCH([1]TBMapping!$C1119,'[1]TrialBalance (YTD)'!G:G,0),MATCH([1]TBMapping!H$3,'[1]TrialBalance (YTD)'!$G$7:$Z$7,0)),0)</f>
        <v>0</v>
      </c>
      <c r="H1117" s="5" t="e">
        <f>SUMIF('[1]TrialBalance (YTD)'!G:G,B1117,'[1]TrialBalance (YTD)'!H:H)</f>
        <v>#VALUE!</v>
      </c>
      <c r="I1117" s="5">
        <f>IFERROR(INDEX('[1]TrialBalance (YTD)'!$G:$S,MATCH([1]TBMapping!$C1119,'[1]TrialBalance (YTD)'!G:G,0),MATCH([1]TBMapping!J$3,'[1]TrialBalance (YTD)'!$G$7:$Z$7,0)),0)</f>
        <v>0</v>
      </c>
      <c r="K1117" s="5" t="e">
        <f>SUMIF('[1]TrialBalance (Quarter)'!$A:$A,B1117,'[1]TrialBalance (Quarter)'!$B:$B)</f>
        <v>#VALUE!</v>
      </c>
      <c r="L1117" s="5">
        <f>IFERROR(INDEX('[1]TrialBalance (Quarter)'!$A:$L,MATCH([1]TBMapping!$C1119,'[1]TrialBalance (Quarter)'!A:A,0),MATCH([1]TBMapping!M$3,'[1]TrialBalance (Quarter)'!$7:$7,0)),0)</f>
        <v>0</v>
      </c>
      <c r="M1117" s="5">
        <f>IFERROR(INDEX('[1]TrialBalance (Quarter)'!$A:$L,MATCH([1]TBMapping!$C1119,'[1]TrialBalance (Quarter)'!A:A,0),MATCH([1]TBMapping!N$3,'[1]TrialBalance (Quarter)'!$7:$7,0)),0)</f>
        <v>0</v>
      </c>
      <c r="N1117" s="5">
        <f>IFERROR(INDEX('[1]TrialBalance (Quarter)'!$A:$L,MATCH([1]TBMapping!$C1119,'[1]TrialBalance (Quarter)'!A:A,0),MATCH([1]TBMapping!O$3,'[1]TrialBalance (Quarter)'!$7:$7,0)),0)</f>
        <v>0</v>
      </c>
    </row>
    <row r="1118" spans="1:14">
      <c r="A1118" s="2">
        <v>30</v>
      </c>
      <c r="B1118" s="3">
        <v>512014</v>
      </c>
      <c r="C1118" s="10" t="s">
        <v>664</v>
      </c>
      <c r="D1118" s="10" t="s">
        <v>11</v>
      </c>
      <c r="E1118" s="10"/>
      <c r="F1118" s="5" t="e">
        <f>IF(DataExtraction="Manual",SUMIF('[1]TrialBalance (YTD)'!$C:$C,B1118,'[1]TrialBalance (YTD)'!$E:$E),SUMIF('[1]TrialBalance (YTD)'!$G:$G,B1118,'[1]TrialBalance (YTD)'!$I:$I))</f>
        <v>#VALUE!</v>
      </c>
      <c r="G1118" s="5">
        <f>IFERROR(INDEX('[1]TrialBalance (YTD)'!$G:$S,MATCH([1]TBMapping!$C1120,'[1]TrialBalance (YTD)'!G:G,0),MATCH([1]TBMapping!H$3,'[1]TrialBalance (YTD)'!$G$7:$Z$7,0)),0)</f>
        <v>0</v>
      </c>
      <c r="H1118" s="5" t="e">
        <f>SUMIF('[1]TrialBalance (YTD)'!G:G,B1118,'[1]TrialBalance (YTD)'!H:H)</f>
        <v>#VALUE!</v>
      </c>
      <c r="I1118" s="5">
        <f>IFERROR(INDEX('[1]TrialBalance (YTD)'!$G:$S,MATCH([1]TBMapping!$C1120,'[1]TrialBalance (YTD)'!G:G,0),MATCH([1]TBMapping!J$3,'[1]TrialBalance (YTD)'!$G$7:$Z$7,0)),0)</f>
        <v>0</v>
      </c>
      <c r="K1118" s="5" t="e">
        <f>SUMIF('[1]TrialBalance (Quarter)'!$A:$A,B1118,'[1]TrialBalance (Quarter)'!$B:$B)</f>
        <v>#VALUE!</v>
      </c>
      <c r="L1118" s="5">
        <f>IFERROR(INDEX('[1]TrialBalance (Quarter)'!$A:$L,MATCH([1]TBMapping!$C1120,'[1]TrialBalance (Quarter)'!A:A,0),MATCH([1]TBMapping!M$3,'[1]TrialBalance (Quarter)'!$7:$7,0)),0)</f>
        <v>0</v>
      </c>
      <c r="M1118" s="5">
        <f>IFERROR(INDEX('[1]TrialBalance (Quarter)'!$A:$L,MATCH([1]TBMapping!$C1120,'[1]TrialBalance (Quarter)'!A:A,0),MATCH([1]TBMapping!N$3,'[1]TrialBalance (Quarter)'!$7:$7,0)),0)</f>
        <v>0</v>
      </c>
      <c r="N1118" s="5">
        <f>IFERROR(INDEX('[1]TrialBalance (Quarter)'!$A:$L,MATCH([1]TBMapping!$C1120,'[1]TrialBalance (Quarter)'!A:A,0),MATCH([1]TBMapping!O$3,'[1]TrialBalance (Quarter)'!$7:$7,0)),0)</f>
        <v>0</v>
      </c>
    </row>
    <row r="1119" spans="1:14">
      <c r="A1119" s="2">
        <v>30</v>
      </c>
      <c r="B1119" s="3">
        <v>512016</v>
      </c>
      <c r="C1119" s="11" t="s">
        <v>913</v>
      </c>
      <c r="D1119" s="11" t="s">
        <v>16</v>
      </c>
      <c r="E1119" s="11"/>
      <c r="F1119" s="5" t="e">
        <f>IF(DataExtraction="Manual",SUMIF('[1]TrialBalance (YTD)'!$C:$C,B1119,'[1]TrialBalance (YTD)'!$E:$E),SUMIF('[1]TrialBalance (YTD)'!$G:$G,B1119,'[1]TrialBalance (YTD)'!$I:$I))</f>
        <v>#VALUE!</v>
      </c>
      <c r="G1119" s="5">
        <f>IFERROR(INDEX('[1]TrialBalance (YTD)'!$G:$S,MATCH([1]TBMapping!$C1121,'[1]TrialBalance (YTD)'!G:G,0),MATCH([1]TBMapping!H$3,'[1]TrialBalance (YTD)'!$G$7:$Z$7,0)),0)</f>
        <v>0</v>
      </c>
      <c r="H1119" s="5" t="e">
        <f>SUMIF('[1]TrialBalance (YTD)'!G:G,B1119,'[1]TrialBalance (YTD)'!H:H)</f>
        <v>#VALUE!</v>
      </c>
      <c r="I1119" s="5">
        <f>IFERROR(INDEX('[1]TrialBalance (YTD)'!$G:$S,MATCH([1]TBMapping!$C1121,'[1]TrialBalance (YTD)'!G:G,0),MATCH([1]TBMapping!J$3,'[1]TrialBalance (YTD)'!$G$7:$Z$7,0)),0)</f>
        <v>0</v>
      </c>
      <c r="K1119" s="5" t="e">
        <f>SUMIF('[1]TrialBalance (Quarter)'!$A:$A,B1119,'[1]TrialBalance (Quarter)'!$B:$B)</f>
        <v>#VALUE!</v>
      </c>
      <c r="L1119" s="5">
        <f>IFERROR(INDEX('[1]TrialBalance (Quarter)'!$A:$L,MATCH([1]TBMapping!$C1121,'[1]TrialBalance (Quarter)'!A:A,0),MATCH([1]TBMapping!M$3,'[1]TrialBalance (Quarter)'!$7:$7,0)),0)</f>
        <v>0</v>
      </c>
      <c r="M1119" s="5">
        <f>IFERROR(INDEX('[1]TrialBalance (Quarter)'!$A:$L,MATCH([1]TBMapping!$C1121,'[1]TrialBalance (Quarter)'!A:A,0),MATCH([1]TBMapping!N$3,'[1]TrialBalance (Quarter)'!$7:$7,0)),0)</f>
        <v>0</v>
      </c>
      <c r="N1119" s="5">
        <f>IFERROR(INDEX('[1]TrialBalance (Quarter)'!$A:$L,MATCH([1]TBMapping!$C1121,'[1]TrialBalance (Quarter)'!A:A,0),MATCH([1]TBMapping!O$3,'[1]TrialBalance (Quarter)'!$7:$7,0)),0)</f>
        <v>0</v>
      </c>
    </row>
    <row r="1120" spans="1:14">
      <c r="A1120" s="2">
        <v>30</v>
      </c>
      <c r="B1120" s="3">
        <v>512020</v>
      </c>
      <c r="C1120" s="10" t="s">
        <v>914</v>
      </c>
      <c r="D1120" s="10" t="s">
        <v>5</v>
      </c>
      <c r="E1120" s="10"/>
      <c r="F1120" s="5" t="e">
        <f>IF(DataExtraction="Manual",SUMIF('[1]TrialBalance (YTD)'!$C:$C,B1120,'[1]TrialBalance (YTD)'!$E:$E),SUMIF('[1]TrialBalance (YTD)'!$G:$G,B1120,'[1]TrialBalance (YTD)'!$I:$I))</f>
        <v>#VALUE!</v>
      </c>
      <c r="G1120" s="5">
        <f>IFERROR(INDEX('[1]TrialBalance (YTD)'!$G:$S,MATCH([1]TBMapping!$C1122,'[1]TrialBalance (YTD)'!G:G,0),MATCH([1]TBMapping!H$3,'[1]TrialBalance (YTD)'!$G$7:$Z$7,0)),0)</f>
        <v>0</v>
      </c>
      <c r="H1120" s="5" t="e">
        <f>SUMIF('[1]TrialBalance (YTD)'!G:G,B1120,'[1]TrialBalance (YTD)'!H:H)</f>
        <v>#VALUE!</v>
      </c>
      <c r="I1120" s="5">
        <f>IFERROR(INDEX('[1]TrialBalance (YTD)'!$G:$S,MATCH([1]TBMapping!$C1122,'[1]TrialBalance (YTD)'!G:G,0),MATCH([1]TBMapping!J$3,'[1]TrialBalance (YTD)'!$G$7:$Z$7,0)),0)</f>
        <v>0</v>
      </c>
      <c r="K1120" s="5" t="e">
        <f>SUMIF('[1]TrialBalance (Quarter)'!$A:$A,B1120,'[1]TrialBalance (Quarter)'!$B:$B)</f>
        <v>#VALUE!</v>
      </c>
      <c r="L1120" s="5">
        <f>IFERROR(INDEX('[1]TrialBalance (Quarter)'!$A:$L,MATCH([1]TBMapping!$C1122,'[1]TrialBalance (Quarter)'!A:A,0),MATCH([1]TBMapping!M$3,'[1]TrialBalance (Quarter)'!$7:$7,0)),0)</f>
        <v>0</v>
      </c>
      <c r="M1120" s="5">
        <f>IFERROR(INDEX('[1]TrialBalance (Quarter)'!$A:$L,MATCH([1]TBMapping!$C1122,'[1]TrialBalance (Quarter)'!A:A,0),MATCH([1]TBMapping!N$3,'[1]TrialBalance (Quarter)'!$7:$7,0)),0)</f>
        <v>0</v>
      </c>
      <c r="N1120" s="5">
        <f>IFERROR(INDEX('[1]TrialBalance (Quarter)'!$A:$L,MATCH([1]TBMapping!$C1122,'[1]TrialBalance (Quarter)'!A:A,0),MATCH([1]TBMapping!O$3,'[1]TrialBalance (Quarter)'!$7:$7,0)),0)</f>
        <v>0</v>
      </c>
    </row>
    <row r="1121" spans="1:14">
      <c r="B1121" s="3">
        <v>519999</v>
      </c>
      <c r="C1121" s="11" t="s">
        <v>915</v>
      </c>
      <c r="D1121" s="11" t="s">
        <v>11</v>
      </c>
      <c r="E1121" s="11"/>
      <c r="F1121" s="5" t="e">
        <f>IF(DataExtraction="Manual",SUMIF('[1]TrialBalance (YTD)'!$C:$C,B1121,'[1]TrialBalance (YTD)'!$E:$E),SUMIF('[1]TrialBalance (YTD)'!$G:$G,B1121,'[1]TrialBalance (YTD)'!$I:$I))</f>
        <v>#VALUE!</v>
      </c>
      <c r="G1121" s="5">
        <f>IFERROR(INDEX('[1]TrialBalance (YTD)'!$G:$S,MATCH([1]TBMapping!$C1123,'[1]TrialBalance (YTD)'!G:G,0),MATCH([1]TBMapping!H$3,'[1]TrialBalance (YTD)'!$G$7:$Z$7,0)),0)</f>
        <v>0</v>
      </c>
      <c r="H1121" s="5" t="e">
        <f>SUMIF('[1]TrialBalance (YTD)'!G:G,B1121,'[1]TrialBalance (YTD)'!H:H)</f>
        <v>#VALUE!</v>
      </c>
      <c r="I1121" s="5">
        <f>IFERROR(INDEX('[1]TrialBalance (YTD)'!$G:$S,MATCH([1]TBMapping!$C1123,'[1]TrialBalance (YTD)'!G:G,0),MATCH([1]TBMapping!J$3,'[1]TrialBalance (YTD)'!$G$7:$Z$7,0)),0)</f>
        <v>0</v>
      </c>
      <c r="K1121" s="5" t="e">
        <f>SUMIF('[1]TrialBalance (Quarter)'!$A:$A,B1121,'[1]TrialBalance (Quarter)'!$B:$B)</f>
        <v>#VALUE!</v>
      </c>
      <c r="L1121" s="5">
        <f>IFERROR(INDEX('[1]TrialBalance (Quarter)'!$A:$L,MATCH([1]TBMapping!$C1123,'[1]TrialBalance (Quarter)'!A:A,0),MATCH([1]TBMapping!M$3,'[1]TrialBalance (Quarter)'!$7:$7,0)),0)</f>
        <v>0</v>
      </c>
      <c r="M1121" s="5">
        <f>IFERROR(INDEX('[1]TrialBalance (Quarter)'!$A:$L,MATCH([1]TBMapping!$C1123,'[1]TrialBalance (Quarter)'!A:A,0),MATCH([1]TBMapping!N$3,'[1]TrialBalance (Quarter)'!$7:$7,0)),0)</f>
        <v>0</v>
      </c>
      <c r="N1121" s="5">
        <f>IFERROR(INDEX('[1]TrialBalance (Quarter)'!$A:$L,MATCH([1]TBMapping!$C1123,'[1]TrialBalance (Quarter)'!A:A,0),MATCH([1]TBMapping!O$3,'[1]TrialBalance (Quarter)'!$7:$7,0)),0)</f>
        <v>0</v>
      </c>
    </row>
    <row r="1122" spans="1:14">
      <c r="B1122" s="3">
        <v>520000</v>
      </c>
      <c r="C1122" s="10" t="s">
        <v>509</v>
      </c>
      <c r="D1122" s="10" t="s">
        <v>11</v>
      </c>
      <c r="E1122" s="10"/>
      <c r="F1122" s="5" t="e">
        <f>IF(DataExtraction="Manual",SUMIF('[1]TrialBalance (YTD)'!$C:$C,B1122,'[1]TrialBalance (YTD)'!$E:$E),SUMIF('[1]TrialBalance (YTD)'!$G:$G,B1122,'[1]TrialBalance (YTD)'!$I:$I))</f>
        <v>#VALUE!</v>
      </c>
      <c r="G1122" s="5">
        <f>IFERROR(INDEX('[1]TrialBalance (YTD)'!$G:$S,MATCH([1]TBMapping!$C1124,'[1]TrialBalance (YTD)'!G:G,0),MATCH([1]TBMapping!H$3,'[1]TrialBalance (YTD)'!$G$7:$Z$7,0)),0)</f>
        <v>0</v>
      </c>
      <c r="H1122" s="5" t="e">
        <f>SUMIF('[1]TrialBalance (YTD)'!G:G,B1122,'[1]TrialBalance (YTD)'!H:H)</f>
        <v>#VALUE!</v>
      </c>
      <c r="I1122" s="5">
        <f>IFERROR(INDEX('[1]TrialBalance (YTD)'!$G:$S,MATCH([1]TBMapping!$C1124,'[1]TrialBalance (YTD)'!G:G,0),MATCH([1]TBMapping!J$3,'[1]TrialBalance (YTD)'!$G$7:$Z$7,0)),0)</f>
        <v>0</v>
      </c>
      <c r="K1122" s="5" t="e">
        <f>SUMIF('[1]TrialBalance (Quarter)'!$A:$A,B1122,'[1]TrialBalance (Quarter)'!$B:$B)</f>
        <v>#VALUE!</v>
      </c>
      <c r="L1122" s="5">
        <f>IFERROR(INDEX('[1]TrialBalance (Quarter)'!$A:$L,MATCH([1]TBMapping!$C1124,'[1]TrialBalance (Quarter)'!A:A,0),MATCH([1]TBMapping!M$3,'[1]TrialBalance (Quarter)'!$7:$7,0)),0)</f>
        <v>0</v>
      </c>
      <c r="M1122" s="5">
        <f>IFERROR(INDEX('[1]TrialBalance (Quarter)'!$A:$L,MATCH([1]TBMapping!$C1124,'[1]TrialBalance (Quarter)'!A:A,0),MATCH([1]TBMapping!N$3,'[1]TrialBalance (Quarter)'!$7:$7,0)),0)</f>
        <v>0</v>
      </c>
      <c r="N1122" s="5">
        <f>IFERROR(INDEX('[1]TrialBalance (Quarter)'!$A:$L,MATCH([1]TBMapping!$C1124,'[1]TrialBalance (Quarter)'!A:A,0),MATCH([1]TBMapping!O$3,'[1]TrialBalance (Quarter)'!$7:$7,0)),0)</f>
        <v>0</v>
      </c>
    </row>
    <row r="1123" spans="1:14">
      <c r="A1123" s="2">
        <v>28</v>
      </c>
      <c r="B1123" s="3">
        <v>520110</v>
      </c>
      <c r="C1123" s="11" t="s">
        <v>916</v>
      </c>
      <c r="D1123" s="11" t="s">
        <v>11</v>
      </c>
      <c r="E1123" s="11"/>
      <c r="F1123" s="5" t="e">
        <f>IF(DataExtraction="Manual",SUMIF('[1]TrialBalance (YTD)'!$C:$C,B1123,'[1]TrialBalance (YTD)'!$E:$E),SUMIF('[1]TrialBalance (YTD)'!$G:$G,B1123,'[1]TrialBalance (YTD)'!$I:$I))</f>
        <v>#VALUE!</v>
      </c>
      <c r="G1123" s="5">
        <f>IFERROR(INDEX('[1]TrialBalance (YTD)'!$G:$S,MATCH([1]TBMapping!$C1125,'[1]TrialBalance (YTD)'!G:G,0),MATCH([1]TBMapping!H$3,'[1]TrialBalance (YTD)'!$G$7:$Z$7,0)),0)</f>
        <v>0</v>
      </c>
      <c r="H1123" s="5" t="e">
        <f>SUMIF('[1]TrialBalance (YTD)'!G:G,B1123,'[1]TrialBalance (YTD)'!H:H)</f>
        <v>#VALUE!</v>
      </c>
      <c r="I1123" s="5">
        <f>IFERROR(INDEX('[1]TrialBalance (YTD)'!$G:$S,MATCH([1]TBMapping!$C1125,'[1]TrialBalance (YTD)'!G:G,0),MATCH([1]TBMapping!J$3,'[1]TrialBalance (YTD)'!$G$7:$Z$7,0)),0)</f>
        <v>0</v>
      </c>
      <c r="K1123" s="5" t="e">
        <f>SUMIF('[1]TrialBalance (Quarter)'!$A:$A,B1123,'[1]TrialBalance (Quarter)'!$B:$B)</f>
        <v>#VALUE!</v>
      </c>
      <c r="L1123" s="5">
        <f>IFERROR(INDEX('[1]TrialBalance (Quarter)'!$A:$L,MATCH([1]TBMapping!$C1125,'[1]TrialBalance (Quarter)'!A:A,0),MATCH([1]TBMapping!M$3,'[1]TrialBalance (Quarter)'!$7:$7,0)),0)</f>
        <v>0</v>
      </c>
      <c r="M1123" s="5">
        <f>IFERROR(INDEX('[1]TrialBalance (Quarter)'!$A:$L,MATCH([1]TBMapping!$C1125,'[1]TrialBalance (Quarter)'!A:A,0),MATCH([1]TBMapping!N$3,'[1]TrialBalance (Quarter)'!$7:$7,0)),0)</f>
        <v>0</v>
      </c>
      <c r="N1123" s="5">
        <f>IFERROR(INDEX('[1]TrialBalance (Quarter)'!$A:$L,MATCH([1]TBMapping!$C1125,'[1]TrialBalance (Quarter)'!A:A,0),MATCH([1]TBMapping!O$3,'[1]TrialBalance (Quarter)'!$7:$7,0)),0)</f>
        <v>0</v>
      </c>
    </row>
    <row r="1124" spans="1:14">
      <c r="A1124" s="2">
        <v>28</v>
      </c>
      <c r="B1124" s="3">
        <v>520120</v>
      </c>
      <c r="C1124" s="10" t="s">
        <v>917</v>
      </c>
      <c r="D1124" s="10" t="s">
        <v>11</v>
      </c>
      <c r="E1124" s="10"/>
      <c r="F1124" s="5" t="e">
        <f>IF(DataExtraction="Manual",SUMIF('[1]TrialBalance (YTD)'!$C:$C,B1124,'[1]TrialBalance (YTD)'!$E:$E),SUMIF('[1]TrialBalance (YTD)'!$G:$G,B1124,'[1]TrialBalance (YTD)'!$I:$I))</f>
        <v>#VALUE!</v>
      </c>
      <c r="G1124" s="5">
        <f>IFERROR(INDEX('[1]TrialBalance (YTD)'!$G:$S,MATCH([1]TBMapping!$C1126,'[1]TrialBalance (YTD)'!G:G,0),MATCH([1]TBMapping!H$3,'[1]TrialBalance (YTD)'!$G$7:$Z$7,0)),0)</f>
        <v>0</v>
      </c>
      <c r="H1124" s="5" t="e">
        <f>SUMIF('[1]TrialBalance (YTD)'!G:G,B1124,'[1]TrialBalance (YTD)'!H:H)</f>
        <v>#VALUE!</v>
      </c>
      <c r="I1124" s="5">
        <f>IFERROR(INDEX('[1]TrialBalance (YTD)'!$G:$S,MATCH([1]TBMapping!$C1126,'[1]TrialBalance (YTD)'!G:G,0),MATCH([1]TBMapping!J$3,'[1]TrialBalance (YTD)'!$G$7:$Z$7,0)),0)</f>
        <v>0</v>
      </c>
      <c r="K1124" s="5" t="e">
        <f>SUMIF('[1]TrialBalance (Quarter)'!$A:$A,B1124,'[1]TrialBalance (Quarter)'!$B:$B)</f>
        <v>#VALUE!</v>
      </c>
      <c r="L1124" s="5">
        <f>IFERROR(INDEX('[1]TrialBalance (Quarter)'!$A:$L,MATCH([1]TBMapping!$C1126,'[1]TrialBalance (Quarter)'!A:A,0),MATCH([1]TBMapping!M$3,'[1]TrialBalance (Quarter)'!$7:$7,0)),0)</f>
        <v>0</v>
      </c>
      <c r="M1124" s="5">
        <f>IFERROR(INDEX('[1]TrialBalance (Quarter)'!$A:$L,MATCH([1]TBMapping!$C1126,'[1]TrialBalance (Quarter)'!A:A,0),MATCH([1]TBMapping!N$3,'[1]TrialBalance (Quarter)'!$7:$7,0)),0)</f>
        <v>0</v>
      </c>
      <c r="N1124" s="5">
        <f>IFERROR(INDEX('[1]TrialBalance (Quarter)'!$A:$L,MATCH([1]TBMapping!$C1126,'[1]TrialBalance (Quarter)'!A:A,0),MATCH([1]TBMapping!O$3,'[1]TrialBalance (Quarter)'!$7:$7,0)),0)</f>
        <v>0</v>
      </c>
    </row>
    <row r="1125" spans="1:14">
      <c r="A1125" s="2">
        <v>28</v>
      </c>
      <c r="B1125" s="3">
        <v>520130</v>
      </c>
      <c r="C1125" s="11" t="s">
        <v>900</v>
      </c>
      <c r="D1125" s="11" t="s">
        <v>11</v>
      </c>
      <c r="E1125" s="11"/>
      <c r="F1125" s="5" t="e">
        <f>IF(DataExtraction="Manual",SUMIF('[1]TrialBalance (YTD)'!$C:$C,B1125,'[1]TrialBalance (YTD)'!$E:$E),SUMIF('[1]TrialBalance (YTD)'!$G:$G,B1125,'[1]TrialBalance (YTD)'!$I:$I))</f>
        <v>#VALUE!</v>
      </c>
      <c r="G1125" s="5">
        <f>IFERROR(INDEX('[1]TrialBalance (YTD)'!$G:$S,MATCH([1]TBMapping!$C1127,'[1]TrialBalance (YTD)'!G:G,0),MATCH([1]TBMapping!H$3,'[1]TrialBalance (YTD)'!$G$7:$Z$7,0)),0)</f>
        <v>0</v>
      </c>
      <c r="H1125" s="5" t="e">
        <f>SUMIF('[1]TrialBalance (YTD)'!G:G,B1125,'[1]TrialBalance (YTD)'!H:H)</f>
        <v>#VALUE!</v>
      </c>
      <c r="I1125" s="5">
        <f>IFERROR(INDEX('[1]TrialBalance (YTD)'!$G:$S,MATCH([1]TBMapping!$C1127,'[1]TrialBalance (YTD)'!G:G,0),MATCH([1]TBMapping!J$3,'[1]TrialBalance (YTD)'!$G$7:$Z$7,0)),0)</f>
        <v>0</v>
      </c>
      <c r="K1125" s="5" t="e">
        <f>SUMIF('[1]TrialBalance (Quarter)'!$A:$A,B1125,'[1]TrialBalance (Quarter)'!$B:$B)</f>
        <v>#VALUE!</v>
      </c>
      <c r="L1125" s="5">
        <f>IFERROR(INDEX('[1]TrialBalance (Quarter)'!$A:$L,MATCH([1]TBMapping!$C1127,'[1]TrialBalance (Quarter)'!A:A,0),MATCH([1]TBMapping!M$3,'[1]TrialBalance (Quarter)'!$7:$7,0)),0)</f>
        <v>0</v>
      </c>
      <c r="M1125" s="5">
        <f>IFERROR(INDEX('[1]TrialBalance (Quarter)'!$A:$L,MATCH([1]TBMapping!$C1127,'[1]TrialBalance (Quarter)'!A:A,0),MATCH([1]TBMapping!N$3,'[1]TrialBalance (Quarter)'!$7:$7,0)),0)</f>
        <v>0</v>
      </c>
      <c r="N1125" s="5">
        <f>IFERROR(INDEX('[1]TrialBalance (Quarter)'!$A:$L,MATCH([1]TBMapping!$C1127,'[1]TrialBalance (Quarter)'!A:A,0),MATCH([1]TBMapping!O$3,'[1]TrialBalance (Quarter)'!$7:$7,0)),0)</f>
        <v>0</v>
      </c>
    </row>
    <row r="1126" spans="1:14">
      <c r="A1126" s="2">
        <v>28</v>
      </c>
      <c r="B1126" s="3">
        <v>520140</v>
      </c>
      <c r="C1126" s="10" t="s">
        <v>918</v>
      </c>
      <c r="D1126" s="10" t="s">
        <v>16</v>
      </c>
      <c r="E1126" s="10"/>
      <c r="F1126" s="5" t="e">
        <f>IF(DataExtraction="Manual",SUMIF('[1]TrialBalance (YTD)'!$C:$C,B1126,'[1]TrialBalance (YTD)'!$E:$E),SUMIF('[1]TrialBalance (YTD)'!$G:$G,B1126,'[1]TrialBalance (YTD)'!$I:$I))</f>
        <v>#VALUE!</v>
      </c>
      <c r="G1126" s="5">
        <f>IFERROR(INDEX('[1]TrialBalance (YTD)'!$G:$S,MATCH([1]TBMapping!$C1128,'[1]TrialBalance (YTD)'!G:G,0),MATCH([1]TBMapping!H$3,'[1]TrialBalance (YTD)'!$G$7:$Z$7,0)),0)</f>
        <v>0</v>
      </c>
      <c r="H1126" s="5" t="e">
        <f>SUMIF('[1]TrialBalance (YTD)'!G:G,B1126,'[1]TrialBalance (YTD)'!H:H)</f>
        <v>#VALUE!</v>
      </c>
      <c r="I1126" s="5">
        <f>IFERROR(INDEX('[1]TrialBalance (YTD)'!$G:$S,MATCH([1]TBMapping!$C1128,'[1]TrialBalance (YTD)'!G:G,0),MATCH([1]TBMapping!J$3,'[1]TrialBalance (YTD)'!$G$7:$Z$7,0)),0)</f>
        <v>0</v>
      </c>
      <c r="K1126" s="5" t="e">
        <f>SUMIF('[1]TrialBalance (Quarter)'!$A:$A,B1126,'[1]TrialBalance (Quarter)'!$B:$B)</f>
        <v>#VALUE!</v>
      </c>
      <c r="L1126" s="5">
        <f>IFERROR(INDEX('[1]TrialBalance (Quarter)'!$A:$L,MATCH([1]TBMapping!$C1128,'[1]TrialBalance (Quarter)'!A:A,0),MATCH([1]TBMapping!M$3,'[1]TrialBalance (Quarter)'!$7:$7,0)),0)</f>
        <v>0</v>
      </c>
      <c r="M1126" s="5">
        <f>IFERROR(INDEX('[1]TrialBalance (Quarter)'!$A:$L,MATCH([1]TBMapping!$C1128,'[1]TrialBalance (Quarter)'!A:A,0),MATCH([1]TBMapping!N$3,'[1]TrialBalance (Quarter)'!$7:$7,0)),0)</f>
        <v>0</v>
      </c>
      <c r="N1126" s="5">
        <f>IFERROR(INDEX('[1]TrialBalance (Quarter)'!$A:$L,MATCH([1]TBMapping!$C1128,'[1]TrialBalance (Quarter)'!A:A,0),MATCH([1]TBMapping!O$3,'[1]TrialBalance (Quarter)'!$7:$7,0)),0)</f>
        <v>0</v>
      </c>
    </row>
    <row r="1127" spans="1:14">
      <c r="A1127" s="2">
        <v>37</v>
      </c>
      <c r="B1127" s="3">
        <v>520150</v>
      </c>
      <c r="C1127" s="11" t="s">
        <v>919</v>
      </c>
      <c r="D1127" s="11" t="s">
        <v>5</v>
      </c>
      <c r="E1127" s="11"/>
      <c r="F1127" s="5" t="e">
        <f>IF(DataExtraction="Manual",SUMIF('[1]TrialBalance (YTD)'!$C:$C,B1127,'[1]TrialBalance (YTD)'!$E:$E),SUMIF('[1]TrialBalance (YTD)'!$G:$G,B1127,'[1]TrialBalance (YTD)'!$I:$I))</f>
        <v>#VALUE!</v>
      </c>
      <c r="G1127" s="5">
        <f>IFERROR(INDEX('[1]TrialBalance (YTD)'!$G:$S,MATCH([1]TBMapping!$C1129,'[1]TrialBalance (YTD)'!G:G,0),MATCH([1]TBMapping!H$3,'[1]TrialBalance (YTD)'!$G$7:$Z$7,0)),0)</f>
        <v>0</v>
      </c>
      <c r="H1127" s="5" t="e">
        <f>SUMIF('[1]TrialBalance (YTD)'!G:G,B1127,'[1]TrialBalance (YTD)'!H:H)</f>
        <v>#VALUE!</v>
      </c>
      <c r="I1127" s="5">
        <f>IFERROR(INDEX('[1]TrialBalance (YTD)'!$G:$S,MATCH([1]TBMapping!$C1129,'[1]TrialBalance (YTD)'!G:G,0),MATCH([1]TBMapping!J$3,'[1]TrialBalance (YTD)'!$G$7:$Z$7,0)),0)</f>
        <v>0</v>
      </c>
      <c r="K1127" s="5" t="e">
        <f>SUMIF('[1]TrialBalance (Quarter)'!$A:$A,B1127,'[1]TrialBalance (Quarter)'!$B:$B)</f>
        <v>#VALUE!</v>
      </c>
      <c r="L1127" s="5">
        <f>IFERROR(INDEX('[1]TrialBalance (Quarter)'!$A:$L,MATCH([1]TBMapping!$C1129,'[1]TrialBalance (Quarter)'!A:A,0),MATCH([1]TBMapping!M$3,'[1]TrialBalance (Quarter)'!$7:$7,0)),0)</f>
        <v>0</v>
      </c>
      <c r="M1127" s="5">
        <f>IFERROR(INDEX('[1]TrialBalance (Quarter)'!$A:$L,MATCH([1]TBMapping!$C1129,'[1]TrialBalance (Quarter)'!A:A,0),MATCH([1]TBMapping!N$3,'[1]TrialBalance (Quarter)'!$7:$7,0)),0)</f>
        <v>0</v>
      </c>
      <c r="N1127" s="5">
        <f>IFERROR(INDEX('[1]TrialBalance (Quarter)'!$A:$L,MATCH([1]TBMapping!$C1129,'[1]TrialBalance (Quarter)'!A:A,0),MATCH([1]TBMapping!O$3,'[1]TrialBalance (Quarter)'!$7:$7,0)),0)</f>
        <v>0</v>
      </c>
    </row>
    <row r="1128" spans="1:14">
      <c r="B1128" s="3">
        <v>520199</v>
      </c>
      <c r="C1128" s="10" t="s">
        <v>920</v>
      </c>
      <c r="D1128" s="10" t="s">
        <v>11</v>
      </c>
      <c r="E1128" s="10"/>
      <c r="F1128" s="5" t="e">
        <f>IF(DataExtraction="Manual",SUMIF('[1]TrialBalance (YTD)'!$C:$C,B1128,'[1]TrialBalance (YTD)'!$E:$E),SUMIF('[1]TrialBalance (YTD)'!$G:$G,B1128,'[1]TrialBalance (YTD)'!$I:$I))</f>
        <v>#VALUE!</v>
      </c>
      <c r="G1128" s="5">
        <f>IFERROR(INDEX('[1]TrialBalance (YTD)'!$G:$S,MATCH([1]TBMapping!$C1130,'[1]TrialBalance (YTD)'!G:G,0),MATCH([1]TBMapping!H$3,'[1]TrialBalance (YTD)'!$G$7:$Z$7,0)),0)</f>
        <v>0</v>
      </c>
      <c r="H1128" s="5" t="e">
        <f>SUMIF('[1]TrialBalance (YTD)'!G:G,B1128,'[1]TrialBalance (YTD)'!H:H)</f>
        <v>#VALUE!</v>
      </c>
      <c r="I1128" s="5">
        <f>IFERROR(INDEX('[1]TrialBalance (YTD)'!$G:$S,MATCH([1]TBMapping!$C1130,'[1]TrialBalance (YTD)'!G:G,0),MATCH([1]TBMapping!J$3,'[1]TrialBalance (YTD)'!$G$7:$Z$7,0)),0)</f>
        <v>0</v>
      </c>
      <c r="K1128" s="5" t="e">
        <f>SUMIF('[1]TrialBalance (Quarter)'!$A:$A,B1128,'[1]TrialBalance (Quarter)'!$B:$B)</f>
        <v>#VALUE!</v>
      </c>
      <c r="L1128" s="5">
        <f>IFERROR(INDEX('[1]TrialBalance (Quarter)'!$A:$L,MATCH([1]TBMapping!$C1130,'[1]TrialBalance (Quarter)'!A:A,0),MATCH([1]TBMapping!M$3,'[1]TrialBalance (Quarter)'!$7:$7,0)),0)</f>
        <v>0</v>
      </c>
      <c r="M1128" s="5">
        <f>IFERROR(INDEX('[1]TrialBalance (Quarter)'!$A:$L,MATCH([1]TBMapping!$C1130,'[1]TrialBalance (Quarter)'!A:A,0),MATCH([1]TBMapping!N$3,'[1]TrialBalance (Quarter)'!$7:$7,0)),0)</f>
        <v>0</v>
      </c>
      <c r="N1128" s="5">
        <f>IFERROR(INDEX('[1]TrialBalance (Quarter)'!$A:$L,MATCH([1]TBMapping!$C1130,'[1]TrialBalance (Quarter)'!A:A,0),MATCH([1]TBMapping!O$3,'[1]TrialBalance (Quarter)'!$7:$7,0)),0)</f>
        <v>0</v>
      </c>
    </row>
    <row r="1129" spans="1:14">
      <c r="B1129" s="3">
        <v>530000</v>
      </c>
      <c r="C1129" s="11" t="s">
        <v>509</v>
      </c>
      <c r="D1129" s="11" t="s">
        <v>11</v>
      </c>
      <c r="E1129" s="11"/>
      <c r="F1129" s="5" t="e">
        <f>IF(DataExtraction="Manual",SUMIF('[1]TrialBalance (YTD)'!$C:$C,B1129,'[1]TrialBalance (YTD)'!$E:$E),SUMIF('[1]TrialBalance (YTD)'!$G:$G,B1129,'[1]TrialBalance (YTD)'!$I:$I))</f>
        <v>#VALUE!</v>
      </c>
      <c r="G1129" s="5">
        <f>IFERROR(INDEX('[1]TrialBalance (YTD)'!$G:$S,MATCH([1]TBMapping!$C1131,'[1]TrialBalance (YTD)'!G:G,0),MATCH([1]TBMapping!H$3,'[1]TrialBalance (YTD)'!$G$7:$Z$7,0)),0)</f>
        <v>0</v>
      </c>
      <c r="H1129" s="5" t="e">
        <f>SUMIF('[1]TrialBalance (YTD)'!G:G,B1129,'[1]TrialBalance (YTD)'!H:H)</f>
        <v>#VALUE!</v>
      </c>
      <c r="I1129" s="5">
        <f>IFERROR(INDEX('[1]TrialBalance (YTD)'!$G:$S,MATCH([1]TBMapping!$C1131,'[1]TrialBalance (YTD)'!G:G,0),MATCH([1]TBMapping!J$3,'[1]TrialBalance (YTD)'!$G$7:$Z$7,0)),0)</f>
        <v>0</v>
      </c>
      <c r="K1129" s="5" t="e">
        <f>SUMIF('[1]TrialBalance (Quarter)'!$A:$A,B1129,'[1]TrialBalance (Quarter)'!$B:$B)</f>
        <v>#VALUE!</v>
      </c>
      <c r="L1129" s="5">
        <f>IFERROR(INDEX('[1]TrialBalance (Quarter)'!$A:$L,MATCH([1]TBMapping!$C1131,'[1]TrialBalance (Quarter)'!A:A,0),MATCH([1]TBMapping!M$3,'[1]TrialBalance (Quarter)'!$7:$7,0)),0)</f>
        <v>0</v>
      </c>
      <c r="M1129" s="5">
        <f>IFERROR(INDEX('[1]TrialBalance (Quarter)'!$A:$L,MATCH([1]TBMapping!$C1131,'[1]TrialBalance (Quarter)'!A:A,0),MATCH([1]TBMapping!N$3,'[1]TrialBalance (Quarter)'!$7:$7,0)),0)</f>
        <v>0</v>
      </c>
      <c r="N1129" s="5">
        <f>IFERROR(INDEX('[1]TrialBalance (Quarter)'!$A:$L,MATCH([1]TBMapping!$C1131,'[1]TrialBalance (Quarter)'!A:A,0),MATCH([1]TBMapping!O$3,'[1]TrialBalance (Quarter)'!$7:$7,0)),0)</f>
        <v>0</v>
      </c>
    </row>
    <row r="1130" spans="1:14">
      <c r="A1130" s="2">
        <v>28</v>
      </c>
      <c r="B1130" s="3">
        <v>530110</v>
      </c>
      <c r="C1130" s="10" t="s">
        <v>916</v>
      </c>
      <c r="D1130" s="10" t="s">
        <v>11</v>
      </c>
      <c r="E1130" s="10"/>
      <c r="F1130" s="5" t="e">
        <f>IF(DataExtraction="Manual",SUMIF('[1]TrialBalance (YTD)'!$C:$C,B1130,'[1]TrialBalance (YTD)'!$E:$E),SUMIF('[1]TrialBalance (YTD)'!$G:$G,B1130,'[1]TrialBalance (YTD)'!$I:$I))</f>
        <v>#VALUE!</v>
      </c>
      <c r="G1130" s="5">
        <f>IFERROR(INDEX('[1]TrialBalance (YTD)'!$G:$S,MATCH([1]TBMapping!$C1132,'[1]TrialBalance (YTD)'!G:G,0),MATCH([1]TBMapping!H$3,'[1]TrialBalance (YTD)'!$G$7:$Z$7,0)),0)</f>
        <v>0</v>
      </c>
      <c r="H1130" s="5" t="e">
        <f>SUMIF('[1]TrialBalance (YTD)'!G:G,B1130,'[1]TrialBalance (YTD)'!H:H)</f>
        <v>#VALUE!</v>
      </c>
      <c r="I1130" s="5">
        <f>IFERROR(INDEX('[1]TrialBalance (YTD)'!$G:$S,MATCH([1]TBMapping!$C1132,'[1]TrialBalance (YTD)'!G:G,0),MATCH([1]TBMapping!J$3,'[1]TrialBalance (YTD)'!$G$7:$Z$7,0)),0)</f>
        <v>0</v>
      </c>
      <c r="K1130" s="5" t="e">
        <f>SUMIF('[1]TrialBalance (Quarter)'!$A:$A,B1130,'[1]TrialBalance (Quarter)'!$B:$B)</f>
        <v>#VALUE!</v>
      </c>
      <c r="L1130" s="5">
        <f>IFERROR(INDEX('[1]TrialBalance (Quarter)'!$A:$L,MATCH([1]TBMapping!$C1132,'[1]TrialBalance (Quarter)'!A:A,0),MATCH([1]TBMapping!M$3,'[1]TrialBalance (Quarter)'!$7:$7,0)),0)</f>
        <v>0</v>
      </c>
      <c r="M1130" s="5">
        <f>IFERROR(INDEX('[1]TrialBalance (Quarter)'!$A:$L,MATCH([1]TBMapping!$C1132,'[1]TrialBalance (Quarter)'!A:A,0),MATCH([1]TBMapping!N$3,'[1]TrialBalance (Quarter)'!$7:$7,0)),0)</f>
        <v>0</v>
      </c>
      <c r="N1130" s="5">
        <f>IFERROR(INDEX('[1]TrialBalance (Quarter)'!$A:$L,MATCH([1]TBMapping!$C1132,'[1]TrialBalance (Quarter)'!A:A,0),MATCH([1]TBMapping!O$3,'[1]TrialBalance (Quarter)'!$7:$7,0)),0)</f>
        <v>0</v>
      </c>
    </row>
    <row r="1131" spans="1:14">
      <c r="A1131" s="2">
        <v>28</v>
      </c>
      <c r="B1131" s="3">
        <v>530120</v>
      </c>
      <c r="C1131" s="11" t="s">
        <v>917</v>
      </c>
      <c r="D1131" s="11" t="s">
        <v>11</v>
      </c>
      <c r="E1131" s="11"/>
      <c r="F1131" s="5" t="e">
        <f>IF(DataExtraction="Manual",SUMIF('[1]TrialBalance (YTD)'!$C:$C,B1131,'[1]TrialBalance (YTD)'!$E:$E),SUMIF('[1]TrialBalance (YTD)'!$G:$G,B1131,'[1]TrialBalance (YTD)'!$I:$I))</f>
        <v>#VALUE!</v>
      </c>
      <c r="G1131" s="5">
        <f>IFERROR(INDEX('[1]TrialBalance (YTD)'!$G:$S,MATCH([1]TBMapping!$C1133,'[1]TrialBalance (YTD)'!G:G,0),MATCH([1]TBMapping!H$3,'[1]TrialBalance (YTD)'!$G$7:$Z$7,0)),0)</f>
        <v>0</v>
      </c>
      <c r="H1131" s="5" t="e">
        <f>SUMIF('[1]TrialBalance (YTD)'!G:G,B1131,'[1]TrialBalance (YTD)'!H:H)</f>
        <v>#VALUE!</v>
      </c>
      <c r="I1131" s="5">
        <f>IFERROR(INDEX('[1]TrialBalance (YTD)'!$G:$S,MATCH([1]TBMapping!$C1133,'[1]TrialBalance (YTD)'!G:G,0),MATCH([1]TBMapping!J$3,'[1]TrialBalance (YTD)'!$G$7:$Z$7,0)),0)</f>
        <v>0</v>
      </c>
      <c r="K1131" s="5" t="e">
        <f>SUMIF('[1]TrialBalance (Quarter)'!$A:$A,B1131,'[1]TrialBalance (Quarter)'!$B:$B)</f>
        <v>#VALUE!</v>
      </c>
      <c r="L1131" s="5">
        <f>IFERROR(INDEX('[1]TrialBalance (Quarter)'!$A:$L,MATCH([1]TBMapping!$C1133,'[1]TrialBalance (Quarter)'!A:A,0),MATCH([1]TBMapping!M$3,'[1]TrialBalance (Quarter)'!$7:$7,0)),0)</f>
        <v>0</v>
      </c>
      <c r="M1131" s="5">
        <f>IFERROR(INDEX('[1]TrialBalance (Quarter)'!$A:$L,MATCH([1]TBMapping!$C1133,'[1]TrialBalance (Quarter)'!A:A,0),MATCH([1]TBMapping!N$3,'[1]TrialBalance (Quarter)'!$7:$7,0)),0)</f>
        <v>0</v>
      </c>
      <c r="N1131" s="5">
        <f>IFERROR(INDEX('[1]TrialBalance (Quarter)'!$A:$L,MATCH([1]TBMapping!$C1133,'[1]TrialBalance (Quarter)'!A:A,0),MATCH([1]TBMapping!O$3,'[1]TrialBalance (Quarter)'!$7:$7,0)),0)</f>
        <v>0</v>
      </c>
    </row>
    <row r="1132" spans="1:14">
      <c r="A1132" s="2">
        <v>28</v>
      </c>
      <c r="B1132" s="3">
        <v>530130</v>
      </c>
      <c r="C1132" s="10" t="s">
        <v>900</v>
      </c>
      <c r="D1132" s="10" t="s">
        <v>11</v>
      </c>
      <c r="E1132" s="10"/>
      <c r="F1132" s="5" t="e">
        <f>IF(DataExtraction="Manual",SUMIF('[1]TrialBalance (YTD)'!$C:$C,B1132,'[1]TrialBalance (YTD)'!$E:$E),SUMIF('[1]TrialBalance (YTD)'!$G:$G,B1132,'[1]TrialBalance (YTD)'!$I:$I))</f>
        <v>#VALUE!</v>
      </c>
      <c r="G1132" s="5">
        <f>IFERROR(INDEX('[1]TrialBalance (YTD)'!$G:$S,MATCH([1]TBMapping!$C1134,'[1]TrialBalance (YTD)'!G:G,0),MATCH([1]TBMapping!H$3,'[1]TrialBalance (YTD)'!$G$7:$Z$7,0)),0)</f>
        <v>0</v>
      </c>
      <c r="H1132" s="5" t="e">
        <f>SUMIF('[1]TrialBalance (YTD)'!G:G,B1132,'[1]TrialBalance (YTD)'!H:H)</f>
        <v>#VALUE!</v>
      </c>
      <c r="I1132" s="5">
        <f>IFERROR(INDEX('[1]TrialBalance (YTD)'!$G:$S,MATCH([1]TBMapping!$C1134,'[1]TrialBalance (YTD)'!G:G,0),MATCH([1]TBMapping!J$3,'[1]TrialBalance (YTD)'!$G$7:$Z$7,0)),0)</f>
        <v>0</v>
      </c>
      <c r="K1132" s="5" t="e">
        <f>SUMIF('[1]TrialBalance (Quarter)'!$A:$A,B1132,'[1]TrialBalance (Quarter)'!$B:$B)</f>
        <v>#VALUE!</v>
      </c>
      <c r="L1132" s="5">
        <f>IFERROR(INDEX('[1]TrialBalance (Quarter)'!$A:$L,MATCH([1]TBMapping!$C1134,'[1]TrialBalance (Quarter)'!A:A,0),MATCH([1]TBMapping!M$3,'[1]TrialBalance (Quarter)'!$7:$7,0)),0)</f>
        <v>0</v>
      </c>
      <c r="M1132" s="5">
        <f>IFERROR(INDEX('[1]TrialBalance (Quarter)'!$A:$L,MATCH([1]TBMapping!$C1134,'[1]TrialBalance (Quarter)'!A:A,0),MATCH([1]TBMapping!N$3,'[1]TrialBalance (Quarter)'!$7:$7,0)),0)</f>
        <v>0</v>
      </c>
      <c r="N1132" s="5">
        <f>IFERROR(INDEX('[1]TrialBalance (Quarter)'!$A:$L,MATCH([1]TBMapping!$C1134,'[1]TrialBalance (Quarter)'!A:A,0),MATCH([1]TBMapping!O$3,'[1]TrialBalance (Quarter)'!$7:$7,0)),0)</f>
        <v>0</v>
      </c>
    </row>
    <row r="1133" spans="1:14">
      <c r="A1133" s="2">
        <v>28</v>
      </c>
      <c r="B1133" s="3">
        <v>530140</v>
      </c>
      <c r="C1133" s="11" t="s">
        <v>921</v>
      </c>
      <c r="D1133" s="11" t="s">
        <v>16</v>
      </c>
      <c r="E1133" s="11"/>
      <c r="F1133" s="5" t="e">
        <f>IF(DataExtraction="Manual",SUMIF('[1]TrialBalance (YTD)'!$C:$C,B1133,'[1]TrialBalance (YTD)'!$E:$E),SUMIF('[1]TrialBalance (YTD)'!$G:$G,B1133,'[1]TrialBalance (YTD)'!$I:$I))</f>
        <v>#VALUE!</v>
      </c>
      <c r="G1133" s="5">
        <f>IFERROR(INDEX('[1]TrialBalance (YTD)'!$G:$S,MATCH([1]TBMapping!$C1135,'[1]TrialBalance (YTD)'!G:G,0),MATCH([1]TBMapping!H$3,'[1]TrialBalance (YTD)'!$G$7:$Z$7,0)),0)</f>
        <v>0</v>
      </c>
      <c r="H1133" s="5" t="e">
        <f>SUMIF('[1]TrialBalance (YTD)'!G:G,B1133,'[1]TrialBalance (YTD)'!H:H)</f>
        <v>#VALUE!</v>
      </c>
      <c r="I1133" s="5">
        <f>IFERROR(INDEX('[1]TrialBalance (YTD)'!$G:$S,MATCH([1]TBMapping!$C1135,'[1]TrialBalance (YTD)'!G:G,0),MATCH([1]TBMapping!J$3,'[1]TrialBalance (YTD)'!$G$7:$Z$7,0)),0)</f>
        <v>0</v>
      </c>
      <c r="K1133" s="5" t="e">
        <f>SUMIF('[1]TrialBalance (Quarter)'!$A:$A,B1133,'[1]TrialBalance (Quarter)'!$B:$B)</f>
        <v>#VALUE!</v>
      </c>
      <c r="L1133" s="5">
        <f>IFERROR(INDEX('[1]TrialBalance (Quarter)'!$A:$L,MATCH([1]TBMapping!$C1135,'[1]TrialBalance (Quarter)'!A:A,0),MATCH([1]TBMapping!M$3,'[1]TrialBalance (Quarter)'!$7:$7,0)),0)</f>
        <v>0</v>
      </c>
      <c r="M1133" s="5">
        <f>IFERROR(INDEX('[1]TrialBalance (Quarter)'!$A:$L,MATCH([1]TBMapping!$C1135,'[1]TrialBalance (Quarter)'!A:A,0),MATCH([1]TBMapping!N$3,'[1]TrialBalance (Quarter)'!$7:$7,0)),0)</f>
        <v>0</v>
      </c>
      <c r="N1133" s="5">
        <f>IFERROR(INDEX('[1]TrialBalance (Quarter)'!$A:$L,MATCH([1]TBMapping!$C1135,'[1]TrialBalance (Quarter)'!A:A,0),MATCH([1]TBMapping!O$3,'[1]TrialBalance (Quarter)'!$7:$7,0)),0)</f>
        <v>0</v>
      </c>
    </row>
    <row r="1134" spans="1:14">
      <c r="A1134" s="2">
        <v>37</v>
      </c>
      <c r="B1134" s="3">
        <v>530150</v>
      </c>
      <c r="C1134" s="10" t="s">
        <v>814</v>
      </c>
      <c r="D1134" s="10" t="s">
        <v>11</v>
      </c>
      <c r="E1134" s="10"/>
      <c r="F1134" s="5" t="e">
        <f>IF(DataExtraction="Manual",SUMIF('[1]TrialBalance (YTD)'!$C:$C,B1134,'[1]TrialBalance (YTD)'!$E:$E),SUMIF('[1]TrialBalance (YTD)'!$G:$G,B1134,'[1]TrialBalance (YTD)'!$I:$I))</f>
        <v>#VALUE!</v>
      </c>
      <c r="G1134" s="5">
        <f>IFERROR(INDEX('[1]TrialBalance (YTD)'!$G:$S,MATCH([1]TBMapping!$C1136,'[1]TrialBalance (YTD)'!G:G,0),MATCH([1]TBMapping!H$3,'[1]TrialBalance (YTD)'!$G$7:$Z$7,0)),0)</f>
        <v>0</v>
      </c>
      <c r="H1134" s="5" t="e">
        <f>SUMIF('[1]TrialBalance (YTD)'!G:G,B1134,'[1]TrialBalance (YTD)'!H:H)</f>
        <v>#VALUE!</v>
      </c>
      <c r="I1134" s="5">
        <f>IFERROR(INDEX('[1]TrialBalance (YTD)'!$G:$S,MATCH([1]TBMapping!$C1136,'[1]TrialBalance (YTD)'!G:G,0),MATCH([1]TBMapping!J$3,'[1]TrialBalance (YTD)'!$G$7:$Z$7,0)),0)</f>
        <v>0</v>
      </c>
      <c r="K1134" s="5" t="e">
        <f>SUMIF('[1]TrialBalance (Quarter)'!$A:$A,B1134,'[1]TrialBalance (Quarter)'!$B:$B)</f>
        <v>#VALUE!</v>
      </c>
      <c r="L1134" s="5">
        <f>IFERROR(INDEX('[1]TrialBalance (Quarter)'!$A:$L,MATCH([1]TBMapping!$C1136,'[1]TrialBalance (Quarter)'!A:A,0),MATCH([1]TBMapping!M$3,'[1]TrialBalance (Quarter)'!$7:$7,0)),0)</f>
        <v>0</v>
      </c>
      <c r="M1134" s="5">
        <f>IFERROR(INDEX('[1]TrialBalance (Quarter)'!$A:$L,MATCH([1]TBMapping!$C1136,'[1]TrialBalance (Quarter)'!A:A,0),MATCH([1]TBMapping!N$3,'[1]TrialBalance (Quarter)'!$7:$7,0)),0)</f>
        <v>0</v>
      </c>
      <c r="N1134" s="5">
        <f>IFERROR(INDEX('[1]TrialBalance (Quarter)'!$A:$L,MATCH([1]TBMapping!$C1136,'[1]TrialBalance (Quarter)'!A:A,0),MATCH([1]TBMapping!O$3,'[1]TrialBalance (Quarter)'!$7:$7,0)),0)</f>
        <v>0</v>
      </c>
    </row>
    <row r="1135" spans="1:14">
      <c r="B1135" s="3">
        <v>530199</v>
      </c>
      <c r="C1135" s="11" t="s">
        <v>922</v>
      </c>
      <c r="D1135" s="11" t="s">
        <v>16</v>
      </c>
      <c r="E1135" s="11"/>
      <c r="F1135" s="5" t="e">
        <f>IF(DataExtraction="Manual",SUMIF('[1]TrialBalance (YTD)'!$C:$C,B1135,'[1]TrialBalance (YTD)'!$E:$E),SUMIF('[1]TrialBalance (YTD)'!$G:$G,B1135,'[1]TrialBalance (YTD)'!$I:$I))</f>
        <v>#VALUE!</v>
      </c>
      <c r="G1135" s="5">
        <f>IFERROR(INDEX('[1]TrialBalance (YTD)'!$G:$S,MATCH([1]TBMapping!$C1137,'[1]TrialBalance (YTD)'!G:G,0),MATCH([1]TBMapping!H$3,'[1]TrialBalance (YTD)'!$G$7:$Z$7,0)),0)</f>
        <v>0</v>
      </c>
      <c r="H1135" s="5" t="e">
        <f>SUMIF('[1]TrialBalance (YTD)'!G:G,B1135,'[1]TrialBalance (YTD)'!H:H)</f>
        <v>#VALUE!</v>
      </c>
      <c r="I1135" s="5">
        <f>IFERROR(INDEX('[1]TrialBalance (YTD)'!$G:$S,MATCH([1]TBMapping!$C1137,'[1]TrialBalance (YTD)'!G:G,0),MATCH([1]TBMapping!J$3,'[1]TrialBalance (YTD)'!$G$7:$Z$7,0)),0)</f>
        <v>0</v>
      </c>
      <c r="K1135" s="5" t="e">
        <f>SUMIF('[1]TrialBalance (Quarter)'!$A:$A,B1135,'[1]TrialBalance (Quarter)'!$B:$B)</f>
        <v>#VALUE!</v>
      </c>
      <c r="L1135" s="5">
        <f>IFERROR(INDEX('[1]TrialBalance (Quarter)'!$A:$L,MATCH([1]TBMapping!$C1137,'[1]TrialBalance (Quarter)'!A:A,0),MATCH([1]TBMapping!M$3,'[1]TrialBalance (Quarter)'!$7:$7,0)),0)</f>
        <v>0</v>
      </c>
      <c r="M1135" s="5">
        <f>IFERROR(INDEX('[1]TrialBalance (Quarter)'!$A:$L,MATCH([1]TBMapping!$C1137,'[1]TrialBalance (Quarter)'!A:A,0),MATCH([1]TBMapping!N$3,'[1]TrialBalance (Quarter)'!$7:$7,0)),0)</f>
        <v>0</v>
      </c>
      <c r="N1135" s="5">
        <f>IFERROR(INDEX('[1]TrialBalance (Quarter)'!$A:$L,MATCH([1]TBMapping!$C1137,'[1]TrialBalance (Quarter)'!A:A,0),MATCH([1]TBMapping!O$3,'[1]TrialBalance (Quarter)'!$7:$7,0)),0)</f>
        <v>0</v>
      </c>
    </row>
    <row r="1136" spans="1:14">
      <c r="B1136" s="3">
        <v>593557</v>
      </c>
      <c r="C1136" s="10" t="s">
        <v>923</v>
      </c>
      <c r="D1136" s="10" t="s">
        <v>924</v>
      </c>
      <c r="E1136" s="10"/>
      <c r="F1136" s="5" t="e">
        <f>IF(DataExtraction="Manual",SUMIF('[1]TrialBalance (YTD)'!$C:$C,B1136,'[1]TrialBalance (YTD)'!$E:$E),SUMIF('[1]TrialBalance (YTD)'!$G:$G,B1136,'[1]TrialBalance (YTD)'!$I:$I))</f>
        <v>#VALUE!</v>
      </c>
      <c r="G1136" s="5">
        <f>IFERROR(INDEX('[1]TrialBalance (YTD)'!$G:$S,MATCH([1]TBMapping!$C1138,'[1]TrialBalance (YTD)'!G:G,0),MATCH([1]TBMapping!H$3,'[1]TrialBalance (YTD)'!$G$7:$Z$7,0)),0)</f>
        <v>0</v>
      </c>
      <c r="H1136" s="5" t="e">
        <f>SUMIF('[1]TrialBalance (YTD)'!G:G,B1136,'[1]TrialBalance (YTD)'!H:H)</f>
        <v>#VALUE!</v>
      </c>
      <c r="I1136" s="5">
        <f>IFERROR(INDEX('[1]TrialBalance (YTD)'!$G:$S,MATCH([1]TBMapping!$C1138,'[1]TrialBalance (YTD)'!G:G,0),MATCH([1]TBMapping!J$3,'[1]TrialBalance (YTD)'!$G$7:$Z$7,0)),0)</f>
        <v>0</v>
      </c>
      <c r="K1136" s="5" t="e">
        <f>SUMIF('[1]TrialBalance (Quarter)'!$A:$A,B1136,'[1]TrialBalance (Quarter)'!$B:$B)</f>
        <v>#VALUE!</v>
      </c>
      <c r="L1136" s="5">
        <f>IFERROR(INDEX('[1]TrialBalance (Quarter)'!$A:$L,MATCH([1]TBMapping!$C1138,'[1]TrialBalance (Quarter)'!A:A,0),MATCH([1]TBMapping!M$3,'[1]TrialBalance (Quarter)'!$7:$7,0)),0)</f>
        <v>0</v>
      </c>
      <c r="M1136" s="5">
        <f>IFERROR(INDEX('[1]TrialBalance (Quarter)'!$A:$L,MATCH([1]TBMapping!$C1138,'[1]TrialBalance (Quarter)'!A:A,0),MATCH([1]TBMapping!N$3,'[1]TrialBalance (Quarter)'!$7:$7,0)),0)</f>
        <v>0</v>
      </c>
      <c r="N1136" s="5">
        <f>IFERROR(INDEX('[1]TrialBalance (Quarter)'!$A:$L,MATCH([1]TBMapping!$C1138,'[1]TrialBalance (Quarter)'!A:A,0),MATCH([1]TBMapping!O$3,'[1]TrialBalance (Quarter)'!$7:$7,0)),0)</f>
        <v>0</v>
      </c>
    </row>
    <row r="1137" spans="1:14">
      <c r="B1137" s="3">
        <v>599999</v>
      </c>
      <c r="C1137" s="11" t="s">
        <v>925</v>
      </c>
      <c r="D1137" s="11" t="s">
        <v>5</v>
      </c>
      <c r="E1137" s="11"/>
      <c r="F1137" s="5" t="e">
        <f>IF(DataExtraction="Manual",SUMIF('[1]TrialBalance (YTD)'!$C:$C,B1137,'[1]TrialBalance (YTD)'!$E:$E),SUMIF('[1]TrialBalance (YTD)'!$G:$G,B1137,'[1]TrialBalance (YTD)'!$I:$I))</f>
        <v>#VALUE!</v>
      </c>
      <c r="G1137" s="5">
        <f>IFERROR(INDEX('[1]TrialBalance (YTD)'!$G:$S,MATCH([1]TBMapping!$C1139,'[1]TrialBalance (YTD)'!G:G,0),MATCH([1]TBMapping!H$3,'[1]TrialBalance (YTD)'!$G$7:$Z$7,0)),0)</f>
        <v>0</v>
      </c>
      <c r="H1137" s="5" t="e">
        <f>SUMIF('[1]TrialBalance (YTD)'!G:G,B1137,'[1]TrialBalance (YTD)'!H:H)</f>
        <v>#VALUE!</v>
      </c>
      <c r="I1137" s="5">
        <f>IFERROR(INDEX('[1]TrialBalance (YTD)'!$G:$S,MATCH([1]TBMapping!$C1139,'[1]TrialBalance (YTD)'!G:G,0),MATCH([1]TBMapping!J$3,'[1]TrialBalance (YTD)'!$G$7:$Z$7,0)),0)</f>
        <v>0</v>
      </c>
      <c r="K1137" s="5" t="e">
        <f>SUMIF('[1]TrialBalance (Quarter)'!$A:$A,B1137,'[1]TrialBalance (Quarter)'!$B:$B)</f>
        <v>#VALUE!</v>
      </c>
      <c r="L1137" s="5">
        <f>IFERROR(INDEX('[1]TrialBalance (Quarter)'!$A:$L,MATCH([1]TBMapping!$C1139,'[1]TrialBalance (Quarter)'!A:A,0),MATCH([1]TBMapping!M$3,'[1]TrialBalance (Quarter)'!$7:$7,0)),0)</f>
        <v>0</v>
      </c>
      <c r="M1137" s="5">
        <f>IFERROR(INDEX('[1]TrialBalance (Quarter)'!$A:$L,MATCH([1]TBMapping!$C1139,'[1]TrialBalance (Quarter)'!A:A,0),MATCH([1]TBMapping!N$3,'[1]TrialBalance (Quarter)'!$7:$7,0)),0)</f>
        <v>0</v>
      </c>
      <c r="N1137" s="5">
        <f>IFERROR(INDEX('[1]TrialBalance (Quarter)'!$A:$L,MATCH([1]TBMapping!$C1139,'[1]TrialBalance (Quarter)'!A:A,0),MATCH([1]TBMapping!O$3,'[1]TrialBalance (Quarter)'!$7:$7,0)),0)</f>
        <v>0</v>
      </c>
    </row>
    <row r="1138" spans="1:14">
      <c r="B1138" s="3">
        <v>600000</v>
      </c>
      <c r="C1138" s="10" t="s">
        <v>926</v>
      </c>
      <c r="D1138" s="10" t="s">
        <v>5</v>
      </c>
      <c r="E1138" s="10"/>
      <c r="F1138" s="5" t="e">
        <f>IF(DataExtraction="Manual",SUMIF('[1]TrialBalance (YTD)'!$C:$C,B1138,'[1]TrialBalance (YTD)'!$E:$E),SUMIF('[1]TrialBalance (YTD)'!$G:$G,B1138,'[1]TrialBalance (YTD)'!$I:$I))</f>
        <v>#VALUE!</v>
      </c>
      <c r="G1138" s="5">
        <f>IFERROR(INDEX('[1]TrialBalance (YTD)'!$G:$S,MATCH([1]TBMapping!$C1140,'[1]TrialBalance (YTD)'!G:G,0),MATCH([1]TBMapping!H$3,'[1]TrialBalance (YTD)'!$G$7:$Z$7,0)),0)</f>
        <v>0</v>
      </c>
      <c r="H1138" s="5" t="e">
        <f>SUMIF('[1]TrialBalance (YTD)'!G:G,B1138,'[1]TrialBalance (YTD)'!H:H)</f>
        <v>#VALUE!</v>
      </c>
      <c r="I1138" s="5">
        <f>IFERROR(INDEX('[1]TrialBalance (YTD)'!$G:$S,MATCH([1]TBMapping!$C1140,'[1]TrialBalance (YTD)'!G:G,0),MATCH([1]TBMapping!J$3,'[1]TrialBalance (YTD)'!$G$7:$Z$7,0)),0)</f>
        <v>0</v>
      </c>
      <c r="K1138" s="5" t="e">
        <f>SUMIF('[1]TrialBalance (Quarter)'!$A:$A,B1138,'[1]TrialBalance (Quarter)'!$B:$B)</f>
        <v>#VALUE!</v>
      </c>
      <c r="L1138" s="5">
        <f>IFERROR(INDEX('[1]TrialBalance (Quarter)'!$A:$L,MATCH([1]TBMapping!$C1140,'[1]TrialBalance (Quarter)'!A:A,0),MATCH([1]TBMapping!M$3,'[1]TrialBalance (Quarter)'!$7:$7,0)),0)</f>
        <v>0</v>
      </c>
      <c r="M1138" s="5">
        <f>IFERROR(INDEX('[1]TrialBalance (Quarter)'!$A:$L,MATCH([1]TBMapping!$C1140,'[1]TrialBalance (Quarter)'!A:A,0),MATCH([1]TBMapping!N$3,'[1]TrialBalance (Quarter)'!$7:$7,0)),0)</f>
        <v>0</v>
      </c>
      <c r="N1138" s="5">
        <f>IFERROR(INDEX('[1]TrialBalance (Quarter)'!$A:$L,MATCH([1]TBMapping!$C1140,'[1]TrialBalance (Quarter)'!A:A,0),MATCH([1]TBMapping!O$3,'[1]TrialBalance (Quarter)'!$7:$7,0)),0)</f>
        <v>0</v>
      </c>
    </row>
    <row r="1139" spans="1:14">
      <c r="B1139" s="3">
        <v>600001</v>
      </c>
      <c r="C1139" s="11" t="s">
        <v>927</v>
      </c>
      <c r="D1139" s="11" t="s">
        <v>11</v>
      </c>
      <c r="E1139" s="11"/>
      <c r="F1139" s="5" t="e">
        <f>IF(DataExtraction="Manual",SUMIF('[1]TrialBalance (YTD)'!$C:$C,B1139,'[1]TrialBalance (YTD)'!$E:$E),SUMIF('[1]TrialBalance (YTD)'!$G:$G,B1139,'[1]TrialBalance (YTD)'!$I:$I))</f>
        <v>#VALUE!</v>
      </c>
      <c r="G1139" s="5">
        <f>IFERROR(INDEX('[1]TrialBalance (YTD)'!$G:$S,MATCH([1]TBMapping!$C1141,'[1]TrialBalance (YTD)'!G:G,0),MATCH([1]TBMapping!H$3,'[1]TrialBalance (YTD)'!$G$7:$Z$7,0)),0)</f>
        <v>0</v>
      </c>
      <c r="H1139" s="5" t="e">
        <f>SUMIF('[1]TrialBalance (YTD)'!G:G,B1139,'[1]TrialBalance (YTD)'!H:H)</f>
        <v>#VALUE!</v>
      </c>
      <c r="I1139" s="5">
        <f>IFERROR(INDEX('[1]TrialBalance (YTD)'!$G:$S,MATCH([1]TBMapping!$C1141,'[1]TrialBalance (YTD)'!G:G,0),MATCH([1]TBMapping!J$3,'[1]TrialBalance (YTD)'!$G$7:$Z$7,0)),0)</f>
        <v>0</v>
      </c>
      <c r="K1139" s="5" t="e">
        <f>SUMIF('[1]TrialBalance (Quarter)'!$A:$A,B1139,'[1]TrialBalance (Quarter)'!$B:$B)</f>
        <v>#VALUE!</v>
      </c>
      <c r="L1139" s="5">
        <f>IFERROR(INDEX('[1]TrialBalance (Quarter)'!$A:$L,MATCH([1]TBMapping!$C1141,'[1]TrialBalance (Quarter)'!A:A,0),MATCH([1]TBMapping!M$3,'[1]TrialBalance (Quarter)'!$7:$7,0)),0)</f>
        <v>0</v>
      </c>
      <c r="M1139" s="5">
        <f>IFERROR(INDEX('[1]TrialBalance (Quarter)'!$A:$L,MATCH([1]TBMapping!$C1141,'[1]TrialBalance (Quarter)'!A:A,0),MATCH([1]TBMapping!N$3,'[1]TrialBalance (Quarter)'!$7:$7,0)),0)</f>
        <v>0</v>
      </c>
      <c r="N1139" s="5">
        <f>IFERROR(INDEX('[1]TrialBalance (Quarter)'!$A:$L,MATCH([1]TBMapping!$C1141,'[1]TrialBalance (Quarter)'!A:A,0),MATCH([1]TBMapping!O$3,'[1]TrialBalance (Quarter)'!$7:$7,0)),0)</f>
        <v>0</v>
      </c>
    </row>
    <row r="1140" spans="1:14">
      <c r="B1140" s="3">
        <v>610000</v>
      </c>
      <c r="C1140" s="10" t="s">
        <v>928</v>
      </c>
      <c r="D1140" s="10" t="s">
        <v>11</v>
      </c>
      <c r="E1140" s="10"/>
      <c r="F1140" s="5" t="e">
        <f>IF(DataExtraction="Manual",SUMIF('[1]TrialBalance (YTD)'!$C:$C,B1140,'[1]TrialBalance (YTD)'!$E:$E),SUMIF('[1]TrialBalance (YTD)'!$G:$G,B1140,'[1]TrialBalance (YTD)'!$I:$I))</f>
        <v>#VALUE!</v>
      </c>
      <c r="G1140" s="5">
        <f>IFERROR(INDEX('[1]TrialBalance (YTD)'!$G:$S,MATCH([1]TBMapping!$C1142,'[1]TrialBalance (YTD)'!G:G,0),MATCH([1]TBMapping!H$3,'[1]TrialBalance (YTD)'!$G$7:$Z$7,0)),0)</f>
        <v>0</v>
      </c>
      <c r="H1140" s="5" t="e">
        <f>SUMIF('[1]TrialBalance (YTD)'!G:G,B1140,'[1]TrialBalance (YTD)'!H:H)</f>
        <v>#VALUE!</v>
      </c>
      <c r="I1140" s="5">
        <f>IFERROR(INDEX('[1]TrialBalance (YTD)'!$G:$S,MATCH([1]TBMapping!$C1142,'[1]TrialBalance (YTD)'!G:G,0),MATCH([1]TBMapping!J$3,'[1]TrialBalance (YTD)'!$G$7:$Z$7,0)),0)</f>
        <v>0</v>
      </c>
      <c r="K1140" s="5" t="e">
        <f>SUMIF('[1]TrialBalance (Quarter)'!$A:$A,B1140,'[1]TrialBalance (Quarter)'!$B:$B)</f>
        <v>#VALUE!</v>
      </c>
      <c r="L1140" s="5">
        <f>IFERROR(INDEX('[1]TrialBalance (Quarter)'!$A:$L,MATCH([1]TBMapping!$C1142,'[1]TrialBalance (Quarter)'!A:A,0),MATCH([1]TBMapping!M$3,'[1]TrialBalance (Quarter)'!$7:$7,0)),0)</f>
        <v>0</v>
      </c>
      <c r="M1140" s="5">
        <f>IFERROR(INDEX('[1]TrialBalance (Quarter)'!$A:$L,MATCH([1]TBMapping!$C1142,'[1]TrialBalance (Quarter)'!A:A,0),MATCH([1]TBMapping!N$3,'[1]TrialBalance (Quarter)'!$7:$7,0)),0)</f>
        <v>0</v>
      </c>
      <c r="N1140" s="5">
        <f>IFERROR(INDEX('[1]TrialBalance (Quarter)'!$A:$L,MATCH([1]TBMapping!$C1142,'[1]TrialBalance (Quarter)'!A:A,0),MATCH([1]TBMapping!O$3,'[1]TrialBalance (Quarter)'!$7:$7,0)),0)</f>
        <v>0</v>
      </c>
    </row>
    <row r="1141" spans="1:14">
      <c r="A1141" s="2">
        <v>24</v>
      </c>
      <c r="B1141" s="3">
        <v>611000</v>
      </c>
      <c r="C1141" s="11" t="s">
        <v>929</v>
      </c>
      <c r="D1141" s="11" t="s">
        <v>11</v>
      </c>
      <c r="E1141" s="11"/>
      <c r="F1141" s="5" t="e">
        <f>IF(DataExtraction="Manual",SUMIF('[1]TrialBalance (YTD)'!$C:$C,B1141,'[1]TrialBalance (YTD)'!$E:$E),SUMIF('[1]TrialBalance (YTD)'!$G:$G,B1141,'[1]TrialBalance (YTD)'!$I:$I))</f>
        <v>#VALUE!</v>
      </c>
      <c r="G1141" s="5">
        <f>IFERROR(INDEX('[1]TrialBalance (YTD)'!$G:$S,MATCH([1]TBMapping!$C1143,'[1]TrialBalance (YTD)'!G:G,0),MATCH([1]TBMapping!H$3,'[1]TrialBalance (YTD)'!$G$7:$Z$7,0)),0)</f>
        <v>0</v>
      </c>
      <c r="H1141" s="5" t="e">
        <f>SUMIF('[1]TrialBalance (YTD)'!G:G,B1141,'[1]TrialBalance (YTD)'!H:H)</f>
        <v>#VALUE!</v>
      </c>
      <c r="I1141" s="5">
        <f>IFERROR(INDEX('[1]TrialBalance (YTD)'!$G:$S,MATCH([1]TBMapping!$C1143,'[1]TrialBalance (YTD)'!G:G,0),MATCH([1]TBMapping!J$3,'[1]TrialBalance (YTD)'!$G$7:$Z$7,0)),0)</f>
        <v>0</v>
      </c>
      <c r="K1141" s="5" t="e">
        <f>SUMIF('[1]TrialBalance (Quarter)'!$A:$A,B1141,'[1]TrialBalance (Quarter)'!$B:$B)</f>
        <v>#VALUE!</v>
      </c>
      <c r="L1141" s="5">
        <f>IFERROR(INDEX('[1]TrialBalance (Quarter)'!$A:$L,MATCH([1]TBMapping!$C1143,'[1]TrialBalance (Quarter)'!A:A,0),MATCH([1]TBMapping!M$3,'[1]TrialBalance (Quarter)'!$7:$7,0)),0)</f>
        <v>0</v>
      </c>
      <c r="M1141" s="5">
        <f>IFERROR(INDEX('[1]TrialBalance (Quarter)'!$A:$L,MATCH([1]TBMapping!$C1143,'[1]TrialBalance (Quarter)'!A:A,0),MATCH([1]TBMapping!N$3,'[1]TrialBalance (Quarter)'!$7:$7,0)),0)</f>
        <v>0</v>
      </c>
      <c r="N1141" s="5">
        <f>IFERROR(INDEX('[1]TrialBalance (Quarter)'!$A:$L,MATCH([1]TBMapping!$C1143,'[1]TrialBalance (Quarter)'!A:A,0),MATCH([1]TBMapping!O$3,'[1]TrialBalance (Quarter)'!$7:$7,0)),0)</f>
        <v>0</v>
      </c>
    </row>
    <row r="1142" spans="1:14">
      <c r="A1142" s="2">
        <v>24</v>
      </c>
      <c r="B1142" s="3">
        <v>612000</v>
      </c>
      <c r="C1142" s="10" t="s">
        <v>930</v>
      </c>
      <c r="D1142" s="10" t="s">
        <v>11</v>
      </c>
      <c r="E1142" s="10"/>
      <c r="F1142" s="5" t="e">
        <f>IF(DataExtraction="Manual",SUMIF('[1]TrialBalance (YTD)'!$C:$C,B1142,'[1]TrialBalance (YTD)'!$E:$E),SUMIF('[1]TrialBalance (YTD)'!$G:$G,B1142,'[1]TrialBalance (YTD)'!$I:$I))</f>
        <v>#VALUE!</v>
      </c>
      <c r="G1142" s="5">
        <f>IFERROR(INDEX('[1]TrialBalance (YTD)'!$G:$S,MATCH([1]TBMapping!$C1144,'[1]TrialBalance (YTD)'!G:G,0),MATCH([1]TBMapping!H$3,'[1]TrialBalance (YTD)'!$G$7:$Z$7,0)),0)</f>
        <v>0</v>
      </c>
      <c r="H1142" s="5" t="e">
        <f>SUMIF('[1]TrialBalance (YTD)'!G:G,B1142,'[1]TrialBalance (YTD)'!H:H)</f>
        <v>#VALUE!</v>
      </c>
      <c r="I1142" s="5">
        <f>IFERROR(INDEX('[1]TrialBalance (YTD)'!$G:$S,MATCH([1]TBMapping!$C1144,'[1]TrialBalance (YTD)'!G:G,0),MATCH([1]TBMapping!J$3,'[1]TrialBalance (YTD)'!$G$7:$Z$7,0)),0)</f>
        <v>0</v>
      </c>
      <c r="K1142" s="5" t="e">
        <f>SUMIF('[1]TrialBalance (Quarter)'!$A:$A,B1142,'[1]TrialBalance (Quarter)'!$B:$B)</f>
        <v>#VALUE!</v>
      </c>
      <c r="L1142" s="5">
        <f>IFERROR(INDEX('[1]TrialBalance (Quarter)'!$A:$L,MATCH([1]TBMapping!$C1144,'[1]TrialBalance (Quarter)'!A:A,0),MATCH([1]TBMapping!M$3,'[1]TrialBalance (Quarter)'!$7:$7,0)),0)</f>
        <v>0</v>
      </c>
      <c r="M1142" s="5">
        <f>IFERROR(INDEX('[1]TrialBalance (Quarter)'!$A:$L,MATCH([1]TBMapping!$C1144,'[1]TrialBalance (Quarter)'!A:A,0),MATCH([1]TBMapping!N$3,'[1]TrialBalance (Quarter)'!$7:$7,0)),0)</f>
        <v>0</v>
      </c>
      <c r="N1142" s="5">
        <f>IFERROR(INDEX('[1]TrialBalance (Quarter)'!$A:$L,MATCH([1]TBMapping!$C1144,'[1]TrialBalance (Quarter)'!A:A,0),MATCH([1]TBMapping!O$3,'[1]TrialBalance (Quarter)'!$7:$7,0)),0)</f>
        <v>0</v>
      </c>
    </row>
    <row r="1143" spans="1:14">
      <c r="A1143" s="2">
        <v>24</v>
      </c>
      <c r="B1143" s="3">
        <v>613000</v>
      </c>
      <c r="C1143" s="11" t="s">
        <v>927</v>
      </c>
      <c r="D1143" s="11" t="s">
        <v>11</v>
      </c>
      <c r="E1143" s="11"/>
      <c r="F1143" s="5" t="e">
        <f>IF(DataExtraction="Manual",SUMIF('[1]TrialBalance (YTD)'!$C:$C,B1143,'[1]TrialBalance (YTD)'!$E:$E),SUMIF('[1]TrialBalance (YTD)'!$G:$G,B1143,'[1]TrialBalance (YTD)'!$I:$I))</f>
        <v>#VALUE!</v>
      </c>
      <c r="G1143" s="5">
        <f>IFERROR(INDEX('[1]TrialBalance (YTD)'!$G:$S,MATCH([1]TBMapping!$C1145,'[1]TrialBalance (YTD)'!G:G,0),MATCH([1]TBMapping!H$3,'[1]TrialBalance (YTD)'!$G$7:$Z$7,0)),0)</f>
        <v>0</v>
      </c>
      <c r="H1143" s="5" t="e">
        <f>SUMIF('[1]TrialBalance (YTD)'!G:G,B1143,'[1]TrialBalance (YTD)'!H:H)</f>
        <v>#VALUE!</v>
      </c>
      <c r="I1143" s="5">
        <f>IFERROR(INDEX('[1]TrialBalance (YTD)'!$G:$S,MATCH([1]TBMapping!$C1145,'[1]TrialBalance (YTD)'!G:G,0),MATCH([1]TBMapping!J$3,'[1]TrialBalance (YTD)'!$G$7:$Z$7,0)),0)</f>
        <v>0</v>
      </c>
      <c r="K1143" s="5" t="e">
        <f>SUMIF('[1]TrialBalance (Quarter)'!$A:$A,B1143,'[1]TrialBalance (Quarter)'!$B:$B)</f>
        <v>#VALUE!</v>
      </c>
      <c r="L1143" s="5">
        <f>IFERROR(INDEX('[1]TrialBalance (Quarter)'!$A:$L,MATCH([1]TBMapping!$C1145,'[1]TrialBalance (Quarter)'!A:A,0),MATCH([1]TBMapping!M$3,'[1]TrialBalance (Quarter)'!$7:$7,0)),0)</f>
        <v>0</v>
      </c>
      <c r="M1143" s="5">
        <f>IFERROR(INDEX('[1]TrialBalance (Quarter)'!$A:$L,MATCH([1]TBMapping!$C1145,'[1]TrialBalance (Quarter)'!A:A,0),MATCH([1]TBMapping!N$3,'[1]TrialBalance (Quarter)'!$7:$7,0)),0)</f>
        <v>0</v>
      </c>
      <c r="N1143" s="5">
        <f>IFERROR(INDEX('[1]TrialBalance (Quarter)'!$A:$L,MATCH([1]TBMapping!$C1145,'[1]TrialBalance (Quarter)'!A:A,0),MATCH([1]TBMapping!O$3,'[1]TrialBalance (Quarter)'!$7:$7,0)),0)</f>
        <v>0</v>
      </c>
    </row>
    <row r="1144" spans="1:14">
      <c r="A1144" s="2">
        <v>24</v>
      </c>
      <c r="B1144" s="3">
        <v>613100</v>
      </c>
      <c r="C1144" s="10" t="s">
        <v>927</v>
      </c>
      <c r="D1144" s="10" t="s">
        <v>11</v>
      </c>
      <c r="E1144" s="10"/>
      <c r="F1144" s="5" t="e">
        <f>IF(DataExtraction="Manual",SUMIF('[1]TrialBalance (YTD)'!$C:$C,B1144,'[1]TrialBalance (YTD)'!$E:$E),SUMIF('[1]TrialBalance (YTD)'!$G:$G,B1144,'[1]TrialBalance (YTD)'!$I:$I))</f>
        <v>#VALUE!</v>
      </c>
      <c r="G1144" s="5">
        <f>IFERROR(INDEX('[1]TrialBalance (YTD)'!$G:$S,MATCH([1]TBMapping!$C1146,'[1]TrialBalance (YTD)'!G:G,0),MATCH([1]TBMapping!H$3,'[1]TrialBalance (YTD)'!$G$7:$Z$7,0)),0)</f>
        <v>0</v>
      </c>
      <c r="H1144" s="5" t="e">
        <f>SUMIF('[1]TrialBalance (YTD)'!G:G,B1144,'[1]TrialBalance (YTD)'!H:H)</f>
        <v>#VALUE!</v>
      </c>
      <c r="I1144" s="5">
        <f>IFERROR(INDEX('[1]TrialBalance (YTD)'!$G:$S,MATCH([1]TBMapping!$C1146,'[1]TrialBalance (YTD)'!G:G,0),MATCH([1]TBMapping!J$3,'[1]TrialBalance (YTD)'!$G$7:$Z$7,0)),0)</f>
        <v>0</v>
      </c>
      <c r="K1144" s="5" t="e">
        <f>SUMIF('[1]TrialBalance (Quarter)'!$A:$A,B1144,'[1]TrialBalance (Quarter)'!$B:$B)</f>
        <v>#VALUE!</v>
      </c>
      <c r="L1144" s="5">
        <f>IFERROR(INDEX('[1]TrialBalance (Quarter)'!$A:$L,MATCH([1]TBMapping!$C1146,'[1]TrialBalance (Quarter)'!A:A,0),MATCH([1]TBMapping!M$3,'[1]TrialBalance (Quarter)'!$7:$7,0)),0)</f>
        <v>0</v>
      </c>
      <c r="M1144" s="5">
        <f>IFERROR(INDEX('[1]TrialBalance (Quarter)'!$A:$L,MATCH([1]TBMapping!$C1146,'[1]TrialBalance (Quarter)'!A:A,0),MATCH([1]TBMapping!N$3,'[1]TrialBalance (Quarter)'!$7:$7,0)),0)</f>
        <v>0</v>
      </c>
      <c r="N1144" s="5">
        <f>IFERROR(INDEX('[1]TrialBalance (Quarter)'!$A:$L,MATCH([1]TBMapping!$C1146,'[1]TrialBalance (Quarter)'!A:A,0),MATCH([1]TBMapping!O$3,'[1]TrialBalance (Quarter)'!$7:$7,0)),0)</f>
        <v>0</v>
      </c>
    </row>
    <row r="1145" spans="1:14">
      <c r="A1145" s="2">
        <v>24</v>
      </c>
      <c r="B1145" s="3">
        <v>614000</v>
      </c>
      <c r="C1145" s="11" t="s">
        <v>931</v>
      </c>
      <c r="D1145" s="11" t="s">
        <v>11</v>
      </c>
      <c r="E1145" s="11"/>
      <c r="F1145" s="5" t="e">
        <f>IF(DataExtraction="Manual",SUMIF('[1]TrialBalance (YTD)'!$C:$C,B1145,'[1]TrialBalance (YTD)'!$E:$E),SUMIF('[1]TrialBalance (YTD)'!$G:$G,B1145,'[1]TrialBalance (YTD)'!$I:$I))</f>
        <v>#VALUE!</v>
      </c>
      <c r="G1145" s="5">
        <f>IFERROR(INDEX('[1]TrialBalance (YTD)'!$G:$S,MATCH([1]TBMapping!$C1147,'[1]TrialBalance (YTD)'!G:G,0),MATCH([1]TBMapping!H$3,'[1]TrialBalance (YTD)'!$G$7:$Z$7,0)),0)</f>
        <v>0</v>
      </c>
      <c r="H1145" s="5" t="e">
        <f>SUMIF('[1]TrialBalance (YTD)'!G:G,B1145,'[1]TrialBalance (YTD)'!H:H)</f>
        <v>#VALUE!</v>
      </c>
      <c r="I1145" s="5">
        <f>IFERROR(INDEX('[1]TrialBalance (YTD)'!$G:$S,MATCH([1]TBMapping!$C1147,'[1]TrialBalance (YTD)'!G:G,0),MATCH([1]TBMapping!J$3,'[1]TrialBalance (YTD)'!$G$7:$Z$7,0)),0)</f>
        <v>0</v>
      </c>
      <c r="K1145" s="5" t="e">
        <f>SUMIF('[1]TrialBalance (Quarter)'!$A:$A,B1145,'[1]TrialBalance (Quarter)'!$B:$B)</f>
        <v>#VALUE!</v>
      </c>
      <c r="L1145" s="5">
        <f>IFERROR(INDEX('[1]TrialBalance (Quarter)'!$A:$L,MATCH([1]TBMapping!$C1147,'[1]TrialBalance (Quarter)'!A:A,0),MATCH([1]TBMapping!M$3,'[1]TrialBalance (Quarter)'!$7:$7,0)),0)</f>
        <v>0</v>
      </c>
      <c r="M1145" s="5">
        <f>IFERROR(INDEX('[1]TrialBalance (Quarter)'!$A:$L,MATCH([1]TBMapping!$C1147,'[1]TrialBalance (Quarter)'!A:A,0),MATCH([1]TBMapping!N$3,'[1]TrialBalance (Quarter)'!$7:$7,0)),0)</f>
        <v>0</v>
      </c>
      <c r="N1145" s="5">
        <f>IFERROR(INDEX('[1]TrialBalance (Quarter)'!$A:$L,MATCH([1]TBMapping!$C1147,'[1]TrialBalance (Quarter)'!A:A,0),MATCH([1]TBMapping!O$3,'[1]TrialBalance (Quarter)'!$7:$7,0)),0)</f>
        <v>0</v>
      </c>
    </row>
    <row r="1146" spans="1:14">
      <c r="A1146" s="2">
        <v>24</v>
      </c>
      <c r="B1146" s="3">
        <v>614010</v>
      </c>
      <c r="C1146" s="10" t="s">
        <v>931</v>
      </c>
      <c r="D1146" s="10" t="s">
        <v>11</v>
      </c>
      <c r="E1146" s="10"/>
      <c r="F1146" s="5" t="e">
        <f>IF(DataExtraction="Manual",SUMIF('[1]TrialBalance (YTD)'!$C:$C,B1146,'[1]TrialBalance (YTD)'!$E:$E),SUMIF('[1]TrialBalance (YTD)'!$G:$G,B1146,'[1]TrialBalance (YTD)'!$I:$I))</f>
        <v>#VALUE!</v>
      </c>
      <c r="G1146" s="5">
        <f>IFERROR(INDEX('[1]TrialBalance (YTD)'!$G:$S,MATCH([1]TBMapping!$C1148,'[1]TrialBalance (YTD)'!G:G,0),MATCH([1]TBMapping!H$3,'[1]TrialBalance (YTD)'!$G$7:$Z$7,0)),0)</f>
        <v>0</v>
      </c>
      <c r="H1146" s="5" t="e">
        <f>SUMIF('[1]TrialBalance (YTD)'!G:G,B1146,'[1]TrialBalance (YTD)'!H:H)</f>
        <v>#VALUE!</v>
      </c>
      <c r="I1146" s="5">
        <f>IFERROR(INDEX('[1]TrialBalance (YTD)'!$G:$S,MATCH([1]TBMapping!$C1148,'[1]TrialBalance (YTD)'!G:G,0),MATCH([1]TBMapping!J$3,'[1]TrialBalance (YTD)'!$G$7:$Z$7,0)),0)</f>
        <v>0</v>
      </c>
      <c r="K1146" s="5" t="e">
        <f>SUMIF('[1]TrialBalance (Quarter)'!$A:$A,B1146,'[1]TrialBalance (Quarter)'!$B:$B)</f>
        <v>#VALUE!</v>
      </c>
      <c r="L1146" s="5">
        <f>IFERROR(INDEX('[1]TrialBalance (Quarter)'!$A:$L,MATCH([1]TBMapping!$C1148,'[1]TrialBalance (Quarter)'!A:A,0),MATCH([1]TBMapping!M$3,'[1]TrialBalance (Quarter)'!$7:$7,0)),0)</f>
        <v>0</v>
      </c>
      <c r="M1146" s="5">
        <f>IFERROR(INDEX('[1]TrialBalance (Quarter)'!$A:$L,MATCH([1]TBMapping!$C1148,'[1]TrialBalance (Quarter)'!A:A,0),MATCH([1]TBMapping!N$3,'[1]TrialBalance (Quarter)'!$7:$7,0)),0)</f>
        <v>0</v>
      </c>
      <c r="N1146" s="5">
        <f>IFERROR(INDEX('[1]TrialBalance (Quarter)'!$A:$L,MATCH([1]TBMapping!$C1148,'[1]TrialBalance (Quarter)'!A:A,0),MATCH([1]TBMapping!O$3,'[1]TrialBalance (Quarter)'!$7:$7,0)),0)</f>
        <v>0</v>
      </c>
    </row>
    <row r="1147" spans="1:14">
      <c r="A1147" s="2">
        <v>24</v>
      </c>
      <c r="B1147" s="3">
        <v>614100</v>
      </c>
      <c r="C1147" s="11" t="s">
        <v>435</v>
      </c>
      <c r="D1147" s="11" t="s">
        <v>11</v>
      </c>
      <c r="E1147" s="11"/>
      <c r="F1147" s="5" t="e">
        <f>IF(DataExtraction="Manual",SUMIF('[1]TrialBalance (YTD)'!$C:$C,B1147,'[1]TrialBalance (YTD)'!$E:$E),SUMIF('[1]TrialBalance (YTD)'!$G:$G,B1147,'[1]TrialBalance (YTD)'!$I:$I))</f>
        <v>#VALUE!</v>
      </c>
      <c r="G1147" s="5">
        <f>IFERROR(INDEX('[1]TrialBalance (YTD)'!$G:$S,MATCH([1]TBMapping!$C1149,'[1]TrialBalance (YTD)'!G:G,0),MATCH([1]TBMapping!H$3,'[1]TrialBalance (YTD)'!$G$7:$Z$7,0)),0)</f>
        <v>0</v>
      </c>
      <c r="H1147" s="5" t="e">
        <f>SUMIF('[1]TrialBalance (YTD)'!G:G,B1147,'[1]TrialBalance (YTD)'!H:H)</f>
        <v>#VALUE!</v>
      </c>
      <c r="I1147" s="5">
        <f>IFERROR(INDEX('[1]TrialBalance (YTD)'!$G:$S,MATCH([1]TBMapping!$C1149,'[1]TrialBalance (YTD)'!G:G,0),MATCH([1]TBMapping!J$3,'[1]TrialBalance (YTD)'!$G$7:$Z$7,0)),0)</f>
        <v>0</v>
      </c>
      <c r="K1147" s="5" t="e">
        <f>SUMIF('[1]TrialBalance (Quarter)'!$A:$A,B1147,'[1]TrialBalance (Quarter)'!$B:$B)</f>
        <v>#VALUE!</v>
      </c>
      <c r="L1147" s="5">
        <f>IFERROR(INDEX('[1]TrialBalance (Quarter)'!$A:$L,MATCH([1]TBMapping!$C1149,'[1]TrialBalance (Quarter)'!A:A,0),MATCH([1]TBMapping!M$3,'[1]TrialBalance (Quarter)'!$7:$7,0)),0)</f>
        <v>0</v>
      </c>
      <c r="M1147" s="5">
        <f>IFERROR(INDEX('[1]TrialBalance (Quarter)'!$A:$L,MATCH([1]TBMapping!$C1149,'[1]TrialBalance (Quarter)'!A:A,0),MATCH([1]TBMapping!N$3,'[1]TrialBalance (Quarter)'!$7:$7,0)),0)</f>
        <v>0</v>
      </c>
      <c r="N1147" s="5">
        <f>IFERROR(INDEX('[1]TrialBalance (Quarter)'!$A:$L,MATCH([1]TBMapping!$C1149,'[1]TrialBalance (Quarter)'!A:A,0),MATCH([1]TBMapping!O$3,'[1]TrialBalance (Quarter)'!$7:$7,0)),0)</f>
        <v>0</v>
      </c>
    </row>
    <row r="1148" spans="1:14">
      <c r="A1148" s="2">
        <v>24</v>
      </c>
      <c r="B1148" s="3">
        <v>614110</v>
      </c>
      <c r="C1148" s="10" t="s">
        <v>926</v>
      </c>
      <c r="D1148" s="10" t="s">
        <v>16</v>
      </c>
      <c r="E1148" s="10"/>
      <c r="F1148" s="5" t="e">
        <f>IF(DataExtraction="Manual",SUMIF('[1]TrialBalance (YTD)'!$C:$C,B1148,'[1]TrialBalance (YTD)'!$E:$E),SUMIF('[1]TrialBalance (YTD)'!$G:$G,B1148,'[1]TrialBalance (YTD)'!$I:$I))</f>
        <v>#VALUE!</v>
      </c>
      <c r="G1148" s="5">
        <f>IFERROR(INDEX('[1]TrialBalance (YTD)'!$G:$S,MATCH([1]TBMapping!$C1150,'[1]TrialBalance (YTD)'!G:G,0),MATCH([1]TBMapping!H$3,'[1]TrialBalance (YTD)'!$G$7:$Z$7,0)),0)</f>
        <v>0</v>
      </c>
      <c r="H1148" s="5" t="e">
        <f>SUMIF('[1]TrialBalance (YTD)'!G:G,B1148,'[1]TrialBalance (YTD)'!H:H)</f>
        <v>#VALUE!</v>
      </c>
      <c r="I1148" s="5">
        <f>IFERROR(INDEX('[1]TrialBalance (YTD)'!$G:$S,MATCH([1]TBMapping!$C1150,'[1]TrialBalance (YTD)'!G:G,0),MATCH([1]TBMapping!J$3,'[1]TrialBalance (YTD)'!$G$7:$Z$7,0)),0)</f>
        <v>0</v>
      </c>
      <c r="K1148" s="5" t="e">
        <f>SUMIF('[1]TrialBalance (Quarter)'!$A:$A,B1148,'[1]TrialBalance (Quarter)'!$B:$B)</f>
        <v>#VALUE!</v>
      </c>
      <c r="L1148" s="5">
        <f>IFERROR(INDEX('[1]TrialBalance (Quarter)'!$A:$L,MATCH([1]TBMapping!$C1150,'[1]TrialBalance (Quarter)'!A:A,0),MATCH([1]TBMapping!M$3,'[1]TrialBalance (Quarter)'!$7:$7,0)),0)</f>
        <v>0</v>
      </c>
      <c r="M1148" s="5">
        <f>IFERROR(INDEX('[1]TrialBalance (Quarter)'!$A:$L,MATCH([1]TBMapping!$C1150,'[1]TrialBalance (Quarter)'!A:A,0),MATCH([1]TBMapping!N$3,'[1]TrialBalance (Quarter)'!$7:$7,0)),0)</f>
        <v>0</v>
      </c>
      <c r="N1148" s="5">
        <f>IFERROR(INDEX('[1]TrialBalance (Quarter)'!$A:$L,MATCH([1]TBMapping!$C1150,'[1]TrialBalance (Quarter)'!A:A,0),MATCH([1]TBMapping!O$3,'[1]TrialBalance (Quarter)'!$7:$7,0)),0)</f>
        <v>0</v>
      </c>
    </row>
    <row r="1149" spans="1:14">
      <c r="A1149" s="2">
        <v>24</v>
      </c>
      <c r="B1149" s="3">
        <v>615000</v>
      </c>
      <c r="C1149" s="11" t="s">
        <v>932</v>
      </c>
      <c r="D1149" s="11" t="s">
        <v>5</v>
      </c>
      <c r="E1149" s="11"/>
      <c r="F1149" s="5" t="e">
        <f>IF(DataExtraction="Manual",SUMIF('[1]TrialBalance (YTD)'!$C:$C,B1149,'[1]TrialBalance (YTD)'!$E:$E),SUMIF('[1]TrialBalance (YTD)'!$G:$G,B1149,'[1]TrialBalance (YTD)'!$I:$I))</f>
        <v>#VALUE!</v>
      </c>
      <c r="G1149" s="5">
        <f>IFERROR(INDEX('[1]TrialBalance (YTD)'!$G:$S,MATCH([1]TBMapping!$C1151,'[1]TrialBalance (YTD)'!G:G,0),MATCH([1]TBMapping!H$3,'[1]TrialBalance (YTD)'!$G$7:$Z$7,0)),0)</f>
        <v>0</v>
      </c>
      <c r="H1149" s="5" t="e">
        <f>SUMIF('[1]TrialBalance (YTD)'!G:G,B1149,'[1]TrialBalance (YTD)'!H:H)</f>
        <v>#VALUE!</v>
      </c>
      <c r="I1149" s="5">
        <f>IFERROR(INDEX('[1]TrialBalance (YTD)'!$G:$S,MATCH([1]TBMapping!$C1151,'[1]TrialBalance (YTD)'!G:G,0),MATCH([1]TBMapping!J$3,'[1]TrialBalance (YTD)'!$G$7:$Z$7,0)),0)</f>
        <v>0</v>
      </c>
      <c r="K1149" s="5" t="e">
        <f>SUMIF('[1]TrialBalance (Quarter)'!$A:$A,B1149,'[1]TrialBalance (Quarter)'!$B:$B)</f>
        <v>#VALUE!</v>
      </c>
      <c r="L1149" s="5">
        <f>IFERROR(INDEX('[1]TrialBalance (Quarter)'!$A:$L,MATCH([1]TBMapping!$C1151,'[1]TrialBalance (Quarter)'!A:A,0),MATCH([1]TBMapping!M$3,'[1]TrialBalance (Quarter)'!$7:$7,0)),0)</f>
        <v>0</v>
      </c>
      <c r="M1149" s="5">
        <f>IFERROR(INDEX('[1]TrialBalance (Quarter)'!$A:$L,MATCH([1]TBMapping!$C1151,'[1]TrialBalance (Quarter)'!A:A,0),MATCH([1]TBMapping!N$3,'[1]TrialBalance (Quarter)'!$7:$7,0)),0)</f>
        <v>0</v>
      </c>
      <c r="N1149" s="5">
        <f>IFERROR(INDEX('[1]TrialBalance (Quarter)'!$A:$L,MATCH([1]TBMapping!$C1151,'[1]TrialBalance (Quarter)'!A:A,0),MATCH([1]TBMapping!O$3,'[1]TrialBalance (Quarter)'!$7:$7,0)),0)</f>
        <v>0</v>
      </c>
    </row>
    <row r="1150" spans="1:14">
      <c r="B1150" s="3">
        <v>619999</v>
      </c>
      <c r="C1150" s="10" t="s">
        <v>933</v>
      </c>
      <c r="D1150" s="10" t="s">
        <v>11</v>
      </c>
      <c r="E1150" s="10"/>
      <c r="F1150" s="5" t="e">
        <f>IF(DataExtraction="Manual",SUMIF('[1]TrialBalance (YTD)'!$C:$C,B1150,'[1]TrialBalance (YTD)'!$E:$E),SUMIF('[1]TrialBalance (YTD)'!$G:$G,B1150,'[1]TrialBalance (YTD)'!$I:$I))</f>
        <v>#VALUE!</v>
      </c>
      <c r="G1150" s="5">
        <f>IFERROR(INDEX('[1]TrialBalance (YTD)'!$G:$S,MATCH([1]TBMapping!$C1152,'[1]TrialBalance (YTD)'!G:G,0),MATCH([1]TBMapping!H$3,'[1]TrialBalance (YTD)'!$G$7:$Z$7,0)),0)</f>
        <v>0</v>
      </c>
      <c r="H1150" s="5" t="e">
        <f>SUMIF('[1]TrialBalance (YTD)'!G:G,B1150,'[1]TrialBalance (YTD)'!H:H)</f>
        <v>#VALUE!</v>
      </c>
      <c r="I1150" s="5">
        <f>IFERROR(INDEX('[1]TrialBalance (YTD)'!$G:$S,MATCH([1]TBMapping!$C1152,'[1]TrialBalance (YTD)'!G:G,0),MATCH([1]TBMapping!J$3,'[1]TrialBalance (YTD)'!$G$7:$Z$7,0)),0)</f>
        <v>-202849249.22</v>
      </c>
      <c r="K1150" s="5" t="e">
        <f>SUMIF('[1]TrialBalance (Quarter)'!$A:$A,B1150,'[1]TrialBalance (Quarter)'!$B:$B)</f>
        <v>#VALUE!</v>
      </c>
      <c r="L1150" s="5">
        <f>IFERROR(INDEX('[1]TrialBalance (Quarter)'!$A:$L,MATCH([1]TBMapping!$C1152,'[1]TrialBalance (Quarter)'!A:A,0),MATCH([1]TBMapping!M$3,'[1]TrialBalance (Quarter)'!$7:$7,0)),0)</f>
        <v>0</v>
      </c>
      <c r="M1150" s="5">
        <f>IFERROR(INDEX('[1]TrialBalance (Quarter)'!$A:$L,MATCH([1]TBMapping!$C1152,'[1]TrialBalance (Quarter)'!A:A,0),MATCH([1]TBMapping!N$3,'[1]TrialBalance (Quarter)'!$7:$7,0)),0)</f>
        <v>7202294.9699999997</v>
      </c>
      <c r="N1150" s="5">
        <f>IFERROR(INDEX('[1]TrialBalance (Quarter)'!$A:$L,MATCH([1]TBMapping!$C1152,'[1]TrialBalance (Quarter)'!A:A,0),MATCH([1]TBMapping!O$3,'[1]TrialBalance (Quarter)'!$7:$7,0)),0)</f>
        <v>11713421.720000001</v>
      </c>
    </row>
    <row r="1151" spans="1:14">
      <c r="B1151" s="3">
        <v>620000</v>
      </c>
      <c r="C1151" s="11" t="s">
        <v>934</v>
      </c>
      <c r="D1151" s="11" t="s">
        <v>11</v>
      </c>
      <c r="E1151" s="11"/>
      <c r="F1151" s="5" t="e">
        <f>IF(DataExtraction="Manual",SUMIF('[1]TrialBalance (YTD)'!$C:$C,B1151,'[1]TrialBalance (YTD)'!$E:$E),SUMIF('[1]TrialBalance (YTD)'!$G:$G,B1151,'[1]TrialBalance (YTD)'!$I:$I))</f>
        <v>#VALUE!</v>
      </c>
      <c r="G1151" s="5">
        <f>IFERROR(INDEX('[1]TrialBalance (YTD)'!$G:$S,MATCH([1]TBMapping!$C1153,'[1]TrialBalance (YTD)'!G:G,0),MATCH([1]TBMapping!H$3,'[1]TrialBalance (YTD)'!$G$7:$Z$7,0)),0)</f>
        <v>0</v>
      </c>
      <c r="H1151" s="5" t="e">
        <f>SUMIF('[1]TrialBalance (YTD)'!G:G,B1151,'[1]TrialBalance (YTD)'!H:H)</f>
        <v>#VALUE!</v>
      </c>
      <c r="I1151" s="5">
        <f>IFERROR(INDEX('[1]TrialBalance (YTD)'!$G:$S,MATCH([1]TBMapping!$C1153,'[1]TrialBalance (YTD)'!G:G,0),MATCH([1]TBMapping!J$3,'[1]TrialBalance (YTD)'!$G$7:$Z$7,0)),0)</f>
        <v>0</v>
      </c>
      <c r="K1151" s="5" t="e">
        <f>SUMIF('[1]TrialBalance (Quarter)'!$A:$A,B1151,'[1]TrialBalance (Quarter)'!$B:$B)</f>
        <v>#VALUE!</v>
      </c>
      <c r="L1151" s="5">
        <f>IFERROR(INDEX('[1]TrialBalance (Quarter)'!$A:$L,MATCH([1]TBMapping!$C1153,'[1]TrialBalance (Quarter)'!A:A,0),MATCH([1]TBMapping!M$3,'[1]TrialBalance (Quarter)'!$7:$7,0)),0)</f>
        <v>0</v>
      </c>
      <c r="M1151" s="5">
        <f>IFERROR(INDEX('[1]TrialBalance (Quarter)'!$A:$L,MATCH([1]TBMapping!$C1153,'[1]TrialBalance (Quarter)'!A:A,0),MATCH([1]TBMapping!N$3,'[1]TrialBalance (Quarter)'!$7:$7,0)),0)</f>
        <v>0</v>
      </c>
      <c r="N1151" s="5">
        <f>IFERROR(INDEX('[1]TrialBalance (Quarter)'!$A:$L,MATCH([1]TBMapping!$C1153,'[1]TrialBalance (Quarter)'!A:A,0),MATCH([1]TBMapping!O$3,'[1]TrialBalance (Quarter)'!$7:$7,0)),0)</f>
        <v>0</v>
      </c>
    </row>
    <row r="1152" spans="1:14">
      <c r="A1152" s="2">
        <v>25</v>
      </c>
      <c r="B1152" s="3">
        <v>621000</v>
      </c>
      <c r="C1152" s="10" t="s">
        <v>935</v>
      </c>
      <c r="D1152" s="10" t="s">
        <v>11</v>
      </c>
      <c r="E1152" s="10"/>
      <c r="F1152" s="5" t="e">
        <f>IF(DataExtraction="Manual",SUMIF('[1]TrialBalance (YTD)'!$C:$C,B1152,'[1]TrialBalance (YTD)'!$E:$E),SUMIF('[1]TrialBalance (YTD)'!$G:$G,B1152,'[1]TrialBalance (YTD)'!$I:$I))</f>
        <v>#VALUE!</v>
      </c>
      <c r="G1152" s="5">
        <f>IFERROR(INDEX('[1]TrialBalance (YTD)'!$G:$S,MATCH([1]TBMapping!$C1154,'[1]TrialBalance (YTD)'!G:G,0),MATCH([1]TBMapping!H$3,'[1]TrialBalance (YTD)'!$G$7:$Z$7,0)),0)</f>
        <v>0</v>
      </c>
      <c r="H1152" s="5" t="e">
        <f>SUMIF('[1]TrialBalance (YTD)'!G:G,B1152,'[1]TrialBalance (YTD)'!H:H)</f>
        <v>#VALUE!</v>
      </c>
      <c r="I1152" s="5">
        <f>IFERROR(INDEX('[1]TrialBalance (YTD)'!$G:$S,MATCH([1]TBMapping!$C1154,'[1]TrialBalance (YTD)'!G:G,0),MATCH([1]TBMapping!J$3,'[1]TrialBalance (YTD)'!$G$7:$Z$7,0)),0)</f>
        <v>0</v>
      </c>
      <c r="K1152" s="5" t="e">
        <f>SUMIF('[1]TrialBalance (Quarter)'!$A:$A,B1152,'[1]TrialBalance (Quarter)'!$B:$B)</f>
        <v>#VALUE!</v>
      </c>
      <c r="L1152" s="5">
        <f>IFERROR(INDEX('[1]TrialBalance (Quarter)'!$A:$L,MATCH([1]TBMapping!$C1154,'[1]TrialBalance (Quarter)'!A:A,0),MATCH([1]TBMapping!M$3,'[1]TrialBalance (Quarter)'!$7:$7,0)),0)</f>
        <v>0</v>
      </c>
      <c r="M1152" s="5">
        <f>IFERROR(INDEX('[1]TrialBalance (Quarter)'!$A:$L,MATCH([1]TBMapping!$C1154,'[1]TrialBalance (Quarter)'!A:A,0),MATCH([1]TBMapping!N$3,'[1]TrialBalance (Quarter)'!$7:$7,0)),0)</f>
        <v>0</v>
      </c>
      <c r="N1152" s="5">
        <f>IFERROR(INDEX('[1]TrialBalance (Quarter)'!$A:$L,MATCH([1]TBMapping!$C1154,'[1]TrialBalance (Quarter)'!A:A,0),MATCH([1]TBMapping!O$3,'[1]TrialBalance (Quarter)'!$7:$7,0)),0)</f>
        <v>0</v>
      </c>
    </row>
    <row r="1153" spans="1:14">
      <c r="A1153" s="2">
        <v>25</v>
      </c>
      <c r="B1153" s="3">
        <v>621010</v>
      </c>
      <c r="C1153" s="11" t="s">
        <v>936</v>
      </c>
      <c r="D1153" s="11" t="s">
        <v>11</v>
      </c>
      <c r="E1153" s="11"/>
      <c r="F1153" s="5" t="e">
        <f>IF(DataExtraction="Manual",SUMIF('[1]TrialBalance (YTD)'!$C:$C,B1153,'[1]TrialBalance (YTD)'!$E:$E),SUMIF('[1]TrialBalance (YTD)'!$G:$G,B1153,'[1]TrialBalance (YTD)'!$I:$I))</f>
        <v>#VALUE!</v>
      </c>
      <c r="G1153" s="5">
        <f>IFERROR(INDEX('[1]TrialBalance (YTD)'!$G:$S,MATCH([1]TBMapping!$C1155,'[1]TrialBalance (YTD)'!G:G,0),MATCH([1]TBMapping!H$3,'[1]TrialBalance (YTD)'!$G$7:$Z$7,0)),0)</f>
        <v>0</v>
      </c>
      <c r="H1153" s="5" t="e">
        <f>SUMIF('[1]TrialBalance (YTD)'!G:G,B1153,'[1]TrialBalance (YTD)'!H:H)</f>
        <v>#VALUE!</v>
      </c>
      <c r="I1153" s="5">
        <f>IFERROR(INDEX('[1]TrialBalance (YTD)'!$G:$S,MATCH([1]TBMapping!$C1155,'[1]TrialBalance (YTD)'!G:G,0),MATCH([1]TBMapping!J$3,'[1]TrialBalance (YTD)'!$G$7:$Z$7,0)),0)</f>
        <v>0</v>
      </c>
      <c r="K1153" s="5" t="e">
        <f>SUMIF('[1]TrialBalance (Quarter)'!$A:$A,B1153,'[1]TrialBalance (Quarter)'!$B:$B)</f>
        <v>#VALUE!</v>
      </c>
      <c r="L1153" s="5">
        <f>IFERROR(INDEX('[1]TrialBalance (Quarter)'!$A:$L,MATCH([1]TBMapping!$C1155,'[1]TrialBalance (Quarter)'!A:A,0),MATCH([1]TBMapping!M$3,'[1]TrialBalance (Quarter)'!$7:$7,0)),0)</f>
        <v>0</v>
      </c>
      <c r="M1153" s="5">
        <f>IFERROR(INDEX('[1]TrialBalance (Quarter)'!$A:$L,MATCH([1]TBMapping!$C1155,'[1]TrialBalance (Quarter)'!A:A,0),MATCH([1]TBMapping!N$3,'[1]TrialBalance (Quarter)'!$7:$7,0)),0)</f>
        <v>0</v>
      </c>
      <c r="N1153" s="5">
        <f>IFERROR(INDEX('[1]TrialBalance (Quarter)'!$A:$L,MATCH([1]TBMapping!$C1155,'[1]TrialBalance (Quarter)'!A:A,0),MATCH([1]TBMapping!O$3,'[1]TrialBalance (Quarter)'!$7:$7,0)),0)</f>
        <v>0</v>
      </c>
    </row>
    <row r="1154" spans="1:14">
      <c r="A1154" s="2">
        <v>25</v>
      </c>
      <c r="B1154" s="3">
        <v>621020</v>
      </c>
      <c r="C1154" s="10" t="s">
        <v>937</v>
      </c>
      <c r="D1154" s="10" t="s">
        <v>11</v>
      </c>
      <c r="E1154" s="10"/>
      <c r="F1154" s="5" t="e">
        <f>IF(DataExtraction="Manual",SUMIF('[1]TrialBalance (YTD)'!$C:$C,B1154,'[1]TrialBalance (YTD)'!$E:$E),SUMIF('[1]TrialBalance (YTD)'!$G:$G,B1154,'[1]TrialBalance (YTD)'!$I:$I))</f>
        <v>#VALUE!</v>
      </c>
      <c r="G1154" s="5">
        <f>IFERROR(INDEX('[1]TrialBalance (YTD)'!$G:$S,MATCH([1]TBMapping!$C1156,'[1]TrialBalance (YTD)'!G:G,0),MATCH([1]TBMapping!H$3,'[1]TrialBalance (YTD)'!$G$7:$Z$7,0)),0)</f>
        <v>0</v>
      </c>
      <c r="H1154" s="5" t="e">
        <f>SUMIF('[1]TrialBalance (YTD)'!G:G,B1154,'[1]TrialBalance (YTD)'!H:H)</f>
        <v>#VALUE!</v>
      </c>
      <c r="I1154" s="5">
        <f>IFERROR(INDEX('[1]TrialBalance (YTD)'!$G:$S,MATCH([1]TBMapping!$C1156,'[1]TrialBalance (YTD)'!G:G,0),MATCH([1]TBMapping!J$3,'[1]TrialBalance (YTD)'!$G$7:$Z$7,0)),0)</f>
        <v>0</v>
      </c>
      <c r="K1154" s="5" t="e">
        <f>SUMIF('[1]TrialBalance (Quarter)'!$A:$A,B1154,'[1]TrialBalance (Quarter)'!$B:$B)</f>
        <v>#VALUE!</v>
      </c>
      <c r="L1154" s="5">
        <f>IFERROR(INDEX('[1]TrialBalance (Quarter)'!$A:$L,MATCH([1]TBMapping!$C1156,'[1]TrialBalance (Quarter)'!A:A,0),MATCH([1]TBMapping!M$3,'[1]TrialBalance (Quarter)'!$7:$7,0)),0)</f>
        <v>0</v>
      </c>
      <c r="M1154" s="5">
        <f>IFERROR(INDEX('[1]TrialBalance (Quarter)'!$A:$L,MATCH([1]TBMapping!$C1156,'[1]TrialBalance (Quarter)'!A:A,0),MATCH([1]TBMapping!N$3,'[1]TrialBalance (Quarter)'!$7:$7,0)),0)</f>
        <v>0</v>
      </c>
      <c r="N1154" s="5">
        <f>IFERROR(INDEX('[1]TrialBalance (Quarter)'!$A:$L,MATCH([1]TBMapping!$C1156,'[1]TrialBalance (Quarter)'!A:A,0),MATCH([1]TBMapping!O$3,'[1]TrialBalance (Quarter)'!$7:$7,0)),0)</f>
        <v>0</v>
      </c>
    </row>
    <row r="1155" spans="1:14">
      <c r="A1155" s="2">
        <v>25</v>
      </c>
      <c r="B1155" s="3">
        <v>622000</v>
      </c>
      <c r="C1155" s="11" t="s">
        <v>938</v>
      </c>
      <c r="D1155" s="11" t="s">
        <v>11</v>
      </c>
      <c r="E1155" s="11"/>
      <c r="F1155" s="5" t="e">
        <f>IF(DataExtraction="Manual",SUMIF('[1]TrialBalance (YTD)'!$C:$C,B1155,'[1]TrialBalance (YTD)'!$E:$E),SUMIF('[1]TrialBalance (YTD)'!$G:$G,B1155,'[1]TrialBalance (YTD)'!$I:$I))</f>
        <v>#VALUE!</v>
      </c>
      <c r="G1155" s="5">
        <f>IFERROR(INDEX('[1]TrialBalance (YTD)'!$G:$S,MATCH([1]TBMapping!$C1157,'[1]TrialBalance (YTD)'!G:G,0),MATCH([1]TBMapping!H$3,'[1]TrialBalance (YTD)'!$G$7:$Z$7,0)),0)</f>
        <v>0</v>
      </c>
      <c r="H1155" s="5" t="e">
        <f>SUMIF('[1]TrialBalance (YTD)'!G:G,B1155,'[1]TrialBalance (YTD)'!H:H)</f>
        <v>#VALUE!</v>
      </c>
      <c r="I1155" s="5">
        <f>IFERROR(INDEX('[1]TrialBalance (YTD)'!$G:$S,MATCH([1]TBMapping!$C1157,'[1]TrialBalance (YTD)'!G:G,0),MATCH([1]TBMapping!J$3,'[1]TrialBalance (YTD)'!$G$7:$Z$7,0)),0)</f>
        <v>0</v>
      </c>
      <c r="K1155" s="5" t="e">
        <f>SUMIF('[1]TrialBalance (Quarter)'!$A:$A,B1155,'[1]TrialBalance (Quarter)'!$B:$B)</f>
        <v>#VALUE!</v>
      </c>
      <c r="L1155" s="5">
        <f>IFERROR(INDEX('[1]TrialBalance (Quarter)'!$A:$L,MATCH([1]TBMapping!$C1157,'[1]TrialBalance (Quarter)'!A:A,0),MATCH([1]TBMapping!M$3,'[1]TrialBalance (Quarter)'!$7:$7,0)),0)</f>
        <v>0</v>
      </c>
      <c r="M1155" s="5">
        <f>IFERROR(INDEX('[1]TrialBalance (Quarter)'!$A:$L,MATCH([1]TBMapping!$C1157,'[1]TrialBalance (Quarter)'!A:A,0),MATCH([1]TBMapping!N$3,'[1]TrialBalance (Quarter)'!$7:$7,0)),0)</f>
        <v>0</v>
      </c>
      <c r="N1155" s="5">
        <f>IFERROR(INDEX('[1]TrialBalance (Quarter)'!$A:$L,MATCH([1]TBMapping!$C1157,'[1]TrialBalance (Quarter)'!A:A,0),MATCH([1]TBMapping!O$3,'[1]TrialBalance (Quarter)'!$7:$7,0)),0)</f>
        <v>0</v>
      </c>
    </row>
    <row r="1156" spans="1:14">
      <c r="A1156" s="2">
        <v>25</v>
      </c>
      <c r="B1156" s="3">
        <v>623000</v>
      </c>
      <c r="C1156" s="10" t="s">
        <v>939</v>
      </c>
      <c r="D1156" s="10" t="s">
        <v>11</v>
      </c>
      <c r="E1156" s="10"/>
      <c r="F1156" s="5" t="e">
        <f>IF(DataExtraction="Manual",SUMIF('[1]TrialBalance (YTD)'!$C:$C,B1156,'[1]TrialBalance (YTD)'!$E:$E),SUMIF('[1]TrialBalance (YTD)'!$G:$G,B1156,'[1]TrialBalance (YTD)'!$I:$I))</f>
        <v>#VALUE!</v>
      </c>
      <c r="G1156" s="5">
        <f>IFERROR(INDEX('[1]TrialBalance (YTD)'!$G:$S,MATCH([1]TBMapping!$C1158,'[1]TrialBalance (YTD)'!G:G,0),MATCH([1]TBMapping!H$3,'[1]TrialBalance (YTD)'!$G$7:$Z$7,0)),0)</f>
        <v>0</v>
      </c>
      <c r="H1156" s="5" t="e">
        <f>SUMIF('[1]TrialBalance (YTD)'!G:G,B1156,'[1]TrialBalance (YTD)'!H:H)</f>
        <v>#VALUE!</v>
      </c>
      <c r="I1156" s="5">
        <f>IFERROR(INDEX('[1]TrialBalance (YTD)'!$G:$S,MATCH([1]TBMapping!$C1158,'[1]TrialBalance (YTD)'!G:G,0),MATCH([1]TBMapping!J$3,'[1]TrialBalance (YTD)'!$G$7:$Z$7,0)),0)</f>
        <v>0</v>
      </c>
      <c r="K1156" s="5" t="e">
        <f>SUMIF('[1]TrialBalance (Quarter)'!$A:$A,B1156,'[1]TrialBalance (Quarter)'!$B:$B)</f>
        <v>#VALUE!</v>
      </c>
      <c r="L1156" s="5">
        <f>IFERROR(INDEX('[1]TrialBalance (Quarter)'!$A:$L,MATCH([1]TBMapping!$C1158,'[1]TrialBalance (Quarter)'!A:A,0),MATCH([1]TBMapping!M$3,'[1]TrialBalance (Quarter)'!$7:$7,0)),0)</f>
        <v>0</v>
      </c>
      <c r="M1156" s="5">
        <f>IFERROR(INDEX('[1]TrialBalance (Quarter)'!$A:$L,MATCH([1]TBMapping!$C1158,'[1]TrialBalance (Quarter)'!A:A,0),MATCH([1]TBMapping!N$3,'[1]TrialBalance (Quarter)'!$7:$7,0)),0)</f>
        <v>0</v>
      </c>
      <c r="N1156" s="5">
        <f>IFERROR(INDEX('[1]TrialBalance (Quarter)'!$A:$L,MATCH([1]TBMapping!$C1158,'[1]TrialBalance (Quarter)'!A:A,0),MATCH([1]TBMapping!O$3,'[1]TrialBalance (Quarter)'!$7:$7,0)),0)</f>
        <v>0</v>
      </c>
    </row>
    <row r="1157" spans="1:14">
      <c r="A1157" s="2">
        <v>25</v>
      </c>
      <c r="B1157" s="3">
        <v>623100</v>
      </c>
      <c r="C1157" s="11" t="s">
        <v>940</v>
      </c>
      <c r="D1157" s="11" t="s">
        <v>11</v>
      </c>
      <c r="E1157" s="11"/>
      <c r="F1157" s="5" t="e">
        <f>IF(DataExtraction="Manual",SUMIF('[1]TrialBalance (YTD)'!$C:$C,B1157,'[1]TrialBalance (YTD)'!$E:$E),SUMIF('[1]TrialBalance (YTD)'!$G:$G,B1157,'[1]TrialBalance (YTD)'!$I:$I))</f>
        <v>#VALUE!</v>
      </c>
      <c r="G1157" s="5">
        <f>IFERROR(INDEX('[1]TrialBalance (YTD)'!$G:$S,MATCH([1]TBMapping!$C1159,'[1]TrialBalance (YTD)'!G:G,0),MATCH([1]TBMapping!H$3,'[1]TrialBalance (YTD)'!$G$7:$Z$7,0)),0)</f>
        <v>0</v>
      </c>
      <c r="H1157" s="5" t="e">
        <f>SUMIF('[1]TrialBalance (YTD)'!G:G,B1157,'[1]TrialBalance (YTD)'!H:H)</f>
        <v>#VALUE!</v>
      </c>
      <c r="I1157" s="5">
        <f>IFERROR(INDEX('[1]TrialBalance (YTD)'!$G:$S,MATCH([1]TBMapping!$C1159,'[1]TrialBalance (YTD)'!G:G,0),MATCH([1]TBMapping!J$3,'[1]TrialBalance (YTD)'!$G$7:$Z$7,0)),0)</f>
        <v>0</v>
      </c>
      <c r="K1157" s="5" t="e">
        <f>SUMIF('[1]TrialBalance (Quarter)'!$A:$A,B1157,'[1]TrialBalance (Quarter)'!$B:$B)</f>
        <v>#VALUE!</v>
      </c>
      <c r="L1157" s="5">
        <f>IFERROR(INDEX('[1]TrialBalance (Quarter)'!$A:$L,MATCH([1]TBMapping!$C1159,'[1]TrialBalance (Quarter)'!A:A,0),MATCH([1]TBMapping!M$3,'[1]TrialBalance (Quarter)'!$7:$7,0)),0)</f>
        <v>0</v>
      </c>
      <c r="M1157" s="5">
        <f>IFERROR(INDEX('[1]TrialBalance (Quarter)'!$A:$L,MATCH([1]TBMapping!$C1159,'[1]TrialBalance (Quarter)'!A:A,0),MATCH([1]TBMapping!N$3,'[1]TrialBalance (Quarter)'!$7:$7,0)),0)</f>
        <v>0</v>
      </c>
      <c r="N1157" s="5">
        <f>IFERROR(INDEX('[1]TrialBalance (Quarter)'!$A:$L,MATCH([1]TBMapping!$C1159,'[1]TrialBalance (Quarter)'!A:A,0),MATCH([1]TBMapping!O$3,'[1]TrialBalance (Quarter)'!$7:$7,0)),0)</f>
        <v>0</v>
      </c>
    </row>
    <row r="1158" spans="1:14">
      <c r="A1158" s="2">
        <v>25</v>
      </c>
      <c r="B1158" s="3">
        <v>624000</v>
      </c>
      <c r="C1158" s="10" t="s">
        <v>941</v>
      </c>
      <c r="D1158" s="10" t="s">
        <v>11</v>
      </c>
      <c r="E1158" s="10"/>
      <c r="F1158" s="5" t="e">
        <f>IF(DataExtraction="Manual",SUMIF('[1]TrialBalance (YTD)'!$C:$C,B1158,'[1]TrialBalance (YTD)'!$E:$E),SUMIF('[1]TrialBalance (YTD)'!$G:$G,B1158,'[1]TrialBalance (YTD)'!$I:$I))</f>
        <v>#VALUE!</v>
      </c>
      <c r="G1158" s="5">
        <f>IFERROR(INDEX('[1]TrialBalance (YTD)'!$G:$S,MATCH([1]TBMapping!$C1160,'[1]TrialBalance (YTD)'!G:G,0),MATCH([1]TBMapping!H$3,'[1]TrialBalance (YTD)'!$G$7:$Z$7,0)),0)</f>
        <v>0</v>
      </c>
      <c r="H1158" s="5" t="e">
        <f>SUMIF('[1]TrialBalance (YTD)'!G:G,B1158,'[1]TrialBalance (YTD)'!H:H)</f>
        <v>#VALUE!</v>
      </c>
      <c r="I1158" s="5">
        <f>IFERROR(INDEX('[1]TrialBalance (YTD)'!$G:$S,MATCH([1]TBMapping!$C1160,'[1]TrialBalance (YTD)'!G:G,0),MATCH([1]TBMapping!J$3,'[1]TrialBalance (YTD)'!$G$7:$Z$7,0)),0)</f>
        <v>0</v>
      </c>
      <c r="K1158" s="5" t="e">
        <f>SUMIF('[1]TrialBalance (Quarter)'!$A:$A,B1158,'[1]TrialBalance (Quarter)'!$B:$B)</f>
        <v>#VALUE!</v>
      </c>
      <c r="L1158" s="5">
        <f>IFERROR(INDEX('[1]TrialBalance (Quarter)'!$A:$L,MATCH([1]TBMapping!$C1160,'[1]TrialBalance (Quarter)'!A:A,0),MATCH([1]TBMapping!M$3,'[1]TrialBalance (Quarter)'!$7:$7,0)),0)</f>
        <v>0</v>
      </c>
      <c r="M1158" s="5">
        <f>IFERROR(INDEX('[1]TrialBalance (Quarter)'!$A:$L,MATCH([1]TBMapping!$C1160,'[1]TrialBalance (Quarter)'!A:A,0),MATCH([1]TBMapping!N$3,'[1]TrialBalance (Quarter)'!$7:$7,0)),0)</f>
        <v>0</v>
      </c>
      <c r="N1158" s="5">
        <f>IFERROR(INDEX('[1]TrialBalance (Quarter)'!$A:$L,MATCH([1]TBMapping!$C1160,'[1]TrialBalance (Quarter)'!A:A,0),MATCH([1]TBMapping!O$3,'[1]TrialBalance (Quarter)'!$7:$7,0)),0)</f>
        <v>0</v>
      </c>
    </row>
    <row r="1159" spans="1:14">
      <c r="A1159" s="2">
        <v>25</v>
      </c>
      <c r="B1159" s="3">
        <v>624010</v>
      </c>
      <c r="C1159" s="11" t="s">
        <v>942</v>
      </c>
      <c r="D1159" s="11" t="s">
        <v>11</v>
      </c>
      <c r="E1159" s="11"/>
      <c r="F1159" s="5" t="e">
        <f>IF(DataExtraction="Manual",SUMIF('[1]TrialBalance (YTD)'!$C:$C,B1159,'[1]TrialBalance (YTD)'!$E:$E),SUMIF('[1]TrialBalance (YTD)'!$G:$G,B1159,'[1]TrialBalance (YTD)'!$I:$I))</f>
        <v>#VALUE!</v>
      </c>
      <c r="G1159" s="5">
        <f>IFERROR(INDEX('[1]TrialBalance (YTD)'!$G:$S,MATCH([1]TBMapping!$C1161,'[1]TrialBalance (YTD)'!G:G,0),MATCH([1]TBMapping!H$3,'[1]TrialBalance (YTD)'!$G$7:$Z$7,0)),0)</f>
        <v>0</v>
      </c>
      <c r="H1159" s="5" t="e">
        <f>SUMIF('[1]TrialBalance (YTD)'!G:G,B1159,'[1]TrialBalance (YTD)'!H:H)</f>
        <v>#VALUE!</v>
      </c>
      <c r="I1159" s="5">
        <f>IFERROR(INDEX('[1]TrialBalance (YTD)'!$G:$S,MATCH([1]TBMapping!$C1161,'[1]TrialBalance (YTD)'!G:G,0),MATCH([1]TBMapping!J$3,'[1]TrialBalance (YTD)'!$G$7:$Z$7,0)),0)</f>
        <v>0</v>
      </c>
      <c r="K1159" s="5" t="e">
        <f>SUMIF('[1]TrialBalance (Quarter)'!$A:$A,B1159,'[1]TrialBalance (Quarter)'!$B:$B)</f>
        <v>#VALUE!</v>
      </c>
      <c r="L1159" s="5">
        <f>IFERROR(INDEX('[1]TrialBalance (Quarter)'!$A:$L,MATCH([1]TBMapping!$C1161,'[1]TrialBalance (Quarter)'!A:A,0),MATCH([1]TBMapping!M$3,'[1]TrialBalance (Quarter)'!$7:$7,0)),0)</f>
        <v>0</v>
      </c>
      <c r="M1159" s="5">
        <f>IFERROR(INDEX('[1]TrialBalance (Quarter)'!$A:$L,MATCH([1]TBMapping!$C1161,'[1]TrialBalance (Quarter)'!A:A,0),MATCH([1]TBMapping!N$3,'[1]TrialBalance (Quarter)'!$7:$7,0)),0)</f>
        <v>0</v>
      </c>
      <c r="N1159" s="5">
        <f>IFERROR(INDEX('[1]TrialBalance (Quarter)'!$A:$L,MATCH([1]TBMapping!$C1161,'[1]TrialBalance (Quarter)'!A:A,0),MATCH([1]TBMapping!O$3,'[1]TrialBalance (Quarter)'!$7:$7,0)),0)</f>
        <v>0</v>
      </c>
    </row>
    <row r="1160" spans="1:14">
      <c r="A1160" s="2">
        <v>25</v>
      </c>
      <c r="B1160" s="3">
        <v>624100</v>
      </c>
      <c r="C1160" s="10" t="s">
        <v>943</v>
      </c>
      <c r="D1160" s="10" t="s">
        <v>16</v>
      </c>
      <c r="E1160" s="10"/>
      <c r="F1160" s="5" t="e">
        <f>IF(DataExtraction="Manual",SUMIF('[1]TrialBalance (YTD)'!$C:$C,B1160,'[1]TrialBalance (YTD)'!$E:$E),SUMIF('[1]TrialBalance (YTD)'!$G:$G,B1160,'[1]TrialBalance (YTD)'!$I:$I))</f>
        <v>#VALUE!</v>
      </c>
      <c r="G1160" s="5">
        <f>IFERROR(INDEX('[1]TrialBalance (YTD)'!$G:$S,MATCH([1]TBMapping!$C1162,'[1]TrialBalance (YTD)'!G:G,0),MATCH([1]TBMapping!H$3,'[1]TrialBalance (YTD)'!$G$7:$Z$7,0)),0)</f>
        <v>0</v>
      </c>
      <c r="H1160" s="5" t="e">
        <f>SUMIF('[1]TrialBalance (YTD)'!G:G,B1160,'[1]TrialBalance (YTD)'!H:H)</f>
        <v>#VALUE!</v>
      </c>
      <c r="I1160" s="5">
        <f>IFERROR(INDEX('[1]TrialBalance (YTD)'!$G:$S,MATCH([1]TBMapping!$C1162,'[1]TrialBalance (YTD)'!G:G,0),MATCH([1]TBMapping!J$3,'[1]TrialBalance (YTD)'!$G$7:$Z$7,0)),0)</f>
        <v>0</v>
      </c>
      <c r="K1160" s="5" t="e">
        <f>SUMIF('[1]TrialBalance (Quarter)'!$A:$A,B1160,'[1]TrialBalance (Quarter)'!$B:$B)</f>
        <v>#VALUE!</v>
      </c>
      <c r="L1160" s="5">
        <f>IFERROR(INDEX('[1]TrialBalance (Quarter)'!$A:$L,MATCH([1]TBMapping!$C1162,'[1]TrialBalance (Quarter)'!A:A,0),MATCH([1]TBMapping!M$3,'[1]TrialBalance (Quarter)'!$7:$7,0)),0)</f>
        <v>0</v>
      </c>
      <c r="M1160" s="5">
        <f>IFERROR(INDEX('[1]TrialBalance (Quarter)'!$A:$L,MATCH([1]TBMapping!$C1162,'[1]TrialBalance (Quarter)'!A:A,0),MATCH([1]TBMapping!N$3,'[1]TrialBalance (Quarter)'!$7:$7,0)),0)</f>
        <v>0</v>
      </c>
      <c r="N1160" s="5">
        <f>IFERROR(INDEX('[1]TrialBalance (Quarter)'!$A:$L,MATCH([1]TBMapping!$C1162,'[1]TrialBalance (Quarter)'!A:A,0),MATCH([1]TBMapping!O$3,'[1]TrialBalance (Quarter)'!$7:$7,0)),0)</f>
        <v>0</v>
      </c>
    </row>
    <row r="1161" spans="1:14">
      <c r="A1161" s="2">
        <v>25</v>
      </c>
      <c r="B1161" s="3">
        <v>624110</v>
      </c>
      <c r="C1161" s="11" t="s">
        <v>944</v>
      </c>
      <c r="D1161" s="11" t="s">
        <v>5</v>
      </c>
      <c r="E1161" s="11"/>
      <c r="F1161" s="5" t="e">
        <f>IF(DataExtraction="Manual",SUMIF('[1]TrialBalance (YTD)'!$C:$C,B1161,'[1]TrialBalance (YTD)'!$E:$E),SUMIF('[1]TrialBalance (YTD)'!$G:$G,B1161,'[1]TrialBalance (YTD)'!$I:$I))</f>
        <v>#VALUE!</v>
      </c>
      <c r="G1161" s="5">
        <f>IFERROR(INDEX('[1]TrialBalance (YTD)'!$G:$S,MATCH([1]TBMapping!$C1163,'[1]TrialBalance (YTD)'!G:G,0),MATCH([1]TBMapping!H$3,'[1]TrialBalance (YTD)'!$G$7:$Z$7,0)),0)</f>
        <v>0</v>
      </c>
      <c r="H1161" s="5" t="e">
        <f>SUMIF('[1]TrialBalance (YTD)'!G:G,B1161,'[1]TrialBalance (YTD)'!H:H)</f>
        <v>#VALUE!</v>
      </c>
      <c r="I1161" s="5">
        <f>IFERROR(INDEX('[1]TrialBalance (YTD)'!$G:$S,MATCH([1]TBMapping!$C1163,'[1]TrialBalance (YTD)'!G:G,0),MATCH([1]TBMapping!J$3,'[1]TrialBalance (YTD)'!$G$7:$Z$7,0)),0)</f>
        <v>0</v>
      </c>
      <c r="K1161" s="5" t="e">
        <f>SUMIF('[1]TrialBalance (Quarter)'!$A:$A,B1161,'[1]TrialBalance (Quarter)'!$B:$B)</f>
        <v>#VALUE!</v>
      </c>
      <c r="L1161" s="5">
        <f>IFERROR(INDEX('[1]TrialBalance (Quarter)'!$A:$L,MATCH([1]TBMapping!$C1163,'[1]TrialBalance (Quarter)'!A:A,0),MATCH([1]TBMapping!M$3,'[1]TrialBalance (Quarter)'!$7:$7,0)),0)</f>
        <v>0</v>
      </c>
      <c r="M1161" s="5">
        <f>IFERROR(INDEX('[1]TrialBalance (Quarter)'!$A:$L,MATCH([1]TBMapping!$C1163,'[1]TrialBalance (Quarter)'!A:A,0),MATCH([1]TBMapping!N$3,'[1]TrialBalance (Quarter)'!$7:$7,0)),0)</f>
        <v>0</v>
      </c>
      <c r="N1161" s="5">
        <f>IFERROR(INDEX('[1]TrialBalance (Quarter)'!$A:$L,MATCH([1]TBMapping!$C1163,'[1]TrialBalance (Quarter)'!A:A,0),MATCH([1]TBMapping!O$3,'[1]TrialBalance (Quarter)'!$7:$7,0)),0)</f>
        <v>0</v>
      </c>
    </row>
    <row r="1162" spans="1:14">
      <c r="B1162" s="3">
        <v>629999</v>
      </c>
      <c r="C1162" s="10" t="s">
        <v>945</v>
      </c>
      <c r="D1162" s="10" t="s">
        <v>11</v>
      </c>
      <c r="E1162" s="10"/>
      <c r="F1162" s="5" t="e">
        <f>IF(DataExtraction="Manual",SUMIF('[1]TrialBalance (YTD)'!$C:$C,B1162,'[1]TrialBalance (YTD)'!$E:$E),SUMIF('[1]TrialBalance (YTD)'!$G:$G,B1162,'[1]TrialBalance (YTD)'!$I:$I))</f>
        <v>#VALUE!</v>
      </c>
      <c r="G1162" s="5">
        <f>IFERROR(INDEX('[1]TrialBalance (YTD)'!$G:$S,MATCH([1]TBMapping!$C1164,'[1]TrialBalance (YTD)'!G:G,0),MATCH([1]TBMapping!H$3,'[1]TrialBalance (YTD)'!$G$7:$Z$7,0)),0)</f>
        <v>0</v>
      </c>
      <c r="H1162" s="5" t="e">
        <f>SUMIF('[1]TrialBalance (YTD)'!G:G,B1162,'[1]TrialBalance (YTD)'!H:H)</f>
        <v>#VALUE!</v>
      </c>
      <c r="I1162" s="5">
        <f>IFERROR(INDEX('[1]TrialBalance (YTD)'!$G:$S,MATCH([1]TBMapping!$C1164,'[1]TrialBalance (YTD)'!G:G,0),MATCH([1]TBMapping!J$3,'[1]TrialBalance (YTD)'!$G$7:$Z$7,0)),0)</f>
        <v>0</v>
      </c>
      <c r="K1162" s="5" t="e">
        <f>SUMIF('[1]TrialBalance (Quarter)'!$A:$A,B1162,'[1]TrialBalance (Quarter)'!$B:$B)</f>
        <v>#VALUE!</v>
      </c>
      <c r="L1162" s="5">
        <f>IFERROR(INDEX('[1]TrialBalance (Quarter)'!$A:$L,MATCH([1]TBMapping!$C1164,'[1]TrialBalance (Quarter)'!A:A,0),MATCH([1]TBMapping!M$3,'[1]TrialBalance (Quarter)'!$7:$7,0)),0)</f>
        <v>0</v>
      </c>
      <c r="M1162" s="5">
        <f>IFERROR(INDEX('[1]TrialBalance (Quarter)'!$A:$L,MATCH([1]TBMapping!$C1164,'[1]TrialBalance (Quarter)'!A:A,0),MATCH([1]TBMapping!N$3,'[1]TrialBalance (Quarter)'!$7:$7,0)),0)</f>
        <v>0</v>
      </c>
      <c r="N1162" s="5">
        <f>IFERROR(INDEX('[1]TrialBalance (Quarter)'!$A:$L,MATCH([1]TBMapping!$C1164,'[1]TrialBalance (Quarter)'!A:A,0),MATCH([1]TBMapping!O$3,'[1]TrialBalance (Quarter)'!$7:$7,0)),0)</f>
        <v>0</v>
      </c>
    </row>
    <row r="1163" spans="1:14">
      <c r="B1163" s="3">
        <v>630000</v>
      </c>
      <c r="C1163" s="11" t="s">
        <v>946</v>
      </c>
      <c r="D1163" s="11" t="s">
        <v>11</v>
      </c>
      <c r="E1163" s="11"/>
      <c r="F1163" s="5" t="e">
        <f>IF(DataExtraction="Manual",SUMIF('[1]TrialBalance (YTD)'!$C:$C,B1163,'[1]TrialBalance (YTD)'!$E:$E),SUMIF('[1]TrialBalance (YTD)'!$G:$G,B1163,'[1]TrialBalance (YTD)'!$I:$I))</f>
        <v>#VALUE!</v>
      </c>
      <c r="G1163" s="5">
        <f>IFERROR(INDEX('[1]TrialBalance (YTD)'!$G:$S,MATCH([1]TBMapping!$C1165,'[1]TrialBalance (YTD)'!G:G,0),MATCH([1]TBMapping!H$3,'[1]TrialBalance (YTD)'!$G$7:$Z$7,0)),0)</f>
        <v>0</v>
      </c>
      <c r="H1163" s="5" t="e">
        <f>SUMIF('[1]TrialBalance (YTD)'!G:G,B1163,'[1]TrialBalance (YTD)'!H:H)</f>
        <v>#VALUE!</v>
      </c>
      <c r="I1163" s="5">
        <f>IFERROR(INDEX('[1]TrialBalance (YTD)'!$G:$S,MATCH([1]TBMapping!$C1165,'[1]TrialBalance (YTD)'!G:G,0),MATCH([1]TBMapping!J$3,'[1]TrialBalance (YTD)'!$G$7:$Z$7,0)),0)</f>
        <v>0</v>
      </c>
      <c r="K1163" s="5" t="e">
        <f>SUMIF('[1]TrialBalance (Quarter)'!$A:$A,B1163,'[1]TrialBalance (Quarter)'!$B:$B)</f>
        <v>#VALUE!</v>
      </c>
      <c r="L1163" s="5">
        <f>IFERROR(INDEX('[1]TrialBalance (Quarter)'!$A:$L,MATCH([1]TBMapping!$C1165,'[1]TrialBalance (Quarter)'!A:A,0),MATCH([1]TBMapping!M$3,'[1]TrialBalance (Quarter)'!$7:$7,0)),0)</f>
        <v>0</v>
      </c>
      <c r="M1163" s="5">
        <f>IFERROR(INDEX('[1]TrialBalance (Quarter)'!$A:$L,MATCH([1]TBMapping!$C1165,'[1]TrialBalance (Quarter)'!A:A,0),MATCH([1]TBMapping!N$3,'[1]TrialBalance (Quarter)'!$7:$7,0)),0)</f>
        <v>0</v>
      </c>
      <c r="N1163" s="5">
        <f>IFERROR(INDEX('[1]TrialBalance (Quarter)'!$A:$L,MATCH([1]TBMapping!$C1165,'[1]TrialBalance (Quarter)'!A:A,0),MATCH([1]TBMapping!O$3,'[1]TrialBalance (Quarter)'!$7:$7,0)),0)</f>
        <v>0</v>
      </c>
    </row>
    <row r="1164" spans="1:14">
      <c r="A1164" s="2">
        <v>25</v>
      </c>
      <c r="B1164" s="3">
        <v>631000</v>
      </c>
      <c r="C1164" s="10" t="s">
        <v>947</v>
      </c>
      <c r="D1164" s="10" t="s">
        <v>11</v>
      </c>
      <c r="E1164" s="10"/>
      <c r="F1164" s="5" t="e">
        <f>IF(DataExtraction="Manual",SUMIF('[1]TrialBalance (YTD)'!$C:$C,B1164,'[1]TrialBalance (YTD)'!$E:$E),SUMIF('[1]TrialBalance (YTD)'!$G:$G,B1164,'[1]TrialBalance (YTD)'!$I:$I))</f>
        <v>#VALUE!</v>
      </c>
      <c r="G1164" s="5">
        <f>IFERROR(INDEX('[1]TrialBalance (YTD)'!$G:$S,MATCH([1]TBMapping!$C1166,'[1]TrialBalance (YTD)'!G:G,0),MATCH([1]TBMapping!H$3,'[1]TrialBalance (YTD)'!$G$7:$Z$7,0)),0)</f>
        <v>0</v>
      </c>
      <c r="H1164" s="5" t="e">
        <f>SUMIF('[1]TrialBalance (YTD)'!G:G,B1164,'[1]TrialBalance (YTD)'!H:H)</f>
        <v>#VALUE!</v>
      </c>
      <c r="I1164" s="5">
        <f>IFERROR(INDEX('[1]TrialBalance (YTD)'!$G:$S,MATCH([1]TBMapping!$C1166,'[1]TrialBalance (YTD)'!G:G,0),MATCH([1]TBMapping!J$3,'[1]TrialBalance (YTD)'!$G$7:$Z$7,0)),0)</f>
        <v>0</v>
      </c>
      <c r="K1164" s="5" t="e">
        <f>SUMIF('[1]TrialBalance (Quarter)'!$A:$A,B1164,'[1]TrialBalance (Quarter)'!$B:$B)</f>
        <v>#VALUE!</v>
      </c>
      <c r="L1164" s="5">
        <f>IFERROR(INDEX('[1]TrialBalance (Quarter)'!$A:$L,MATCH([1]TBMapping!$C1166,'[1]TrialBalance (Quarter)'!A:A,0),MATCH([1]TBMapping!M$3,'[1]TrialBalance (Quarter)'!$7:$7,0)),0)</f>
        <v>0</v>
      </c>
      <c r="M1164" s="5">
        <f>IFERROR(INDEX('[1]TrialBalance (Quarter)'!$A:$L,MATCH([1]TBMapping!$C1166,'[1]TrialBalance (Quarter)'!A:A,0),MATCH([1]TBMapping!N$3,'[1]TrialBalance (Quarter)'!$7:$7,0)),0)</f>
        <v>0</v>
      </c>
      <c r="N1164" s="5">
        <f>IFERROR(INDEX('[1]TrialBalance (Quarter)'!$A:$L,MATCH([1]TBMapping!$C1166,'[1]TrialBalance (Quarter)'!A:A,0),MATCH([1]TBMapping!O$3,'[1]TrialBalance (Quarter)'!$7:$7,0)),0)</f>
        <v>0</v>
      </c>
    </row>
    <row r="1165" spans="1:14">
      <c r="A1165" s="2">
        <v>39</v>
      </c>
      <c r="B1165" s="3">
        <v>631010</v>
      </c>
      <c r="C1165" s="1" t="s">
        <v>948</v>
      </c>
      <c r="D1165" s="1" t="s">
        <v>11</v>
      </c>
      <c r="F1165" s="5" t="e">
        <f>IF(DataExtraction="Manual",SUMIF('[1]TrialBalance (YTD)'!$C:$C,B1165,'[1]TrialBalance (YTD)'!$E:$E),SUMIF('[1]TrialBalance (YTD)'!$G:$G,B1165,'[1]TrialBalance (YTD)'!$I:$I))</f>
        <v>#VALUE!</v>
      </c>
      <c r="G1165" s="5">
        <f>IFERROR(INDEX('[1]TrialBalance (YTD)'!$G:$S,MATCH([1]TBMapping!$C1167,'[1]TrialBalance (YTD)'!G:G,0),MATCH([1]TBMapping!H$3,'[1]TrialBalance (YTD)'!$G$7:$Z$7,0)),0)</f>
        <v>0</v>
      </c>
      <c r="H1165" s="5" t="e">
        <f>SUMIF('[1]TrialBalance (YTD)'!G:G,B1165,'[1]TrialBalance (YTD)'!H:H)</f>
        <v>#VALUE!</v>
      </c>
      <c r="I1165" s="5">
        <f>IFERROR(INDEX('[1]TrialBalance (YTD)'!$G:$S,MATCH([1]TBMapping!$C1167,'[1]TrialBalance (YTD)'!G:G,0),MATCH([1]TBMapping!J$3,'[1]TrialBalance (YTD)'!$G$7:$Z$7,0)),0)</f>
        <v>0</v>
      </c>
      <c r="K1165" s="5" t="e">
        <f>SUMIF('[1]TrialBalance (Quarter)'!$A:$A,B1165,'[1]TrialBalance (Quarter)'!$B:$B)</f>
        <v>#VALUE!</v>
      </c>
      <c r="L1165" s="5">
        <f>IFERROR(INDEX('[1]TrialBalance (Quarter)'!$A:$L,MATCH([1]TBMapping!$C1167,'[1]TrialBalance (Quarter)'!A:A,0),MATCH([1]TBMapping!M$3,'[1]TrialBalance (Quarter)'!$7:$7,0)),0)</f>
        <v>0</v>
      </c>
      <c r="M1165" s="5">
        <f>IFERROR(INDEX('[1]TrialBalance (Quarter)'!$A:$L,MATCH([1]TBMapping!$C1167,'[1]TrialBalance (Quarter)'!A:A,0),MATCH([1]TBMapping!N$3,'[1]TrialBalance (Quarter)'!$7:$7,0)),0)</f>
        <v>0</v>
      </c>
      <c r="N1165" s="5">
        <f>IFERROR(INDEX('[1]TrialBalance (Quarter)'!$A:$L,MATCH([1]TBMapping!$C1167,'[1]TrialBalance (Quarter)'!A:A,0),MATCH([1]TBMapping!O$3,'[1]TrialBalance (Quarter)'!$7:$7,0)),0)</f>
        <v>0</v>
      </c>
    </row>
    <row r="1166" spans="1:14">
      <c r="A1166" s="2">
        <v>39</v>
      </c>
      <c r="B1166" s="3">
        <v>631610</v>
      </c>
      <c r="C1166" s="1" t="s">
        <v>949</v>
      </c>
      <c r="D1166" s="1" t="s">
        <v>11</v>
      </c>
      <c r="F1166" s="5" t="e">
        <f>IF(DataExtraction="Manual",SUMIF('[1]TrialBalance (YTD)'!$C:$C,B1166,'[1]TrialBalance (YTD)'!$E:$E),SUMIF('[1]TrialBalance (YTD)'!$G:$G,B1166,'[1]TrialBalance (YTD)'!$I:$I))</f>
        <v>#VALUE!</v>
      </c>
      <c r="G1166" s="5">
        <f>IFERROR(INDEX('[1]TrialBalance (YTD)'!$G:$S,MATCH([1]TBMapping!$C1168,'[1]TrialBalance (YTD)'!G:G,0),MATCH([1]TBMapping!H$3,'[1]TrialBalance (YTD)'!$G$7:$Z$7,0)),0)</f>
        <v>0</v>
      </c>
      <c r="H1166" s="5" t="e">
        <f>SUMIF('[1]TrialBalance (YTD)'!G:G,B1166,'[1]TrialBalance (YTD)'!H:H)</f>
        <v>#VALUE!</v>
      </c>
      <c r="I1166" s="5">
        <f>IFERROR(INDEX('[1]TrialBalance (YTD)'!$G:$S,MATCH([1]TBMapping!$C1168,'[1]TrialBalance (YTD)'!G:G,0),MATCH([1]TBMapping!J$3,'[1]TrialBalance (YTD)'!$G$7:$Z$7,0)),0)</f>
        <v>0</v>
      </c>
      <c r="K1166" s="5" t="e">
        <f>SUMIF('[1]TrialBalance (Quarter)'!$A:$A,B1166,'[1]TrialBalance (Quarter)'!$B:$B)</f>
        <v>#VALUE!</v>
      </c>
      <c r="L1166" s="5">
        <f>IFERROR(INDEX('[1]TrialBalance (Quarter)'!$A:$L,MATCH([1]TBMapping!$C1168,'[1]TrialBalance (Quarter)'!A:A,0),MATCH([1]TBMapping!M$3,'[1]TrialBalance (Quarter)'!$7:$7,0)),0)</f>
        <v>0</v>
      </c>
      <c r="M1166" s="5">
        <f>IFERROR(INDEX('[1]TrialBalance (Quarter)'!$A:$L,MATCH([1]TBMapping!$C1168,'[1]TrialBalance (Quarter)'!A:A,0),MATCH([1]TBMapping!N$3,'[1]TrialBalance (Quarter)'!$7:$7,0)),0)</f>
        <v>0</v>
      </c>
      <c r="N1166" s="5">
        <f>IFERROR(INDEX('[1]TrialBalance (Quarter)'!$A:$L,MATCH([1]TBMapping!$C1168,'[1]TrialBalance (Quarter)'!A:A,0),MATCH([1]TBMapping!O$3,'[1]TrialBalance (Quarter)'!$7:$7,0)),0)</f>
        <v>0</v>
      </c>
    </row>
    <row r="1167" spans="1:14">
      <c r="A1167" s="2">
        <v>39</v>
      </c>
      <c r="B1167" s="3">
        <v>631620</v>
      </c>
      <c r="C1167" s="1" t="s">
        <v>950</v>
      </c>
      <c r="D1167" s="1" t="s">
        <v>11</v>
      </c>
      <c r="F1167" s="5" t="e">
        <f>IF(DataExtraction="Manual",SUMIF('[1]TrialBalance (YTD)'!$C:$C,B1167,'[1]TrialBalance (YTD)'!$E:$E),SUMIF('[1]TrialBalance (YTD)'!$G:$G,B1167,'[1]TrialBalance (YTD)'!$I:$I))</f>
        <v>#VALUE!</v>
      </c>
      <c r="G1167" s="5">
        <f>IFERROR(INDEX('[1]TrialBalance (YTD)'!$G:$S,MATCH([1]TBMapping!$C1169,'[1]TrialBalance (YTD)'!G:G,0),MATCH([1]TBMapping!H$3,'[1]TrialBalance (YTD)'!$G$7:$Z$7,0)),0)</f>
        <v>0</v>
      </c>
      <c r="H1167" s="5" t="e">
        <f>SUMIF('[1]TrialBalance (YTD)'!G:G,B1167,'[1]TrialBalance (YTD)'!H:H)</f>
        <v>#VALUE!</v>
      </c>
      <c r="I1167" s="5">
        <f>IFERROR(INDEX('[1]TrialBalance (YTD)'!$G:$S,MATCH([1]TBMapping!$C1169,'[1]TrialBalance (YTD)'!G:G,0),MATCH([1]TBMapping!J$3,'[1]TrialBalance (YTD)'!$G$7:$Z$7,0)),0)</f>
        <v>0</v>
      </c>
      <c r="K1167" s="5" t="e">
        <f>SUMIF('[1]TrialBalance (Quarter)'!$A:$A,B1167,'[1]TrialBalance (Quarter)'!$B:$B)</f>
        <v>#VALUE!</v>
      </c>
      <c r="L1167" s="5">
        <f>IFERROR(INDEX('[1]TrialBalance (Quarter)'!$A:$L,MATCH([1]TBMapping!$C1169,'[1]TrialBalance (Quarter)'!A:A,0),MATCH([1]TBMapping!M$3,'[1]TrialBalance (Quarter)'!$7:$7,0)),0)</f>
        <v>0</v>
      </c>
      <c r="M1167" s="5">
        <f>IFERROR(INDEX('[1]TrialBalance (Quarter)'!$A:$L,MATCH([1]TBMapping!$C1169,'[1]TrialBalance (Quarter)'!A:A,0),MATCH([1]TBMapping!N$3,'[1]TrialBalance (Quarter)'!$7:$7,0)),0)</f>
        <v>0</v>
      </c>
      <c r="N1167" s="5">
        <f>IFERROR(INDEX('[1]TrialBalance (Quarter)'!$A:$L,MATCH([1]TBMapping!$C1169,'[1]TrialBalance (Quarter)'!A:A,0),MATCH([1]TBMapping!O$3,'[1]TrialBalance (Quarter)'!$7:$7,0)),0)</f>
        <v>0</v>
      </c>
    </row>
    <row r="1168" spans="1:14">
      <c r="A1168" s="2">
        <v>31</v>
      </c>
      <c r="B1168" s="3">
        <v>633000</v>
      </c>
      <c r="C1168" s="1" t="s">
        <v>951</v>
      </c>
      <c r="D1168" s="1" t="s">
        <v>11</v>
      </c>
      <c r="F1168" s="5" t="e">
        <f>IF(DataExtraction="Manual",SUMIF('[1]TrialBalance (YTD)'!$C:$C,B1168,'[1]TrialBalance (YTD)'!$E:$E),SUMIF('[1]TrialBalance (YTD)'!$G:$G,B1168,'[1]TrialBalance (YTD)'!$I:$I))</f>
        <v>#VALUE!</v>
      </c>
      <c r="G1168" s="5">
        <f>IFERROR(INDEX('[1]TrialBalance (YTD)'!$G:$S,MATCH([1]TBMapping!$C1170,'[1]TrialBalance (YTD)'!G:G,0),MATCH([1]TBMapping!H$3,'[1]TrialBalance (YTD)'!$G$7:$Z$7,0)),0)</f>
        <v>0</v>
      </c>
      <c r="H1168" s="5" t="e">
        <f>SUMIF('[1]TrialBalance (YTD)'!G:G,B1168,'[1]TrialBalance (YTD)'!H:H)</f>
        <v>#VALUE!</v>
      </c>
      <c r="I1168" s="5">
        <f>IFERROR(INDEX('[1]TrialBalance (YTD)'!$G:$S,MATCH([1]TBMapping!$C1170,'[1]TrialBalance (YTD)'!G:G,0),MATCH([1]TBMapping!J$3,'[1]TrialBalance (YTD)'!$G$7:$Z$7,0)),0)</f>
        <v>0</v>
      </c>
      <c r="K1168" s="5" t="e">
        <f>SUMIF('[1]TrialBalance (Quarter)'!$A:$A,B1168,'[1]TrialBalance (Quarter)'!$B:$B)</f>
        <v>#VALUE!</v>
      </c>
      <c r="L1168" s="5">
        <f>IFERROR(INDEX('[1]TrialBalance (Quarter)'!$A:$L,MATCH([1]TBMapping!$C1170,'[1]TrialBalance (Quarter)'!A:A,0),MATCH([1]TBMapping!M$3,'[1]TrialBalance (Quarter)'!$7:$7,0)),0)</f>
        <v>0</v>
      </c>
      <c r="M1168" s="5">
        <f>IFERROR(INDEX('[1]TrialBalance (Quarter)'!$A:$L,MATCH([1]TBMapping!$C1170,'[1]TrialBalance (Quarter)'!A:A,0),MATCH([1]TBMapping!N$3,'[1]TrialBalance (Quarter)'!$7:$7,0)),0)</f>
        <v>0</v>
      </c>
      <c r="N1168" s="5">
        <f>IFERROR(INDEX('[1]TrialBalance (Quarter)'!$A:$L,MATCH([1]TBMapping!$C1170,'[1]TrialBalance (Quarter)'!A:A,0),MATCH([1]TBMapping!O$3,'[1]TrialBalance (Quarter)'!$7:$7,0)),0)</f>
        <v>126948404.75</v>
      </c>
    </row>
    <row r="1169" spans="1:14">
      <c r="A1169" s="2">
        <v>39</v>
      </c>
      <c r="B1169" s="3">
        <v>634000</v>
      </c>
      <c r="C1169" s="1" t="s">
        <v>952</v>
      </c>
      <c r="D1169" s="1" t="s">
        <v>11</v>
      </c>
      <c r="F1169" s="5" t="e">
        <f>IF(DataExtraction="Manual",SUMIF('[1]TrialBalance (YTD)'!$C:$C,B1169,'[1]TrialBalance (YTD)'!$E:$E),SUMIF('[1]TrialBalance (YTD)'!$G:$G,B1169,'[1]TrialBalance (YTD)'!$I:$I))</f>
        <v>#VALUE!</v>
      </c>
      <c r="G1169" s="5">
        <f>IFERROR(INDEX('[1]TrialBalance (YTD)'!$G:$S,MATCH([1]TBMapping!$C1171,'[1]TrialBalance (YTD)'!G:G,0),MATCH([1]TBMapping!H$3,'[1]TrialBalance (YTD)'!$G$7:$Z$7,0)),0)</f>
        <v>0</v>
      </c>
      <c r="H1169" s="5" t="e">
        <f>SUMIF('[1]TrialBalance (YTD)'!G:G,B1169,'[1]TrialBalance (YTD)'!H:H)</f>
        <v>#VALUE!</v>
      </c>
      <c r="I1169" s="5">
        <f>IFERROR(INDEX('[1]TrialBalance (YTD)'!$G:$S,MATCH([1]TBMapping!$C1171,'[1]TrialBalance (YTD)'!G:G,0),MATCH([1]TBMapping!J$3,'[1]TrialBalance (YTD)'!$G$7:$Z$7,0)),0)</f>
        <v>0</v>
      </c>
      <c r="K1169" s="5" t="e">
        <f>SUMIF('[1]TrialBalance (Quarter)'!$A:$A,B1169,'[1]TrialBalance (Quarter)'!$B:$B)</f>
        <v>#VALUE!</v>
      </c>
      <c r="L1169" s="5">
        <f>IFERROR(INDEX('[1]TrialBalance (Quarter)'!$A:$L,MATCH([1]TBMapping!$C1171,'[1]TrialBalance (Quarter)'!A:A,0),MATCH([1]TBMapping!M$3,'[1]TrialBalance (Quarter)'!$7:$7,0)),0)</f>
        <v>0</v>
      </c>
      <c r="M1169" s="5">
        <f>IFERROR(INDEX('[1]TrialBalance (Quarter)'!$A:$L,MATCH([1]TBMapping!$C1171,'[1]TrialBalance (Quarter)'!A:A,0),MATCH([1]TBMapping!N$3,'[1]TrialBalance (Quarter)'!$7:$7,0)),0)</f>
        <v>0</v>
      </c>
      <c r="N1169" s="5">
        <f>IFERROR(INDEX('[1]TrialBalance (Quarter)'!$A:$L,MATCH([1]TBMapping!$C1171,'[1]TrialBalance (Quarter)'!A:A,0),MATCH([1]TBMapping!O$3,'[1]TrialBalance (Quarter)'!$7:$7,0)),0)</f>
        <v>0</v>
      </c>
    </row>
    <row r="1170" spans="1:14">
      <c r="A1170" s="2">
        <v>35</v>
      </c>
      <c r="B1170" s="3">
        <v>634010</v>
      </c>
      <c r="C1170" s="1" t="s">
        <v>953</v>
      </c>
      <c r="D1170" s="1" t="s">
        <v>11</v>
      </c>
      <c r="F1170" s="5" t="e">
        <f>IF(DataExtraction="Manual",SUMIF('[1]TrialBalance (YTD)'!$C:$C,B1170,'[1]TrialBalance (YTD)'!$E:$E),SUMIF('[1]TrialBalance (YTD)'!$G:$G,B1170,'[1]TrialBalance (YTD)'!$I:$I))</f>
        <v>#VALUE!</v>
      </c>
      <c r="G1170" s="5">
        <f>IFERROR(INDEX('[1]TrialBalance (YTD)'!$G:$S,MATCH([1]TBMapping!$C1172,'[1]TrialBalance (YTD)'!G:G,0),MATCH([1]TBMapping!H$3,'[1]TrialBalance (YTD)'!$G$7:$Z$7,0)),0)</f>
        <v>0</v>
      </c>
      <c r="H1170" s="5" t="e">
        <f>SUMIF('[1]TrialBalance (YTD)'!G:G,B1170,'[1]TrialBalance (YTD)'!H:H)</f>
        <v>#VALUE!</v>
      </c>
      <c r="I1170" s="5">
        <f>IFERROR(INDEX('[1]TrialBalance (YTD)'!$G:$S,MATCH([1]TBMapping!$C1172,'[1]TrialBalance (YTD)'!G:G,0),MATCH([1]TBMapping!J$3,'[1]TrialBalance (YTD)'!$G$7:$Z$7,0)),0)</f>
        <v>0</v>
      </c>
      <c r="K1170" s="5" t="e">
        <f>SUMIF('[1]TrialBalance (Quarter)'!$A:$A,B1170,'[1]TrialBalance (Quarter)'!$B:$B)</f>
        <v>#VALUE!</v>
      </c>
      <c r="L1170" s="5">
        <f>IFERROR(INDEX('[1]TrialBalance (Quarter)'!$A:$L,MATCH([1]TBMapping!$C1172,'[1]TrialBalance (Quarter)'!A:A,0),MATCH([1]TBMapping!M$3,'[1]TrialBalance (Quarter)'!$7:$7,0)),0)</f>
        <v>0</v>
      </c>
      <c r="M1170" s="5">
        <f>IFERROR(INDEX('[1]TrialBalance (Quarter)'!$A:$L,MATCH([1]TBMapping!$C1172,'[1]TrialBalance (Quarter)'!A:A,0),MATCH([1]TBMapping!N$3,'[1]TrialBalance (Quarter)'!$7:$7,0)),0)</f>
        <v>0</v>
      </c>
      <c r="N1170" s="5">
        <f>IFERROR(INDEX('[1]TrialBalance (Quarter)'!$A:$L,MATCH([1]TBMapping!$C1172,'[1]TrialBalance (Quarter)'!A:A,0),MATCH([1]TBMapping!O$3,'[1]TrialBalance (Quarter)'!$7:$7,0)),0)</f>
        <v>0</v>
      </c>
    </row>
    <row r="1171" spans="1:14">
      <c r="A1171" s="2">
        <v>35</v>
      </c>
      <c r="B1171" s="3">
        <v>634020</v>
      </c>
      <c r="C1171" s="1" t="s">
        <v>954</v>
      </c>
      <c r="D1171" s="1" t="s">
        <v>11</v>
      </c>
      <c r="F1171" s="5" t="e">
        <f>IF(DataExtraction="Manual",SUMIF('[1]TrialBalance (YTD)'!$C:$C,B1171,'[1]TrialBalance (YTD)'!$E:$E),SUMIF('[1]TrialBalance (YTD)'!$G:$G,B1171,'[1]TrialBalance (YTD)'!$I:$I))</f>
        <v>#VALUE!</v>
      </c>
      <c r="G1171" s="5">
        <f>IFERROR(INDEX('[1]TrialBalance (YTD)'!$G:$S,MATCH([1]TBMapping!$C1173,'[1]TrialBalance (YTD)'!G:G,0),MATCH([1]TBMapping!H$3,'[1]TrialBalance (YTD)'!$G$7:$Z$7,0)),0)</f>
        <v>0</v>
      </c>
      <c r="H1171" s="5" t="e">
        <f>SUMIF('[1]TrialBalance (YTD)'!G:G,B1171,'[1]TrialBalance (YTD)'!H:H)</f>
        <v>#VALUE!</v>
      </c>
      <c r="I1171" s="5">
        <f>IFERROR(INDEX('[1]TrialBalance (YTD)'!$G:$S,MATCH([1]TBMapping!$C1173,'[1]TrialBalance (YTD)'!G:G,0),MATCH([1]TBMapping!J$3,'[1]TrialBalance (YTD)'!$G$7:$Z$7,0)),0)</f>
        <v>0</v>
      </c>
      <c r="K1171" s="5" t="e">
        <f>SUMIF('[1]TrialBalance (Quarter)'!$A:$A,B1171,'[1]TrialBalance (Quarter)'!$B:$B)</f>
        <v>#VALUE!</v>
      </c>
      <c r="L1171" s="5">
        <f>IFERROR(INDEX('[1]TrialBalance (Quarter)'!$A:$L,MATCH([1]TBMapping!$C1173,'[1]TrialBalance (Quarter)'!A:A,0),MATCH([1]TBMapping!M$3,'[1]TrialBalance (Quarter)'!$7:$7,0)),0)</f>
        <v>0</v>
      </c>
      <c r="M1171" s="5">
        <f>IFERROR(INDEX('[1]TrialBalance (Quarter)'!$A:$L,MATCH([1]TBMapping!$C1173,'[1]TrialBalance (Quarter)'!A:A,0),MATCH([1]TBMapping!N$3,'[1]TrialBalance (Quarter)'!$7:$7,0)),0)</f>
        <v>0</v>
      </c>
      <c r="N1171" s="5">
        <f>IFERROR(INDEX('[1]TrialBalance (Quarter)'!$A:$L,MATCH([1]TBMapping!$C1173,'[1]TrialBalance (Quarter)'!A:A,0),MATCH([1]TBMapping!O$3,'[1]TrialBalance (Quarter)'!$7:$7,0)),0)</f>
        <v>0</v>
      </c>
    </row>
    <row r="1172" spans="1:14">
      <c r="A1172" s="2">
        <v>39</v>
      </c>
      <c r="B1172" s="3">
        <v>635010</v>
      </c>
      <c r="C1172" s="1" t="s">
        <v>955</v>
      </c>
      <c r="D1172" s="1" t="s">
        <v>16</v>
      </c>
      <c r="F1172" s="5" t="e">
        <f>IF(DataExtraction="Manual",SUMIF('[1]TrialBalance (YTD)'!$C:$C,B1172,'[1]TrialBalance (YTD)'!$E:$E),SUMIF('[1]TrialBalance (YTD)'!$G:$G,B1172,'[1]TrialBalance (YTD)'!$I:$I))</f>
        <v>#VALUE!</v>
      </c>
      <c r="G1172" s="5">
        <f>IFERROR(INDEX('[1]TrialBalance (YTD)'!$G:$S,MATCH([1]TBMapping!$C1174,'[1]TrialBalance (YTD)'!G:G,0),MATCH([1]TBMapping!H$3,'[1]TrialBalance (YTD)'!$G$7:$Z$7,0)),0)</f>
        <v>0</v>
      </c>
      <c r="H1172" s="5" t="e">
        <f>SUMIF('[1]TrialBalance (YTD)'!G:G,B1172,'[1]TrialBalance (YTD)'!H:H)</f>
        <v>#VALUE!</v>
      </c>
      <c r="I1172" s="5">
        <f>IFERROR(INDEX('[1]TrialBalance (YTD)'!$G:$S,MATCH([1]TBMapping!$C1174,'[1]TrialBalance (YTD)'!G:G,0),MATCH([1]TBMapping!J$3,'[1]TrialBalance (YTD)'!$G$7:$Z$7,0)),0)</f>
        <v>0</v>
      </c>
      <c r="K1172" s="5" t="e">
        <f>SUMIF('[1]TrialBalance (Quarter)'!$A:$A,B1172,'[1]TrialBalance (Quarter)'!$B:$B)</f>
        <v>#VALUE!</v>
      </c>
      <c r="L1172" s="5">
        <f>IFERROR(INDEX('[1]TrialBalance (Quarter)'!$A:$L,MATCH([1]TBMapping!$C1174,'[1]TrialBalance (Quarter)'!A:A,0),MATCH([1]TBMapping!M$3,'[1]TrialBalance (Quarter)'!$7:$7,0)),0)</f>
        <v>0</v>
      </c>
      <c r="M1172" s="5">
        <f>IFERROR(INDEX('[1]TrialBalance (Quarter)'!$A:$L,MATCH([1]TBMapping!$C1174,'[1]TrialBalance (Quarter)'!A:A,0),MATCH([1]TBMapping!N$3,'[1]TrialBalance (Quarter)'!$7:$7,0)),0)</f>
        <v>0</v>
      </c>
      <c r="N1172" s="5">
        <f>IFERROR(INDEX('[1]TrialBalance (Quarter)'!$A:$L,MATCH([1]TBMapping!$C1174,'[1]TrialBalance (Quarter)'!A:A,0),MATCH([1]TBMapping!O$3,'[1]TrialBalance (Quarter)'!$7:$7,0)),0)</f>
        <v>0</v>
      </c>
    </row>
    <row r="1173" spans="1:14">
      <c r="A1173" s="2">
        <v>29</v>
      </c>
      <c r="B1173" s="3">
        <v>636000</v>
      </c>
      <c r="C1173" s="1" t="s">
        <v>925</v>
      </c>
      <c r="D1173" s="1" t="s">
        <v>16</v>
      </c>
      <c r="F1173" s="5" t="e">
        <f>IF(DataExtraction="Manual",SUMIF('[1]TrialBalance (YTD)'!$C:$C,B1173,'[1]TrialBalance (YTD)'!$E:$E),SUMIF('[1]TrialBalance (YTD)'!$G:$G,B1173,'[1]TrialBalance (YTD)'!$I:$I))</f>
        <v>#VALUE!</v>
      </c>
      <c r="G1173" s="5">
        <f>IFERROR(INDEX('[1]TrialBalance (YTD)'!$G:$S,MATCH([1]TBMapping!$C1175,'[1]TrialBalance (YTD)'!G:G,0),MATCH([1]TBMapping!H$3,'[1]TrialBalance (YTD)'!$G$7:$Z$7,0)),0)</f>
        <v>0</v>
      </c>
      <c r="H1173" s="5" t="e">
        <f>SUMIF('[1]TrialBalance (YTD)'!G:G,B1173,'[1]TrialBalance (YTD)'!H:H)</f>
        <v>#VALUE!</v>
      </c>
      <c r="I1173" s="5">
        <f>IFERROR(INDEX('[1]TrialBalance (YTD)'!$G:$S,MATCH([1]TBMapping!$C1175,'[1]TrialBalance (YTD)'!G:G,0),MATCH([1]TBMapping!J$3,'[1]TrialBalance (YTD)'!$G$7:$Z$7,0)),0)</f>
        <v>0</v>
      </c>
      <c r="K1173" s="5" t="e">
        <f>SUMIF('[1]TrialBalance (Quarter)'!$A:$A,B1173,'[1]TrialBalance (Quarter)'!$B:$B)</f>
        <v>#VALUE!</v>
      </c>
      <c r="L1173" s="5">
        <f>IFERROR(INDEX('[1]TrialBalance (Quarter)'!$A:$L,MATCH([1]TBMapping!$C1175,'[1]TrialBalance (Quarter)'!A:A,0),MATCH([1]TBMapping!M$3,'[1]TrialBalance (Quarter)'!$7:$7,0)),0)</f>
        <v>0</v>
      </c>
      <c r="M1173" s="5">
        <f>IFERROR(INDEX('[1]TrialBalance (Quarter)'!$A:$L,MATCH([1]TBMapping!$C1175,'[1]TrialBalance (Quarter)'!A:A,0),MATCH([1]TBMapping!N$3,'[1]TrialBalance (Quarter)'!$7:$7,0)),0)</f>
        <v>0</v>
      </c>
      <c r="N1173" s="5">
        <f>IFERROR(INDEX('[1]TrialBalance (Quarter)'!$A:$L,MATCH([1]TBMapping!$C1175,'[1]TrialBalance (Quarter)'!A:A,0),MATCH([1]TBMapping!O$3,'[1]TrialBalance (Quarter)'!$7:$7,0)),0)</f>
        <v>0</v>
      </c>
    </row>
    <row r="1174" spans="1:14">
      <c r="B1174" s="3">
        <v>639999</v>
      </c>
      <c r="C1174" s="1" t="s">
        <v>956</v>
      </c>
      <c r="D1174" s="1" t="s">
        <v>5</v>
      </c>
      <c r="F1174" s="5" t="e">
        <f>IF(DataExtraction="Manual",SUMIF('[1]TrialBalance (YTD)'!$C:$C,B1174,'[1]TrialBalance (YTD)'!$E:$E),SUMIF('[1]TrialBalance (YTD)'!$G:$G,B1174,'[1]TrialBalance (YTD)'!$I:$I))</f>
        <v>#VALUE!</v>
      </c>
      <c r="G1174" s="5">
        <f>IFERROR(INDEX('[1]TrialBalance (YTD)'!$G:$S,MATCH([1]TBMapping!$C1176,'[1]TrialBalance (YTD)'!G:G,0),MATCH([1]TBMapping!H$3,'[1]TrialBalance (YTD)'!$G$7:$Z$7,0)),0)</f>
        <v>0</v>
      </c>
      <c r="H1174" s="5" t="e">
        <f>SUMIF('[1]TrialBalance (YTD)'!G:G,B1174,'[1]TrialBalance (YTD)'!H:H)</f>
        <v>#VALUE!</v>
      </c>
      <c r="I1174" s="5">
        <f>IFERROR(INDEX('[1]TrialBalance (YTD)'!$G:$S,MATCH([1]TBMapping!$C1176,'[1]TrialBalance (YTD)'!G:G,0),MATCH([1]TBMapping!J$3,'[1]TrialBalance (YTD)'!$G$7:$Z$7,0)),0)</f>
        <v>0</v>
      </c>
      <c r="K1174" s="5" t="e">
        <f>SUMIF('[1]TrialBalance (Quarter)'!$A:$A,B1174,'[1]TrialBalance (Quarter)'!$B:$B)</f>
        <v>#VALUE!</v>
      </c>
      <c r="L1174" s="5">
        <f>IFERROR(INDEX('[1]TrialBalance (Quarter)'!$A:$L,MATCH([1]TBMapping!$C1176,'[1]TrialBalance (Quarter)'!A:A,0),MATCH([1]TBMapping!M$3,'[1]TrialBalance (Quarter)'!$7:$7,0)),0)</f>
        <v>0</v>
      </c>
      <c r="M1174" s="5">
        <f>IFERROR(INDEX('[1]TrialBalance (Quarter)'!$A:$L,MATCH([1]TBMapping!$C1176,'[1]TrialBalance (Quarter)'!A:A,0),MATCH([1]TBMapping!N$3,'[1]TrialBalance (Quarter)'!$7:$7,0)),0)</f>
        <v>0</v>
      </c>
      <c r="N1174" s="5">
        <f>IFERROR(INDEX('[1]TrialBalance (Quarter)'!$A:$L,MATCH([1]TBMapping!$C1176,'[1]TrialBalance (Quarter)'!A:A,0),MATCH([1]TBMapping!O$3,'[1]TrialBalance (Quarter)'!$7:$7,0)),0)</f>
        <v>0</v>
      </c>
    </row>
    <row r="1175" spans="1:14">
      <c r="B1175" s="3">
        <v>699999</v>
      </c>
      <c r="C1175" s="1" t="s">
        <v>932</v>
      </c>
      <c r="D1175" s="1" t="s">
        <v>5</v>
      </c>
      <c r="F1175" s="5" t="e">
        <f>IF(DataExtraction="Manual",SUMIF('[1]TrialBalance (YTD)'!$C:$C,B1175,'[1]TrialBalance (YTD)'!$E:$E),SUMIF('[1]TrialBalance (YTD)'!$G:$G,B1175,'[1]TrialBalance (YTD)'!$I:$I))</f>
        <v>#VALUE!</v>
      </c>
      <c r="G1175" s="5">
        <f>IFERROR(INDEX('[1]TrialBalance (YTD)'!$G:$S,MATCH([1]TBMapping!$C1177,'[1]TrialBalance (YTD)'!G:G,0),MATCH([1]TBMapping!H$3,'[1]TrialBalance (YTD)'!$G$7:$Z$7,0)),0)</f>
        <v>0</v>
      </c>
      <c r="H1175" s="5" t="e">
        <f>SUMIF('[1]TrialBalance (YTD)'!G:G,B1175,'[1]TrialBalance (YTD)'!H:H)</f>
        <v>#VALUE!</v>
      </c>
      <c r="I1175" s="5">
        <f>IFERROR(INDEX('[1]TrialBalance (YTD)'!$G:$S,MATCH([1]TBMapping!$C1177,'[1]TrialBalance (YTD)'!G:G,0),MATCH([1]TBMapping!J$3,'[1]TrialBalance (YTD)'!$G$7:$Z$7,0)),0)</f>
        <v>0</v>
      </c>
      <c r="K1175" s="5" t="e">
        <f>SUMIF('[1]TrialBalance (Quarter)'!$A:$A,B1175,'[1]TrialBalance (Quarter)'!$B:$B)</f>
        <v>#VALUE!</v>
      </c>
      <c r="L1175" s="5">
        <f>IFERROR(INDEX('[1]TrialBalance (Quarter)'!$A:$L,MATCH([1]TBMapping!$C1177,'[1]TrialBalance (Quarter)'!A:A,0),MATCH([1]TBMapping!M$3,'[1]TrialBalance (Quarter)'!$7:$7,0)),0)</f>
        <v>0</v>
      </c>
      <c r="M1175" s="5">
        <f>IFERROR(INDEX('[1]TrialBalance (Quarter)'!$A:$L,MATCH([1]TBMapping!$C1177,'[1]TrialBalance (Quarter)'!A:A,0),MATCH([1]TBMapping!N$3,'[1]TrialBalance (Quarter)'!$7:$7,0)),0)</f>
        <v>0</v>
      </c>
      <c r="N1175" s="5">
        <f>IFERROR(INDEX('[1]TrialBalance (Quarter)'!$A:$L,MATCH([1]TBMapping!$C1177,'[1]TrialBalance (Quarter)'!A:A,0),MATCH([1]TBMapping!O$3,'[1]TrialBalance (Quarter)'!$7:$7,0)),0)</f>
        <v>0</v>
      </c>
    </row>
    <row r="1176" spans="1:14">
      <c r="B1176" s="3">
        <v>700001</v>
      </c>
      <c r="C1176" s="1" t="s">
        <v>929</v>
      </c>
      <c r="D1176" s="1" t="s">
        <v>11</v>
      </c>
      <c r="F1176" s="5" t="e">
        <f>IF(DataExtraction="Manual",SUMIF('[1]TrialBalance (YTD)'!$C:$C,B1176,'[1]TrialBalance (YTD)'!$E:$E),SUMIF('[1]TrialBalance (YTD)'!$G:$G,B1176,'[1]TrialBalance (YTD)'!$I:$I))</f>
        <v>#VALUE!</v>
      </c>
      <c r="G1176" s="5">
        <f>IFERROR(INDEX('[1]TrialBalance (YTD)'!$G:$S,MATCH([1]TBMapping!$C1178,'[1]TrialBalance (YTD)'!G:G,0),MATCH([1]TBMapping!H$3,'[1]TrialBalance (YTD)'!$G$7:$Z$7,0)),0)</f>
        <v>0</v>
      </c>
      <c r="H1176" s="5" t="e">
        <f>SUMIF('[1]TrialBalance (YTD)'!G:G,B1176,'[1]TrialBalance (YTD)'!H:H)</f>
        <v>#VALUE!</v>
      </c>
      <c r="I1176" s="5">
        <f>IFERROR(INDEX('[1]TrialBalance (YTD)'!$G:$S,MATCH([1]TBMapping!$C1178,'[1]TrialBalance (YTD)'!G:G,0),MATCH([1]TBMapping!J$3,'[1]TrialBalance (YTD)'!$G$7:$Z$7,0)),0)</f>
        <v>0</v>
      </c>
      <c r="K1176" s="5" t="e">
        <f>SUMIF('[1]TrialBalance (Quarter)'!$A:$A,B1176,'[1]TrialBalance (Quarter)'!$B:$B)</f>
        <v>#VALUE!</v>
      </c>
      <c r="L1176" s="5">
        <f>IFERROR(INDEX('[1]TrialBalance (Quarter)'!$A:$L,MATCH([1]TBMapping!$C1178,'[1]TrialBalance (Quarter)'!A:A,0),MATCH([1]TBMapping!M$3,'[1]TrialBalance (Quarter)'!$7:$7,0)),0)</f>
        <v>0</v>
      </c>
      <c r="M1176" s="5">
        <f>IFERROR(INDEX('[1]TrialBalance (Quarter)'!$A:$L,MATCH([1]TBMapping!$C1178,'[1]TrialBalance (Quarter)'!A:A,0),MATCH([1]TBMapping!N$3,'[1]TrialBalance (Quarter)'!$7:$7,0)),0)</f>
        <v>0</v>
      </c>
      <c r="N1176" s="5">
        <f>IFERROR(INDEX('[1]TrialBalance (Quarter)'!$A:$L,MATCH([1]TBMapping!$C1178,'[1]TrialBalance (Quarter)'!A:A,0),MATCH([1]TBMapping!O$3,'[1]TrialBalance (Quarter)'!$7:$7,0)),0)</f>
        <v>0</v>
      </c>
    </row>
    <row r="1177" spans="1:14">
      <c r="B1177" s="3">
        <v>710000</v>
      </c>
      <c r="C1177" s="1" t="s">
        <v>957</v>
      </c>
      <c r="D1177" s="1" t="s">
        <v>11</v>
      </c>
      <c r="F1177" s="5" t="e">
        <f>IF(DataExtraction="Manual",SUMIF('[1]TrialBalance (YTD)'!$C:$C,B1177,'[1]TrialBalance (YTD)'!$E:$E),SUMIF('[1]TrialBalance (YTD)'!$G:$G,B1177,'[1]TrialBalance (YTD)'!$I:$I))</f>
        <v>#VALUE!</v>
      </c>
      <c r="G1177" s="5">
        <f>IFERROR(INDEX('[1]TrialBalance (YTD)'!$G:$S,MATCH([1]TBMapping!$C1179,'[1]TrialBalance (YTD)'!G:G,0),MATCH([1]TBMapping!H$3,'[1]TrialBalance (YTD)'!$G$7:$Z$7,0)),0)</f>
        <v>0</v>
      </c>
      <c r="H1177" s="5" t="e">
        <f>SUMIF('[1]TrialBalance (YTD)'!G:G,B1177,'[1]TrialBalance (YTD)'!H:H)</f>
        <v>#VALUE!</v>
      </c>
      <c r="I1177" s="5">
        <f>IFERROR(INDEX('[1]TrialBalance (YTD)'!$G:$S,MATCH([1]TBMapping!$C1179,'[1]TrialBalance (YTD)'!G:G,0),MATCH([1]TBMapping!J$3,'[1]TrialBalance (YTD)'!$G$7:$Z$7,0)),0)</f>
        <v>0</v>
      </c>
      <c r="K1177" s="5" t="e">
        <f>SUMIF('[1]TrialBalance (Quarter)'!$A:$A,B1177,'[1]TrialBalance (Quarter)'!$B:$B)</f>
        <v>#VALUE!</v>
      </c>
      <c r="L1177" s="5">
        <f>IFERROR(INDEX('[1]TrialBalance (Quarter)'!$A:$L,MATCH([1]TBMapping!$C1179,'[1]TrialBalance (Quarter)'!A:A,0),MATCH([1]TBMapping!M$3,'[1]TrialBalance (Quarter)'!$7:$7,0)),0)</f>
        <v>0</v>
      </c>
      <c r="M1177" s="5">
        <f>IFERROR(INDEX('[1]TrialBalance (Quarter)'!$A:$L,MATCH([1]TBMapping!$C1179,'[1]TrialBalance (Quarter)'!A:A,0),MATCH([1]TBMapping!N$3,'[1]TrialBalance (Quarter)'!$7:$7,0)),0)</f>
        <v>0</v>
      </c>
      <c r="N1177" s="5">
        <f>IFERROR(INDEX('[1]TrialBalance (Quarter)'!$A:$L,MATCH([1]TBMapping!$C1179,'[1]TrialBalance (Quarter)'!A:A,0),MATCH([1]TBMapping!O$3,'[1]TrialBalance (Quarter)'!$7:$7,0)),0)</f>
        <v>0</v>
      </c>
    </row>
    <row r="1178" spans="1:14">
      <c r="A1178" s="2">
        <v>31</v>
      </c>
      <c r="B1178" s="3">
        <v>711000</v>
      </c>
      <c r="C1178" s="1" t="s">
        <v>937</v>
      </c>
      <c r="D1178" s="1" t="s">
        <v>11</v>
      </c>
      <c r="F1178" s="5" t="e">
        <f>IF(DataExtraction="Manual",SUMIF('[1]TrialBalance (YTD)'!$C:$C,B1178,'[1]TrialBalance (YTD)'!$E:$E),SUMIF('[1]TrialBalance (YTD)'!$G:$G,B1178,'[1]TrialBalance (YTD)'!$I:$I))</f>
        <v>#VALUE!</v>
      </c>
      <c r="G1178" s="5">
        <f>IFERROR(INDEX('[1]TrialBalance (YTD)'!$G:$S,MATCH([1]TBMapping!$C1180,'[1]TrialBalance (YTD)'!G:G,0),MATCH([1]TBMapping!H$3,'[1]TrialBalance (YTD)'!$G$7:$Z$7,0)),0)</f>
        <v>0</v>
      </c>
      <c r="H1178" s="5" t="e">
        <f>SUMIF('[1]TrialBalance (YTD)'!G:G,B1178,'[1]TrialBalance (YTD)'!H:H)</f>
        <v>#VALUE!</v>
      </c>
      <c r="I1178" s="5">
        <f>IFERROR(INDEX('[1]TrialBalance (YTD)'!$G:$S,MATCH([1]TBMapping!$C1180,'[1]TrialBalance (YTD)'!G:G,0),MATCH([1]TBMapping!J$3,'[1]TrialBalance (YTD)'!$G$7:$Z$7,0)),0)</f>
        <v>0</v>
      </c>
      <c r="K1178" s="5" t="e">
        <f>SUMIF('[1]TrialBalance (Quarter)'!$A:$A,B1178,'[1]TrialBalance (Quarter)'!$B:$B)</f>
        <v>#VALUE!</v>
      </c>
      <c r="L1178" s="5">
        <f>IFERROR(INDEX('[1]TrialBalance (Quarter)'!$A:$L,MATCH([1]TBMapping!$C1180,'[1]TrialBalance (Quarter)'!A:A,0),MATCH([1]TBMapping!M$3,'[1]TrialBalance (Quarter)'!$7:$7,0)),0)</f>
        <v>0</v>
      </c>
      <c r="M1178" s="5">
        <f>IFERROR(INDEX('[1]TrialBalance (Quarter)'!$A:$L,MATCH([1]TBMapping!$C1180,'[1]TrialBalance (Quarter)'!A:A,0),MATCH([1]TBMapping!N$3,'[1]TrialBalance (Quarter)'!$7:$7,0)),0)</f>
        <v>0</v>
      </c>
      <c r="N1178" s="5">
        <f>IFERROR(INDEX('[1]TrialBalance (Quarter)'!$A:$L,MATCH([1]TBMapping!$C1180,'[1]TrialBalance (Quarter)'!A:A,0),MATCH([1]TBMapping!O$3,'[1]TrialBalance (Quarter)'!$7:$7,0)),0)</f>
        <v>0</v>
      </c>
    </row>
    <row r="1179" spans="1:14">
      <c r="A1179" s="2">
        <v>31</v>
      </c>
      <c r="B1179" s="3">
        <v>711010</v>
      </c>
      <c r="C1179" s="1" t="s">
        <v>938</v>
      </c>
      <c r="D1179" s="1" t="s">
        <v>11</v>
      </c>
      <c r="F1179" s="5" t="e">
        <f>IF(DataExtraction="Manual",SUMIF('[1]TrialBalance (YTD)'!$C:$C,B1179,'[1]TrialBalance (YTD)'!$E:$E),SUMIF('[1]TrialBalance (YTD)'!$G:$G,B1179,'[1]TrialBalance (YTD)'!$I:$I))</f>
        <v>#VALUE!</v>
      </c>
      <c r="G1179" s="5">
        <f>IFERROR(INDEX('[1]TrialBalance (YTD)'!$G:$S,MATCH([1]TBMapping!$C1181,'[1]TrialBalance (YTD)'!G:G,0),MATCH([1]TBMapping!H$3,'[1]TrialBalance (YTD)'!$G$7:$Z$7,0)),0)</f>
        <v>0</v>
      </c>
      <c r="H1179" s="5" t="e">
        <f>SUMIF('[1]TrialBalance (YTD)'!G:G,B1179,'[1]TrialBalance (YTD)'!H:H)</f>
        <v>#VALUE!</v>
      </c>
      <c r="I1179" s="5">
        <f>IFERROR(INDEX('[1]TrialBalance (YTD)'!$G:$S,MATCH([1]TBMapping!$C1181,'[1]TrialBalance (YTD)'!G:G,0),MATCH([1]TBMapping!J$3,'[1]TrialBalance (YTD)'!$G$7:$Z$7,0)),0)</f>
        <v>0</v>
      </c>
      <c r="K1179" s="5" t="e">
        <f>SUMIF('[1]TrialBalance (Quarter)'!$A:$A,B1179,'[1]TrialBalance (Quarter)'!$B:$B)</f>
        <v>#VALUE!</v>
      </c>
      <c r="L1179" s="5">
        <f>IFERROR(INDEX('[1]TrialBalance (Quarter)'!$A:$L,MATCH([1]TBMapping!$C1181,'[1]TrialBalance (Quarter)'!A:A,0),MATCH([1]TBMapping!M$3,'[1]TrialBalance (Quarter)'!$7:$7,0)),0)</f>
        <v>0</v>
      </c>
      <c r="M1179" s="5">
        <f>IFERROR(INDEX('[1]TrialBalance (Quarter)'!$A:$L,MATCH([1]TBMapping!$C1181,'[1]TrialBalance (Quarter)'!A:A,0),MATCH([1]TBMapping!N$3,'[1]TrialBalance (Quarter)'!$7:$7,0)),0)</f>
        <v>0</v>
      </c>
      <c r="N1179" s="5">
        <f>IFERROR(INDEX('[1]TrialBalance (Quarter)'!$A:$L,MATCH([1]TBMapping!$C1181,'[1]TrialBalance (Quarter)'!A:A,0),MATCH([1]TBMapping!O$3,'[1]TrialBalance (Quarter)'!$7:$7,0)),0)</f>
        <v>0</v>
      </c>
    </row>
    <row r="1180" spans="1:14">
      <c r="A1180" s="2">
        <v>31</v>
      </c>
      <c r="B1180" s="3">
        <v>712000</v>
      </c>
      <c r="C1180" s="1" t="s">
        <v>958</v>
      </c>
      <c r="D1180" s="1" t="s">
        <v>11</v>
      </c>
      <c r="F1180" s="5" t="e">
        <f>IF(DataExtraction="Manual",SUMIF('[1]TrialBalance (YTD)'!$C:$C,B1180,'[1]TrialBalance (YTD)'!$E:$E),SUMIF('[1]TrialBalance (YTD)'!$G:$G,B1180,'[1]TrialBalance (YTD)'!$I:$I))</f>
        <v>#VALUE!</v>
      </c>
      <c r="G1180" s="5">
        <f>IFERROR(INDEX('[1]TrialBalance (YTD)'!$G:$S,MATCH([1]TBMapping!$C1182,'[1]TrialBalance (YTD)'!G:G,0),MATCH([1]TBMapping!H$3,'[1]TrialBalance (YTD)'!$G$7:$Z$7,0)),0)</f>
        <v>0</v>
      </c>
      <c r="H1180" s="5" t="e">
        <f>SUMIF('[1]TrialBalance (YTD)'!G:G,B1180,'[1]TrialBalance (YTD)'!H:H)</f>
        <v>#VALUE!</v>
      </c>
      <c r="I1180" s="5">
        <f>IFERROR(INDEX('[1]TrialBalance (YTD)'!$G:$S,MATCH([1]TBMapping!$C1182,'[1]TrialBalance (YTD)'!G:G,0),MATCH([1]TBMapping!J$3,'[1]TrialBalance (YTD)'!$G$7:$Z$7,0)),0)</f>
        <v>0</v>
      </c>
      <c r="K1180" s="5" t="e">
        <f>SUMIF('[1]TrialBalance (Quarter)'!$A:$A,B1180,'[1]TrialBalance (Quarter)'!$B:$B)</f>
        <v>#VALUE!</v>
      </c>
      <c r="L1180" s="5">
        <f>IFERROR(INDEX('[1]TrialBalance (Quarter)'!$A:$L,MATCH([1]TBMapping!$C1182,'[1]TrialBalance (Quarter)'!A:A,0),MATCH([1]TBMapping!M$3,'[1]TrialBalance (Quarter)'!$7:$7,0)),0)</f>
        <v>0</v>
      </c>
      <c r="M1180" s="5">
        <f>IFERROR(INDEX('[1]TrialBalance (Quarter)'!$A:$L,MATCH([1]TBMapping!$C1182,'[1]TrialBalance (Quarter)'!A:A,0),MATCH([1]TBMapping!N$3,'[1]TrialBalance (Quarter)'!$7:$7,0)),0)</f>
        <v>0</v>
      </c>
      <c r="N1180" s="5">
        <f>IFERROR(INDEX('[1]TrialBalance (Quarter)'!$A:$L,MATCH([1]TBMapping!$C1182,'[1]TrialBalance (Quarter)'!A:A,0),MATCH([1]TBMapping!O$3,'[1]TrialBalance (Quarter)'!$7:$7,0)),0)</f>
        <v>0</v>
      </c>
    </row>
    <row r="1181" spans="1:14">
      <c r="A1181" s="2">
        <v>31</v>
      </c>
      <c r="B1181" s="3">
        <v>712010</v>
      </c>
      <c r="C1181" s="1" t="s">
        <v>949</v>
      </c>
      <c r="D1181" s="1" t="s">
        <v>11</v>
      </c>
      <c r="F1181" s="5" t="e">
        <f>IF(DataExtraction="Manual",SUMIF('[1]TrialBalance (YTD)'!$C:$C,B1181,'[1]TrialBalance (YTD)'!$E:$E),SUMIF('[1]TrialBalance (YTD)'!$G:$G,B1181,'[1]TrialBalance (YTD)'!$I:$I))</f>
        <v>#VALUE!</v>
      </c>
      <c r="G1181" s="5">
        <f>IFERROR(INDEX('[1]TrialBalance (YTD)'!$G:$S,MATCH([1]TBMapping!$C1183,'[1]TrialBalance (YTD)'!G:G,0),MATCH([1]TBMapping!H$3,'[1]TrialBalance (YTD)'!$G$7:$Z$7,0)),0)</f>
        <v>0</v>
      </c>
      <c r="H1181" s="5" t="e">
        <f>SUMIF('[1]TrialBalance (YTD)'!G:G,B1181,'[1]TrialBalance (YTD)'!H:H)</f>
        <v>#VALUE!</v>
      </c>
      <c r="I1181" s="5">
        <f>IFERROR(INDEX('[1]TrialBalance (YTD)'!$G:$S,MATCH([1]TBMapping!$C1183,'[1]TrialBalance (YTD)'!G:G,0),MATCH([1]TBMapping!J$3,'[1]TrialBalance (YTD)'!$G$7:$Z$7,0)),0)</f>
        <v>0</v>
      </c>
      <c r="K1181" s="5" t="e">
        <f>SUMIF('[1]TrialBalance (Quarter)'!$A:$A,B1181,'[1]TrialBalance (Quarter)'!$B:$B)</f>
        <v>#VALUE!</v>
      </c>
      <c r="L1181" s="5">
        <f>IFERROR(INDEX('[1]TrialBalance (Quarter)'!$A:$L,MATCH([1]TBMapping!$C1183,'[1]TrialBalance (Quarter)'!A:A,0),MATCH([1]TBMapping!M$3,'[1]TrialBalance (Quarter)'!$7:$7,0)),0)</f>
        <v>0</v>
      </c>
      <c r="M1181" s="5">
        <f>IFERROR(INDEX('[1]TrialBalance (Quarter)'!$A:$L,MATCH([1]TBMapping!$C1183,'[1]TrialBalance (Quarter)'!A:A,0),MATCH([1]TBMapping!N$3,'[1]TrialBalance (Quarter)'!$7:$7,0)),0)</f>
        <v>0</v>
      </c>
      <c r="N1181" s="5">
        <f>IFERROR(INDEX('[1]TrialBalance (Quarter)'!$A:$L,MATCH([1]TBMapping!$C1183,'[1]TrialBalance (Quarter)'!A:A,0),MATCH([1]TBMapping!O$3,'[1]TrialBalance (Quarter)'!$7:$7,0)),0)</f>
        <v>0</v>
      </c>
    </row>
    <row r="1182" spans="1:14">
      <c r="A1182" s="2">
        <v>31</v>
      </c>
      <c r="B1182" s="3">
        <v>712020</v>
      </c>
      <c r="C1182" s="1" t="s">
        <v>959</v>
      </c>
      <c r="D1182" s="1" t="s">
        <v>11</v>
      </c>
      <c r="F1182" s="5" t="e">
        <f>IF(DataExtraction="Manual",SUMIF('[1]TrialBalance (YTD)'!$C:$C,B1182,'[1]TrialBalance (YTD)'!$E:$E),SUMIF('[1]TrialBalance (YTD)'!$G:$G,B1182,'[1]TrialBalance (YTD)'!$I:$I))</f>
        <v>#VALUE!</v>
      </c>
      <c r="G1182" s="5">
        <f>IFERROR(INDEX('[1]TrialBalance (YTD)'!$G:$S,MATCH([1]TBMapping!$C1184,'[1]TrialBalance (YTD)'!G:G,0),MATCH([1]TBMapping!H$3,'[1]TrialBalance (YTD)'!$G$7:$Z$7,0)),0)</f>
        <v>0</v>
      </c>
      <c r="H1182" s="5" t="e">
        <f>SUMIF('[1]TrialBalance (YTD)'!G:G,B1182,'[1]TrialBalance (YTD)'!H:H)</f>
        <v>#VALUE!</v>
      </c>
      <c r="I1182" s="5">
        <f>IFERROR(INDEX('[1]TrialBalance (YTD)'!$G:$S,MATCH([1]TBMapping!$C1184,'[1]TrialBalance (YTD)'!G:G,0),MATCH([1]TBMapping!J$3,'[1]TrialBalance (YTD)'!$G$7:$Z$7,0)),0)</f>
        <v>0</v>
      </c>
      <c r="K1182" s="5" t="e">
        <f>SUMIF('[1]TrialBalance (Quarter)'!$A:$A,B1182,'[1]TrialBalance (Quarter)'!$B:$B)</f>
        <v>#VALUE!</v>
      </c>
      <c r="L1182" s="5">
        <f>IFERROR(INDEX('[1]TrialBalance (Quarter)'!$A:$L,MATCH([1]TBMapping!$C1184,'[1]TrialBalance (Quarter)'!A:A,0),MATCH([1]TBMapping!M$3,'[1]TrialBalance (Quarter)'!$7:$7,0)),0)</f>
        <v>0</v>
      </c>
      <c r="M1182" s="5">
        <f>IFERROR(INDEX('[1]TrialBalance (Quarter)'!$A:$L,MATCH([1]TBMapping!$C1184,'[1]TrialBalance (Quarter)'!A:A,0),MATCH([1]TBMapping!N$3,'[1]TrialBalance (Quarter)'!$7:$7,0)),0)</f>
        <v>0</v>
      </c>
      <c r="N1182" s="5">
        <f>IFERROR(INDEX('[1]TrialBalance (Quarter)'!$A:$L,MATCH([1]TBMapping!$C1184,'[1]TrialBalance (Quarter)'!A:A,0),MATCH([1]TBMapping!O$3,'[1]TrialBalance (Quarter)'!$7:$7,0)),0)</f>
        <v>0</v>
      </c>
    </row>
    <row r="1183" spans="1:14">
      <c r="A1183" s="2">
        <v>31</v>
      </c>
      <c r="B1183" s="3">
        <v>713000</v>
      </c>
      <c r="C1183" s="1" t="s">
        <v>960</v>
      </c>
      <c r="D1183" s="1" t="s">
        <v>11</v>
      </c>
      <c r="F1183" s="5" t="e">
        <f>IF(DataExtraction="Manual",SUMIF('[1]TrialBalance (YTD)'!$C:$C,B1183,'[1]TrialBalance (YTD)'!$E:$E),SUMIF('[1]TrialBalance (YTD)'!$G:$G,B1183,'[1]TrialBalance (YTD)'!$I:$I))</f>
        <v>#VALUE!</v>
      </c>
      <c r="G1183" s="5">
        <f>IFERROR(INDEX('[1]TrialBalance (YTD)'!$G:$S,MATCH([1]TBMapping!$C1185,'[1]TrialBalance (YTD)'!G:G,0),MATCH([1]TBMapping!H$3,'[1]TrialBalance (YTD)'!$G$7:$Z$7,0)),0)</f>
        <v>0</v>
      </c>
      <c r="H1183" s="5" t="e">
        <f>SUMIF('[1]TrialBalance (YTD)'!G:G,B1183,'[1]TrialBalance (YTD)'!H:H)</f>
        <v>#VALUE!</v>
      </c>
      <c r="I1183" s="5">
        <f>IFERROR(INDEX('[1]TrialBalance (YTD)'!$G:$S,MATCH([1]TBMapping!$C1185,'[1]TrialBalance (YTD)'!G:G,0),MATCH([1]TBMapping!J$3,'[1]TrialBalance (YTD)'!$G$7:$Z$7,0)),0)</f>
        <v>0</v>
      </c>
      <c r="K1183" s="5" t="e">
        <f>SUMIF('[1]TrialBalance (Quarter)'!$A:$A,B1183,'[1]TrialBalance (Quarter)'!$B:$B)</f>
        <v>#VALUE!</v>
      </c>
      <c r="L1183" s="5">
        <f>IFERROR(INDEX('[1]TrialBalance (Quarter)'!$A:$L,MATCH([1]TBMapping!$C1185,'[1]TrialBalance (Quarter)'!A:A,0),MATCH([1]TBMapping!M$3,'[1]TrialBalance (Quarter)'!$7:$7,0)),0)</f>
        <v>0</v>
      </c>
      <c r="M1183" s="5">
        <f>IFERROR(INDEX('[1]TrialBalance (Quarter)'!$A:$L,MATCH([1]TBMapping!$C1185,'[1]TrialBalance (Quarter)'!A:A,0),MATCH([1]TBMapping!N$3,'[1]TrialBalance (Quarter)'!$7:$7,0)),0)</f>
        <v>0</v>
      </c>
      <c r="N1183" s="5">
        <f>IFERROR(INDEX('[1]TrialBalance (Quarter)'!$A:$L,MATCH([1]TBMapping!$C1185,'[1]TrialBalance (Quarter)'!A:A,0),MATCH([1]TBMapping!O$3,'[1]TrialBalance (Quarter)'!$7:$7,0)),0)</f>
        <v>0</v>
      </c>
    </row>
    <row r="1184" spans="1:14">
      <c r="A1184" s="2">
        <v>31</v>
      </c>
      <c r="B1184" s="3">
        <v>714020</v>
      </c>
      <c r="C1184" s="1" t="s">
        <v>961</v>
      </c>
      <c r="D1184" s="1" t="s">
        <v>16</v>
      </c>
      <c r="F1184" s="5" t="e">
        <f>IF(DataExtraction="Manual",SUMIF('[1]TrialBalance (YTD)'!$C:$C,B1184,'[1]TrialBalance (YTD)'!$E:$E),SUMIF('[1]TrialBalance (YTD)'!$G:$G,B1184,'[1]TrialBalance (YTD)'!$I:$I))</f>
        <v>#VALUE!</v>
      </c>
      <c r="G1184" s="5">
        <f>IFERROR(INDEX('[1]TrialBalance (YTD)'!$G:$S,MATCH([1]TBMapping!$C1186,'[1]TrialBalance (YTD)'!G:G,0),MATCH([1]TBMapping!H$3,'[1]TrialBalance (YTD)'!$G$7:$Z$7,0)),0)</f>
        <v>0</v>
      </c>
      <c r="H1184" s="5" t="e">
        <f>SUMIF('[1]TrialBalance (YTD)'!G:G,B1184,'[1]TrialBalance (YTD)'!H:H)</f>
        <v>#VALUE!</v>
      </c>
      <c r="I1184" s="5">
        <f>IFERROR(INDEX('[1]TrialBalance (YTD)'!$G:$S,MATCH([1]TBMapping!$C1186,'[1]TrialBalance (YTD)'!G:G,0),MATCH([1]TBMapping!J$3,'[1]TrialBalance (YTD)'!$G$7:$Z$7,0)),0)</f>
        <v>0</v>
      </c>
      <c r="K1184" s="5" t="e">
        <f>SUMIF('[1]TrialBalance (Quarter)'!$A:$A,B1184,'[1]TrialBalance (Quarter)'!$B:$B)</f>
        <v>#VALUE!</v>
      </c>
      <c r="L1184" s="5">
        <f>IFERROR(INDEX('[1]TrialBalance (Quarter)'!$A:$L,MATCH([1]TBMapping!$C1186,'[1]TrialBalance (Quarter)'!A:A,0),MATCH([1]TBMapping!M$3,'[1]TrialBalance (Quarter)'!$7:$7,0)),0)</f>
        <v>0</v>
      </c>
      <c r="M1184" s="5">
        <f>IFERROR(INDEX('[1]TrialBalance (Quarter)'!$A:$L,MATCH([1]TBMapping!$C1186,'[1]TrialBalance (Quarter)'!A:A,0),MATCH([1]TBMapping!N$3,'[1]TrialBalance (Quarter)'!$7:$7,0)),0)</f>
        <v>0</v>
      </c>
      <c r="N1184" s="5">
        <f>IFERROR(INDEX('[1]TrialBalance (Quarter)'!$A:$L,MATCH([1]TBMapping!$C1186,'[1]TrialBalance (Quarter)'!A:A,0),MATCH([1]TBMapping!O$3,'[1]TrialBalance (Quarter)'!$7:$7,0)),0)</f>
        <v>0</v>
      </c>
    </row>
    <row r="1185" spans="1:14">
      <c r="A1185" s="2">
        <v>31</v>
      </c>
      <c r="B1185" s="3">
        <v>714800</v>
      </c>
      <c r="C1185" s="1" t="s">
        <v>962</v>
      </c>
      <c r="D1185" s="1" t="s">
        <v>5</v>
      </c>
      <c r="F1185" s="5" t="e">
        <f>IF(DataExtraction="Manual",SUMIF('[1]TrialBalance (YTD)'!$C:$C,B1185,'[1]TrialBalance (YTD)'!$E:$E),SUMIF('[1]TrialBalance (YTD)'!$G:$G,B1185,'[1]TrialBalance (YTD)'!$I:$I))</f>
        <v>#VALUE!</v>
      </c>
      <c r="G1185" s="5">
        <f>IFERROR(INDEX('[1]TrialBalance (YTD)'!$G:$S,MATCH([1]TBMapping!$C1187,'[1]TrialBalance (YTD)'!G:G,0),MATCH([1]TBMapping!H$3,'[1]TrialBalance (YTD)'!$G$7:$Z$7,0)),0)</f>
        <v>0</v>
      </c>
      <c r="H1185" s="5" t="e">
        <f>SUMIF('[1]TrialBalance (YTD)'!G:G,B1185,'[1]TrialBalance (YTD)'!H:H)</f>
        <v>#VALUE!</v>
      </c>
      <c r="I1185" s="5">
        <f>IFERROR(INDEX('[1]TrialBalance (YTD)'!$G:$S,MATCH([1]TBMapping!$C1187,'[1]TrialBalance (YTD)'!G:G,0),MATCH([1]TBMapping!J$3,'[1]TrialBalance (YTD)'!$G$7:$Z$7,0)),0)</f>
        <v>0</v>
      </c>
      <c r="K1185" s="5" t="e">
        <f>SUMIF('[1]TrialBalance (Quarter)'!$A:$A,B1185,'[1]TrialBalance (Quarter)'!$B:$B)</f>
        <v>#VALUE!</v>
      </c>
      <c r="L1185" s="5">
        <f>IFERROR(INDEX('[1]TrialBalance (Quarter)'!$A:$L,MATCH([1]TBMapping!$C1187,'[1]TrialBalance (Quarter)'!A:A,0),MATCH([1]TBMapping!M$3,'[1]TrialBalance (Quarter)'!$7:$7,0)),0)</f>
        <v>0</v>
      </c>
      <c r="M1185" s="5">
        <f>IFERROR(INDEX('[1]TrialBalance (Quarter)'!$A:$L,MATCH([1]TBMapping!$C1187,'[1]TrialBalance (Quarter)'!A:A,0),MATCH([1]TBMapping!N$3,'[1]TrialBalance (Quarter)'!$7:$7,0)),0)</f>
        <v>0</v>
      </c>
      <c r="N1185" s="5">
        <f>IFERROR(INDEX('[1]TrialBalance (Quarter)'!$A:$L,MATCH([1]TBMapping!$C1187,'[1]TrialBalance (Quarter)'!A:A,0),MATCH([1]TBMapping!O$3,'[1]TrialBalance (Quarter)'!$7:$7,0)),0)</f>
        <v>0</v>
      </c>
    </row>
    <row r="1186" spans="1:14">
      <c r="B1186" s="3">
        <v>719999</v>
      </c>
      <c r="C1186" s="1" t="s">
        <v>963</v>
      </c>
      <c r="D1186" s="1" t="s">
        <v>11</v>
      </c>
      <c r="F1186" s="5" t="e">
        <f>IF(DataExtraction="Manual",SUMIF('[1]TrialBalance (YTD)'!$C:$C,B1186,'[1]TrialBalance (YTD)'!$E:$E),SUMIF('[1]TrialBalance (YTD)'!$G:$G,B1186,'[1]TrialBalance (YTD)'!$I:$I))</f>
        <v>#VALUE!</v>
      </c>
      <c r="G1186" s="5">
        <f>IFERROR(INDEX('[1]TrialBalance (YTD)'!$G:$S,MATCH([1]TBMapping!$C1188,'[1]TrialBalance (YTD)'!G:G,0),MATCH([1]TBMapping!H$3,'[1]TrialBalance (YTD)'!$G$7:$Z$7,0)),0)</f>
        <v>0</v>
      </c>
      <c r="H1186" s="5" t="e">
        <f>SUMIF('[1]TrialBalance (YTD)'!G:G,B1186,'[1]TrialBalance (YTD)'!H:H)</f>
        <v>#VALUE!</v>
      </c>
      <c r="I1186" s="5">
        <f>IFERROR(INDEX('[1]TrialBalance (YTD)'!$G:$S,MATCH([1]TBMapping!$C1188,'[1]TrialBalance (YTD)'!G:G,0),MATCH([1]TBMapping!J$3,'[1]TrialBalance (YTD)'!$G$7:$Z$7,0)),0)</f>
        <v>-6196.05</v>
      </c>
      <c r="K1186" s="5" t="e">
        <f>SUMIF('[1]TrialBalance (Quarter)'!$A:$A,B1186,'[1]TrialBalance (Quarter)'!$B:$B)</f>
        <v>#VALUE!</v>
      </c>
      <c r="L1186" s="5">
        <f>IFERROR(INDEX('[1]TrialBalance (Quarter)'!$A:$L,MATCH([1]TBMapping!$C1188,'[1]TrialBalance (Quarter)'!A:A,0),MATCH([1]TBMapping!M$3,'[1]TrialBalance (Quarter)'!$7:$7,0)),0)</f>
        <v>0</v>
      </c>
      <c r="M1186" s="5">
        <f>IFERROR(INDEX('[1]TrialBalance (Quarter)'!$A:$L,MATCH([1]TBMapping!$C1188,'[1]TrialBalance (Quarter)'!A:A,0),MATCH([1]TBMapping!N$3,'[1]TrialBalance (Quarter)'!$7:$7,0)),0)</f>
        <v>1883.05</v>
      </c>
      <c r="N1186" s="5">
        <f>IFERROR(INDEX('[1]TrialBalance (Quarter)'!$A:$L,MATCH([1]TBMapping!$C1188,'[1]TrialBalance (Quarter)'!A:A,0),MATCH([1]TBMapping!O$3,'[1]TrialBalance (Quarter)'!$7:$7,0)),0)</f>
        <v>-8133.05</v>
      </c>
    </row>
    <row r="1187" spans="1:14">
      <c r="B1187" s="3">
        <v>720000</v>
      </c>
      <c r="C1187" s="1" t="s">
        <v>964</v>
      </c>
      <c r="D1187" s="1" t="s">
        <v>11</v>
      </c>
      <c r="F1187" s="5" t="e">
        <f>IF(DataExtraction="Manual",SUMIF('[1]TrialBalance (YTD)'!$C:$C,B1187,'[1]TrialBalance (YTD)'!$E:$E),SUMIF('[1]TrialBalance (YTD)'!$G:$G,B1187,'[1]TrialBalance (YTD)'!$I:$I))</f>
        <v>#VALUE!</v>
      </c>
      <c r="G1187" s="5">
        <f>IFERROR(INDEX('[1]TrialBalance (YTD)'!$G:$S,MATCH([1]TBMapping!$C1189,'[1]TrialBalance (YTD)'!G:G,0),MATCH([1]TBMapping!H$3,'[1]TrialBalance (YTD)'!$G$7:$Z$7,0)),0)</f>
        <v>0</v>
      </c>
      <c r="H1187" s="5" t="e">
        <f>SUMIF('[1]TrialBalance (YTD)'!G:G,B1187,'[1]TrialBalance (YTD)'!H:H)</f>
        <v>#VALUE!</v>
      </c>
      <c r="I1187" s="5">
        <f>IFERROR(INDEX('[1]TrialBalance (YTD)'!$G:$S,MATCH([1]TBMapping!$C1189,'[1]TrialBalance (YTD)'!G:G,0),MATCH([1]TBMapping!J$3,'[1]TrialBalance (YTD)'!$G$7:$Z$7,0)),0)</f>
        <v>0</v>
      </c>
      <c r="K1187" s="5" t="e">
        <f>SUMIF('[1]TrialBalance (Quarter)'!$A:$A,B1187,'[1]TrialBalance (Quarter)'!$B:$B)</f>
        <v>#VALUE!</v>
      </c>
      <c r="L1187" s="5">
        <f>IFERROR(INDEX('[1]TrialBalance (Quarter)'!$A:$L,MATCH([1]TBMapping!$C1189,'[1]TrialBalance (Quarter)'!A:A,0),MATCH([1]TBMapping!M$3,'[1]TrialBalance (Quarter)'!$7:$7,0)),0)</f>
        <v>0</v>
      </c>
      <c r="M1187" s="5">
        <f>IFERROR(INDEX('[1]TrialBalance (Quarter)'!$A:$L,MATCH([1]TBMapping!$C1189,'[1]TrialBalance (Quarter)'!A:A,0),MATCH([1]TBMapping!N$3,'[1]TrialBalance (Quarter)'!$7:$7,0)),0)</f>
        <v>0</v>
      </c>
      <c r="N1187" s="5">
        <f>IFERROR(INDEX('[1]TrialBalance (Quarter)'!$A:$L,MATCH([1]TBMapping!$C1189,'[1]TrialBalance (Quarter)'!A:A,0),MATCH([1]TBMapping!O$3,'[1]TrialBalance (Quarter)'!$7:$7,0)),0)</f>
        <v>0</v>
      </c>
    </row>
    <row r="1188" spans="1:14">
      <c r="A1188" s="2">
        <v>33</v>
      </c>
      <c r="B1188" s="3">
        <v>721000</v>
      </c>
      <c r="C1188" s="1" t="s">
        <v>965</v>
      </c>
      <c r="D1188" s="1" t="s">
        <v>11</v>
      </c>
      <c r="F1188" s="5" t="e">
        <f>IF(DataExtraction="Manual",SUMIF('[1]TrialBalance (YTD)'!$C:$C,B1188,'[1]TrialBalance (YTD)'!$E:$E),SUMIF('[1]TrialBalance (YTD)'!$G:$G,B1188,'[1]TrialBalance (YTD)'!$I:$I))</f>
        <v>#VALUE!</v>
      </c>
      <c r="G1188" s="5">
        <f>IFERROR(INDEX('[1]TrialBalance (YTD)'!$G:$S,MATCH([1]TBMapping!$C1190,'[1]TrialBalance (YTD)'!G:G,0),MATCH([1]TBMapping!H$3,'[1]TrialBalance (YTD)'!$G$7:$Z$7,0)),0)</f>
        <v>0</v>
      </c>
      <c r="H1188" s="5" t="e">
        <f>SUMIF('[1]TrialBalance (YTD)'!G:G,B1188,'[1]TrialBalance (YTD)'!H:H)</f>
        <v>#VALUE!</v>
      </c>
      <c r="I1188" s="5">
        <f>IFERROR(INDEX('[1]TrialBalance (YTD)'!$G:$S,MATCH([1]TBMapping!$C1190,'[1]TrialBalance (YTD)'!G:G,0),MATCH([1]TBMapping!J$3,'[1]TrialBalance (YTD)'!$G$7:$Z$7,0)),0)</f>
        <v>0</v>
      </c>
      <c r="K1188" s="5" t="e">
        <f>SUMIF('[1]TrialBalance (Quarter)'!$A:$A,B1188,'[1]TrialBalance (Quarter)'!$B:$B)</f>
        <v>#VALUE!</v>
      </c>
      <c r="L1188" s="5">
        <f>IFERROR(INDEX('[1]TrialBalance (Quarter)'!$A:$L,MATCH([1]TBMapping!$C1190,'[1]TrialBalance (Quarter)'!A:A,0),MATCH([1]TBMapping!M$3,'[1]TrialBalance (Quarter)'!$7:$7,0)),0)</f>
        <v>0</v>
      </c>
      <c r="M1188" s="5">
        <f>IFERROR(INDEX('[1]TrialBalance (Quarter)'!$A:$L,MATCH([1]TBMapping!$C1190,'[1]TrialBalance (Quarter)'!A:A,0),MATCH([1]TBMapping!N$3,'[1]TrialBalance (Quarter)'!$7:$7,0)),0)</f>
        <v>0</v>
      </c>
      <c r="N1188" s="5">
        <f>IFERROR(INDEX('[1]TrialBalance (Quarter)'!$A:$L,MATCH([1]TBMapping!$C1190,'[1]TrialBalance (Quarter)'!A:A,0),MATCH([1]TBMapping!O$3,'[1]TrialBalance (Quarter)'!$7:$7,0)),0)</f>
        <v>0</v>
      </c>
    </row>
    <row r="1189" spans="1:14">
      <c r="B1189" s="3">
        <v>721010</v>
      </c>
      <c r="C1189" s="1" t="s">
        <v>966</v>
      </c>
      <c r="D1189" s="1" t="s">
        <v>11</v>
      </c>
      <c r="F1189" s="5" t="e">
        <f>IF(DataExtraction="Manual",SUMIF('[1]TrialBalance (YTD)'!$C:$C,B1189,'[1]TrialBalance (YTD)'!$E:$E),SUMIF('[1]TrialBalance (YTD)'!$G:$G,B1189,'[1]TrialBalance (YTD)'!$I:$I))</f>
        <v>#VALUE!</v>
      </c>
      <c r="G1189" s="5">
        <f>IFERROR(INDEX('[1]TrialBalance (YTD)'!$G:$S,MATCH([1]TBMapping!$C1191,'[1]TrialBalance (YTD)'!G:G,0),MATCH([1]TBMapping!H$3,'[1]TrialBalance (YTD)'!$G$7:$Z$7,0)),0)</f>
        <v>0</v>
      </c>
      <c r="H1189" s="5" t="e">
        <f>SUMIF('[1]TrialBalance (YTD)'!G:G,B1189,'[1]TrialBalance (YTD)'!H:H)</f>
        <v>#VALUE!</v>
      </c>
      <c r="I1189" s="5">
        <f>IFERROR(INDEX('[1]TrialBalance (YTD)'!$G:$S,MATCH([1]TBMapping!$C1191,'[1]TrialBalance (YTD)'!G:G,0),MATCH([1]TBMapping!J$3,'[1]TrialBalance (YTD)'!$G$7:$Z$7,0)),0)</f>
        <v>0</v>
      </c>
      <c r="K1189" s="5" t="e">
        <f>SUMIF('[1]TrialBalance (Quarter)'!$A:$A,B1189,'[1]TrialBalance (Quarter)'!$B:$B)</f>
        <v>#VALUE!</v>
      </c>
      <c r="L1189" s="5">
        <f>IFERROR(INDEX('[1]TrialBalance (Quarter)'!$A:$L,MATCH([1]TBMapping!$C1191,'[1]TrialBalance (Quarter)'!A:A,0),MATCH([1]TBMapping!M$3,'[1]TrialBalance (Quarter)'!$7:$7,0)),0)</f>
        <v>0</v>
      </c>
      <c r="M1189" s="5">
        <f>IFERROR(INDEX('[1]TrialBalance (Quarter)'!$A:$L,MATCH([1]TBMapping!$C1191,'[1]TrialBalance (Quarter)'!A:A,0),MATCH([1]TBMapping!N$3,'[1]TrialBalance (Quarter)'!$7:$7,0)),0)</f>
        <v>0</v>
      </c>
      <c r="N1189" s="5">
        <f>IFERROR(INDEX('[1]TrialBalance (Quarter)'!$A:$L,MATCH([1]TBMapping!$C1191,'[1]TrialBalance (Quarter)'!A:A,0),MATCH([1]TBMapping!O$3,'[1]TrialBalance (Quarter)'!$7:$7,0)),0)</f>
        <v>0</v>
      </c>
    </row>
    <row r="1190" spans="1:14">
      <c r="B1190" s="3">
        <v>721040</v>
      </c>
      <c r="C1190" s="1" t="s">
        <v>967</v>
      </c>
      <c r="D1190" s="1" t="s">
        <v>11</v>
      </c>
      <c r="F1190" s="5" t="e">
        <f>IF(DataExtraction="Manual",SUMIF('[1]TrialBalance (YTD)'!$C:$C,B1190,'[1]TrialBalance (YTD)'!$E:$E),SUMIF('[1]TrialBalance (YTD)'!$G:$G,B1190,'[1]TrialBalance (YTD)'!$I:$I))</f>
        <v>#VALUE!</v>
      </c>
      <c r="G1190" s="5">
        <f>IFERROR(INDEX('[1]TrialBalance (YTD)'!$G:$S,MATCH([1]TBMapping!$C1192,'[1]TrialBalance (YTD)'!G:G,0),MATCH([1]TBMapping!H$3,'[1]TrialBalance (YTD)'!$G$7:$Z$7,0)),0)</f>
        <v>0</v>
      </c>
      <c r="H1190" s="5" t="e">
        <f>SUMIF('[1]TrialBalance (YTD)'!G:G,B1190,'[1]TrialBalance (YTD)'!H:H)</f>
        <v>#VALUE!</v>
      </c>
      <c r="I1190" s="5">
        <f>IFERROR(INDEX('[1]TrialBalance (YTD)'!$G:$S,MATCH([1]TBMapping!$C1192,'[1]TrialBalance (YTD)'!G:G,0),MATCH([1]TBMapping!J$3,'[1]TrialBalance (YTD)'!$G$7:$Z$7,0)),0)</f>
        <v>0</v>
      </c>
      <c r="K1190" s="5" t="e">
        <f>SUMIF('[1]TrialBalance (Quarter)'!$A:$A,B1190,'[1]TrialBalance (Quarter)'!$B:$B)</f>
        <v>#VALUE!</v>
      </c>
      <c r="L1190" s="5">
        <f>IFERROR(INDEX('[1]TrialBalance (Quarter)'!$A:$L,MATCH([1]TBMapping!$C1192,'[1]TrialBalance (Quarter)'!A:A,0),MATCH([1]TBMapping!M$3,'[1]TrialBalance (Quarter)'!$7:$7,0)),0)</f>
        <v>0</v>
      </c>
      <c r="M1190" s="5">
        <f>IFERROR(INDEX('[1]TrialBalance (Quarter)'!$A:$L,MATCH([1]TBMapping!$C1192,'[1]TrialBalance (Quarter)'!A:A,0),MATCH([1]TBMapping!N$3,'[1]TrialBalance (Quarter)'!$7:$7,0)),0)</f>
        <v>0</v>
      </c>
      <c r="N1190" s="5">
        <f>IFERROR(INDEX('[1]TrialBalance (Quarter)'!$A:$L,MATCH([1]TBMapping!$C1192,'[1]TrialBalance (Quarter)'!A:A,0),MATCH([1]TBMapping!O$3,'[1]TrialBalance (Quarter)'!$7:$7,0)),0)</f>
        <v>0</v>
      </c>
    </row>
    <row r="1191" spans="1:14">
      <c r="A1191" s="2">
        <v>33</v>
      </c>
      <c r="B1191" s="3">
        <v>721050</v>
      </c>
      <c r="C1191" s="1" t="s">
        <v>968</v>
      </c>
      <c r="D1191" s="1" t="s">
        <v>11</v>
      </c>
      <c r="F1191" s="5" t="e">
        <f>IF(DataExtraction="Manual",SUMIF('[1]TrialBalance (YTD)'!$C:$C,B1191,'[1]TrialBalance (YTD)'!$E:$E),SUMIF('[1]TrialBalance (YTD)'!$G:$G,B1191,'[1]TrialBalance (YTD)'!$I:$I))</f>
        <v>#VALUE!</v>
      </c>
      <c r="G1191" s="5">
        <f>IFERROR(INDEX('[1]TrialBalance (YTD)'!$G:$S,MATCH([1]TBMapping!$C1193,'[1]TrialBalance (YTD)'!G:G,0),MATCH([1]TBMapping!H$3,'[1]TrialBalance (YTD)'!$G$7:$Z$7,0)),0)</f>
        <v>0</v>
      </c>
      <c r="H1191" s="5" t="e">
        <f>SUMIF('[1]TrialBalance (YTD)'!G:G,B1191,'[1]TrialBalance (YTD)'!H:H)</f>
        <v>#VALUE!</v>
      </c>
      <c r="I1191" s="5">
        <f>IFERROR(INDEX('[1]TrialBalance (YTD)'!$G:$S,MATCH([1]TBMapping!$C1193,'[1]TrialBalance (YTD)'!G:G,0),MATCH([1]TBMapping!J$3,'[1]TrialBalance (YTD)'!$G$7:$Z$7,0)),0)</f>
        <v>0</v>
      </c>
      <c r="K1191" s="5" t="e">
        <f>SUMIF('[1]TrialBalance (Quarter)'!$A:$A,B1191,'[1]TrialBalance (Quarter)'!$B:$B)</f>
        <v>#VALUE!</v>
      </c>
      <c r="L1191" s="5">
        <f>IFERROR(INDEX('[1]TrialBalance (Quarter)'!$A:$L,MATCH([1]TBMapping!$C1193,'[1]TrialBalance (Quarter)'!A:A,0),MATCH([1]TBMapping!M$3,'[1]TrialBalance (Quarter)'!$7:$7,0)),0)</f>
        <v>0</v>
      </c>
      <c r="M1191" s="5">
        <f>IFERROR(INDEX('[1]TrialBalance (Quarter)'!$A:$L,MATCH([1]TBMapping!$C1193,'[1]TrialBalance (Quarter)'!A:A,0),MATCH([1]TBMapping!N$3,'[1]TrialBalance (Quarter)'!$7:$7,0)),0)</f>
        <v>0</v>
      </c>
      <c r="N1191" s="5">
        <f>IFERROR(INDEX('[1]TrialBalance (Quarter)'!$A:$L,MATCH([1]TBMapping!$C1193,'[1]TrialBalance (Quarter)'!A:A,0),MATCH([1]TBMapping!O$3,'[1]TrialBalance (Quarter)'!$7:$7,0)),0)</f>
        <v>388263.28</v>
      </c>
    </row>
    <row r="1192" spans="1:14">
      <c r="A1192" s="2">
        <v>33</v>
      </c>
      <c r="B1192" s="3">
        <v>721100</v>
      </c>
      <c r="C1192" s="1" t="s">
        <v>969</v>
      </c>
      <c r="D1192" s="1" t="s">
        <v>11</v>
      </c>
      <c r="F1192" s="5" t="e">
        <f>IF(DataExtraction="Manual",SUMIF('[1]TrialBalance (YTD)'!$C:$C,B1192,'[1]TrialBalance (YTD)'!$E:$E),SUMIF('[1]TrialBalance (YTD)'!$G:$G,B1192,'[1]TrialBalance (YTD)'!$I:$I))</f>
        <v>#VALUE!</v>
      </c>
      <c r="G1192" s="5">
        <f>IFERROR(INDEX('[1]TrialBalance (YTD)'!$G:$S,MATCH([1]TBMapping!$C1194,'[1]TrialBalance (YTD)'!G:G,0),MATCH([1]TBMapping!H$3,'[1]TrialBalance (YTD)'!$G$7:$Z$7,0)),0)</f>
        <v>0</v>
      </c>
      <c r="H1192" s="5" t="e">
        <f>SUMIF('[1]TrialBalance (YTD)'!G:G,B1192,'[1]TrialBalance (YTD)'!H:H)</f>
        <v>#VALUE!</v>
      </c>
      <c r="I1192" s="5">
        <f>IFERROR(INDEX('[1]TrialBalance (YTD)'!$G:$S,MATCH([1]TBMapping!$C1194,'[1]TrialBalance (YTD)'!G:G,0),MATCH([1]TBMapping!J$3,'[1]TrialBalance (YTD)'!$G$7:$Z$7,0)),0)</f>
        <v>0</v>
      </c>
      <c r="K1192" s="5" t="e">
        <f>SUMIF('[1]TrialBalance (Quarter)'!$A:$A,B1192,'[1]TrialBalance (Quarter)'!$B:$B)</f>
        <v>#VALUE!</v>
      </c>
      <c r="L1192" s="5">
        <f>IFERROR(INDEX('[1]TrialBalance (Quarter)'!$A:$L,MATCH([1]TBMapping!$C1194,'[1]TrialBalance (Quarter)'!A:A,0),MATCH([1]TBMapping!M$3,'[1]TrialBalance (Quarter)'!$7:$7,0)),0)</f>
        <v>0</v>
      </c>
      <c r="M1192" s="5">
        <f>IFERROR(INDEX('[1]TrialBalance (Quarter)'!$A:$L,MATCH([1]TBMapping!$C1194,'[1]TrialBalance (Quarter)'!A:A,0),MATCH([1]TBMapping!N$3,'[1]TrialBalance (Quarter)'!$7:$7,0)),0)</f>
        <v>0</v>
      </c>
      <c r="N1192" s="5">
        <f>IFERROR(INDEX('[1]TrialBalance (Quarter)'!$A:$L,MATCH([1]TBMapping!$C1194,'[1]TrialBalance (Quarter)'!A:A,0),MATCH([1]TBMapping!O$3,'[1]TrialBalance (Quarter)'!$7:$7,0)),0)</f>
        <v>0</v>
      </c>
    </row>
    <row r="1193" spans="1:14">
      <c r="A1193" s="2">
        <v>33</v>
      </c>
      <c r="B1193" s="3">
        <v>722000</v>
      </c>
      <c r="C1193" s="1" t="s">
        <v>970</v>
      </c>
      <c r="D1193" s="1" t="s">
        <v>11</v>
      </c>
      <c r="F1193" s="5" t="e">
        <f>IF(DataExtraction="Manual",SUMIF('[1]TrialBalance (YTD)'!$C:$C,B1193,'[1]TrialBalance (YTD)'!$E:$E),SUMIF('[1]TrialBalance (YTD)'!$G:$G,B1193,'[1]TrialBalance (YTD)'!$I:$I))</f>
        <v>#VALUE!</v>
      </c>
      <c r="G1193" s="5">
        <f>IFERROR(INDEX('[1]TrialBalance (YTD)'!$G:$S,MATCH([1]TBMapping!$C1195,'[1]TrialBalance (YTD)'!G:G,0),MATCH([1]TBMapping!H$3,'[1]TrialBalance (YTD)'!$G$7:$Z$7,0)),0)</f>
        <v>0</v>
      </c>
      <c r="H1193" s="5" t="e">
        <f>SUMIF('[1]TrialBalance (YTD)'!G:G,B1193,'[1]TrialBalance (YTD)'!H:H)</f>
        <v>#VALUE!</v>
      </c>
      <c r="I1193" s="5">
        <f>IFERROR(INDEX('[1]TrialBalance (YTD)'!$G:$S,MATCH([1]TBMapping!$C1195,'[1]TrialBalance (YTD)'!G:G,0),MATCH([1]TBMapping!J$3,'[1]TrialBalance (YTD)'!$G$7:$Z$7,0)),0)</f>
        <v>0</v>
      </c>
      <c r="K1193" s="5" t="e">
        <f>SUMIF('[1]TrialBalance (Quarter)'!$A:$A,B1193,'[1]TrialBalance (Quarter)'!$B:$B)</f>
        <v>#VALUE!</v>
      </c>
      <c r="L1193" s="5">
        <f>IFERROR(INDEX('[1]TrialBalance (Quarter)'!$A:$L,MATCH([1]TBMapping!$C1195,'[1]TrialBalance (Quarter)'!A:A,0),MATCH([1]TBMapping!M$3,'[1]TrialBalance (Quarter)'!$7:$7,0)),0)</f>
        <v>0</v>
      </c>
      <c r="M1193" s="5">
        <f>IFERROR(INDEX('[1]TrialBalance (Quarter)'!$A:$L,MATCH([1]TBMapping!$C1195,'[1]TrialBalance (Quarter)'!A:A,0),MATCH([1]TBMapping!N$3,'[1]TrialBalance (Quarter)'!$7:$7,0)),0)</f>
        <v>0</v>
      </c>
      <c r="N1193" s="5">
        <f>IFERROR(INDEX('[1]TrialBalance (Quarter)'!$A:$L,MATCH([1]TBMapping!$C1195,'[1]TrialBalance (Quarter)'!A:A,0),MATCH([1]TBMapping!O$3,'[1]TrialBalance (Quarter)'!$7:$7,0)),0)</f>
        <v>0</v>
      </c>
    </row>
    <row r="1194" spans="1:14">
      <c r="A1194" s="2">
        <v>33</v>
      </c>
      <c r="B1194" s="3">
        <v>722010</v>
      </c>
      <c r="C1194" s="1" t="s">
        <v>971</v>
      </c>
      <c r="D1194" s="1" t="s">
        <v>11</v>
      </c>
      <c r="F1194" s="5" t="e">
        <f>IF(DataExtraction="Manual",SUMIF('[1]TrialBalance (YTD)'!$C:$C,B1194,'[1]TrialBalance (YTD)'!$E:$E),SUMIF('[1]TrialBalance (YTD)'!$G:$G,B1194,'[1]TrialBalance (YTD)'!$I:$I))</f>
        <v>#VALUE!</v>
      </c>
      <c r="G1194" s="5">
        <f>IFERROR(INDEX('[1]TrialBalance (YTD)'!$G:$S,MATCH([1]TBMapping!$C1196,'[1]TrialBalance (YTD)'!G:G,0),MATCH([1]TBMapping!H$3,'[1]TrialBalance (YTD)'!$G$7:$Z$7,0)),0)</f>
        <v>0</v>
      </c>
      <c r="H1194" s="5" t="e">
        <f>SUMIF('[1]TrialBalance (YTD)'!G:G,B1194,'[1]TrialBalance (YTD)'!H:H)</f>
        <v>#VALUE!</v>
      </c>
      <c r="I1194" s="5">
        <f>IFERROR(INDEX('[1]TrialBalance (YTD)'!$G:$S,MATCH([1]TBMapping!$C1196,'[1]TrialBalance (YTD)'!G:G,0),MATCH([1]TBMapping!J$3,'[1]TrialBalance (YTD)'!$G$7:$Z$7,0)),0)</f>
        <v>0</v>
      </c>
      <c r="K1194" s="5" t="e">
        <f>SUMIF('[1]TrialBalance (Quarter)'!$A:$A,B1194,'[1]TrialBalance (Quarter)'!$B:$B)</f>
        <v>#VALUE!</v>
      </c>
      <c r="L1194" s="5">
        <f>IFERROR(INDEX('[1]TrialBalance (Quarter)'!$A:$L,MATCH([1]TBMapping!$C1196,'[1]TrialBalance (Quarter)'!A:A,0),MATCH([1]TBMapping!M$3,'[1]TrialBalance (Quarter)'!$7:$7,0)),0)</f>
        <v>0</v>
      </c>
      <c r="M1194" s="5">
        <f>IFERROR(INDEX('[1]TrialBalance (Quarter)'!$A:$L,MATCH([1]TBMapping!$C1196,'[1]TrialBalance (Quarter)'!A:A,0),MATCH([1]TBMapping!N$3,'[1]TrialBalance (Quarter)'!$7:$7,0)),0)</f>
        <v>0</v>
      </c>
      <c r="N1194" s="5">
        <f>IFERROR(INDEX('[1]TrialBalance (Quarter)'!$A:$L,MATCH([1]TBMapping!$C1196,'[1]TrialBalance (Quarter)'!A:A,0),MATCH([1]TBMapping!O$3,'[1]TrialBalance (Quarter)'!$7:$7,0)),0)</f>
        <v>0</v>
      </c>
    </row>
    <row r="1195" spans="1:14">
      <c r="A1195" s="2">
        <v>33</v>
      </c>
      <c r="B1195" s="3">
        <v>722020</v>
      </c>
      <c r="C1195" s="1" t="s">
        <v>972</v>
      </c>
      <c r="D1195" s="1" t="s">
        <v>11</v>
      </c>
      <c r="F1195" s="5" t="e">
        <f>IF(DataExtraction="Manual",SUMIF('[1]TrialBalance (YTD)'!$C:$C,B1195,'[1]TrialBalance (YTD)'!$E:$E),SUMIF('[1]TrialBalance (YTD)'!$G:$G,B1195,'[1]TrialBalance (YTD)'!$I:$I))</f>
        <v>#VALUE!</v>
      </c>
      <c r="G1195" s="5">
        <f>IFERROR(INDEX('[1]TrialBalance (YTD)'!$G:$S,MATCH([1]TBMapping!$C1197,'[1]TrialBalance (YTD)'!G:G,0),MATCH([1]TBMapping!H$3,'[1]TrialBalance (YTD)'!$G$7:$Z$7,0)),0)</f>
        <v>0</v>
      </c>
      <c r="H1195" s="5" t="e">
        <f>SUMIF('[1]TrialBalance (YTD)'!G:G,B1195,'[1]TrialBalance (YTD)'!H:H)</f>
        <v>#VALUE!</v>
      </c>
      <c r="I1195" s="5">
        <f>IFERROR(INDEX('[1]TrialBalance (YTD)'!$G:$S,MATCH([1]TBMapping!$C1197,'[1]TrialBalance (YTD)'!G:G,0),MATCH([1]TBMapping!J$3,'[1]TrialBalance (YTD)'!$G$7:$Z$7,0)),0)</f>
        <v>-2382624.91</v>
      </c>
      <c r="K1195" s="5" t="e">
        <f>SUMIF('[1]TrialBalance (Quarter)'!$A:$A,B1195,'[1]TrialBalance (Quarter)'!$B:$B)</f>
        <v>#VALUE!</v>
      </c>
      <c r="L1195" s="5">
        <f>IFERROR(INDEX('[1]TrialBalance (Quarter)'!$A:$L,MATCH([1]TBMapping!$C1197,'[1]TrialBalance (Quarter)'!A:A,0),MATCH([1]TBMapping!M$3,'[1]TrialBalance (Quarter)'!$7:$7,0)),0)</f>
        <v>0</v>
      </c>
      <c r="M1195" s="5">
        <f>IFERROR(INDEX('[1]TrialBalance (Quarter)'!$A:$L,MATCH([1]TBMapping!$C1197,'[1]TrialBalance (Quarter)'!A:A,0),MATCH([1]TBMapping!N$3,'[1]TrialBalance (Quarter)'!$7:$7,0)),0)</f>
        <v>0</v>
      </c>
      <c r="N1195" s="5">
        <f>IFERROR(INDEX('[1]TrialBalance (Quarter)'!$A:$L,MATCH([1]TBMapping!$C1197,'[1]TrialBalance (Quarter)'!A:A,0),MATCH([1]TBMapping!O$3,'[1]TrialBalance (Quarter)'!$7:$7,0)),0)</f>
        <v>0</v>
      </c>
    </row>
    <row r="1196" spans="1:14">
      <c r="A1196" s="2">
        <v>33</v>
      </c>
      <c r="B1196" s="3">
        <v>722030</v>
      </c>
      <c r="C1196" s="1" t="s">
        <v>973</v>
      </c>
      <c r="D1196" s="1" t="s">
        <v>11</v>
      </c>
      <c r="F1196" s="5" t="e">
        <f>IF(DataExtraction="Manual",SUMIF('[1]TrialBalance (YTD)'!$C:$C,B1196,'[1]TrialBalance (YTD)'!$E:$E),SUMIF('[1]TrialBalance (YTD)'!$G:$G,B1196,'[1]TrialBalance (YTD)'!$I:$I))</f>
        <v>#VALUE!</v>
      </c>
      <c r="G1196" s="5">
        <f>IFERROR(INDEX('[1]TrialBalance (YTD)'!$G:$S,MATCH([1]TBMapping!$C1198,'[1]TrialBalance (YTD)'!G:G,0),MATCH([1]TBMapping!H$3,'[1]TrialBalance (YTD)'!$G$7:$Z$7,0)),0)</f>
        <v>0</v>
      </c>
      <c r="H1196" s="5" t="e">
        <f>SUMIF('[1]TrialBalance (YTD)'!G:G,B1196,'[1]TrialBalance (YTD)'!H:H)</f>
        <v>#VALUE!</v>
      </c>
      <c r="I1196" s="5">
        <f>IFERROR(INDEX('[1]TrialBalance (YTD)'!$G:$S,MATCH([1]TBMapping!$C1198,'[1]TrialBalance (YTD)'!G:G,0),MATCH([1]TBMapping!J$3,'[1]TrialBalance (YTD)'!$G$7:$Z$7,0)),0)</f>
        <v>0</v>
      </c>
      <c r="K1196" s="5" t="e">
        <f>SUMIF('[1]TrialBalance (Quarter)'!$A:$A,B1196,'[1]TrialBalance (Quarter)'!$B:$B)</f>
        <v>#VALUE!</v>
      </c>
      <c r="L1196" s="5">
        <f>IFERROR(INDEX('[1]TrialBalance (Quarter)'!$A:$L,MATCH([1]TBMapping!$C1198,'[1]TrialBalance (Quarter)'!A:A,0),MATCH([1]TBMapping!M$3,'[1]TrialBalance (Quarter)'!$7:$7,0)),0)</f>
        <v>0</v>
      </c>
      <c r="M1196" s="5">
        <f>IFERROR(INDEX('[1]TrialBalance (Quarter)'!$A:$L,MATCH([1]TBMapping!$C1198,'[1]TrialBalance (Quarter)'!A:A,0),MATCH([1]TBMapping!N$3,'[1]TrialBalance (Quarter)'!$7:$7,0)),0)</f>
        <v>0</v>
      </c>
      <c r="N1196" s="5">
        <f>IFERROR(INDEX('[1]TrialBalance (Quarter)'!$A:$L,MATCH([1]TBMapping!$C1198,'[1]TrialBalance (Quarter)'!A:A,0),MATCH([1]TBMapping!O$3,'[1]TrialBalance (Quarter)'!$7:$7,0)),0)</f>
        <v>0</v>
      </c>
    </row>
    <row r="1197" spans="1:14">
      <c r="A1197" s="2">
        <v>33</v>
      </c>
      <c r="B1197" s="3">
        <v>722040</v>
      </c>
      <c r="C1197" s="1" t="s">
        <v>974</v>
      </c>
      <c r="D1197" s="1" t="s">
        <v>11</v>
      </c>
      <c r="F1197" s="5" t="e">
        <f>IF(DataExtraction="Manual",SUMIF('[1]TrialBalance (YTD)'!$C:$C,B1197,'[1]TrialBalance (YTD)'!$E:$E),SUMIF('[1]TrialBalance (YTD)'!$G:$G,B1197,'[1]TrialBalance (YTD)'!$I:$I))</f>
        <v>#VALUE!</v>
      </c>
      <c r="G1197" s="5">
        <f>IFERROR(INDEX('[1]TrialBalance (YTD)'!$G:$S,MATCH([1]TBMapping!$C1199,'[1]TrialBalance (YTD)'!G:G,0),MATCH([1]TBMapping!H$3,'[1]TrialBalance (YTD)'!$G$7:$Z$7,0)),0)</f>
        <v>0</v>
      </c>
      <c r="H1197" s="5" t="e">
        <f>SUMIF('[1]TrialBalance (YTD)'!G:G,B1197,'[1]TrialBalance (YTD)'!H:H)</f>
        <v>#VALUE!</v>
      </c>
      <c r="I1197" s="5">
        <f>IFERROR(INDEX('[1]TrialBalance (YTD)'!$G:$S,MATCH([1]TBMapping!$C1199,'[1]TrialBalance (YTD)'!G:G,0),MATCH([1]TBMapping!J$3,'[1]TrialBalance (YTD)'!$G$7:$Z$7,0)),0)</f>
        <v>-32090.54</v>
      </c>
      <c r="K1197" s="5" t="e">
        <f>SUMIF('[1]TrialBalance (Quarter)'!$A:$A,B1197,'[1]TrialBalance (Quarter)'!$B:$B)</f>
        <v>#VALUE!</v>
      </c>
      <c r="L1197" s="5">
        <f>IFERROR(INDEX('[1]TrialBalance (Quarter)'!$A:$L,MATCH([1]TBMapping!$C1199,'[1]TrialBalance (Quarter)'!A:A,0),MATCH([1]TBMapping!M$3,'[1]TrialBalance (Quarter)'!$7:$7,0)),0)</f>
        <v>0</v>
      </c>
      <c r="M1197" s="5">
        <f>IFERROR(INDEX('[1]TrialBalance (Quarter)'!$A:$L,MATCH([1]TBMapping!$C1199,'[1]TrialBalance (Quarter)'!A:A,0),MATCH([1]TBMapping!N$3,'[1]TrialBalance (Quarter)'!$7:$7,0)),0)</f>
        <v>-14207.17</v>
      </c>
      <c r="N1197" s="5">
        <f>IFERROR(INDEX('[1]TrialBalance (Quarter)'!$A:$L,MATCH([1]TBMapping!$C1199,'[1]TrialBalance (Quarter)'!A:A,0),MATCH([1]TBMapping!O$3,'[1]TrialBalance (Quarter)'!$7:$7,0)),0)</f>
        <v>121655.1</v>
      </c>
    </row>
    <row r="1198" spans="1:14">
      <c r="A1198" s="2">
        <v>33</v>
      </c>
      <c r="B1198" s="3">
        <v>722050</v>
      </c>
      <c r="C1198" s="1" t="s">
        <v>975</v>
      </c>
      <c r="D1198" s="1" t="s">
        <v>11</v>
      </c>
      <c r="F1198" s="5" t="e">
        <f>IF(DataExtraction="Manual",SUMIF('[1]TrialBalance (YTD)'!$C:$C,B1198,'[1]TrialBalance (YTD)'!$E:$E),SUMIF('[1]TrialBalance (YTD)'!$G:$G,B1198,'[1]TrialBalance (YTD)'!$I:$I))</f>
        <v>#VALUE!</v>
      </c>
      <c r="G1198" s="5">
        <f>IFERROR(INDEX('[1]TrialBalance (YTD)'!$G:$S,MATCH([1]TBMapping!$C1200,'[1]TrialBalance (YTD)'!G:G,0),MATCH([1]TBMapping!H$3,'[1]TrialBalance (YTD)'!$G$7:$Z$7,0)),0)</f>
        <v>0</v>
      </c>
      <c r="H1198" s="5" t="e">
        <f>SUMIF('[1]TrialBalance (YTD)'!G:G,B1198,'[1]TrialBalance (YTD)'!H:H)</f>
        <v>#VALUE!</v>
      </c>
      <c r="I1198" s="5">
        <f>IFERROR(INDEX('[1]TrialBalance (YTD)'!$G:$S,MATCH([1]TBMapping!$C1200,'[1]TrialBalance (YTD)'!G:G,0),MATCH([1]TBMapping!J$3,'[1]TrialBalance (YTD)'!$G$7:$Z$7,0)),0)</f>
        <v>0</v>
      </c>
      <c r="K1198" s="5" t="e">
        <f>SUMIF('[1]TrialBalance (Quarter)'!$A:$A,B1198,'[1]TrialBalance (Quarter)'!$B:$B)</f>
        <v>#VALUE!</v>
      </c>
      <c r="L1198" s="5">
        <f>IFERROR(INDEX('[1]TrialBalance (Quarter)'!$A:$L,MATCH([1]TBMapping!$C1200,'[1]TrialBalance (Quarter)'!A:A,0),MATCH([1]TBMapping!M$3,'[1]TrialBalance (Quarter)'!$7:$7,0)),0)</f>
        <v>0</v>
      </c>
      <c r="M1198" s="5">
        <f>IFERROR(INDEX('[1]TrialBalance (Quarter)'!$A:$L,MATCH([1]TBMapping!$C1200,'[1]TrialBalance (Quarter)'!A:A,0),MATCH([1]TBMapping!N$3,'[1]TrialBalance (Quarter)'!$7:$7,0)),0)</f>
        <v>0</v>
      </c>
      <c r="N1198" s="5">
        <f>IFERROR(INDEX('[1]TrialBalance (Quarter)'!$A:$L,MATCH([1]TBMapping!$C1200,'[1]TrialBalance (Quarter)'!A:A,0),MATCH([1]TBMapping!O$3,'[1]TrialBalance (Quarter)'!$7:$7,0)),0)</f>
        <v>0</v>
      </c>
    </row>
    <row r="1199" spans="1:14">
      <c r="A1199" s="2">
        <v>35</v>
      </c>
      <c r="B1199" s="3">
        <v>722055</v>
      </c>
      <c r="C1199" s="1" t="s">
        <v>976</v>
      </c>
      <c r="D1199" s="1" t="s">
        <v>11</v>
      </c>
      <c r="F1199" s="5" t="e">
        <f>IF(DataExtraction="Manual",SUMIF('[1]TrialBalance (YTD)'!$C:$C,B1199,'[1]TrialBalance (YTD)'!$E:$E),SUMIF('[1]TrialBalance (YTD)'!$G:$G,B1199,'[1]TrialBalance (YTD)'!$I:$I))</f>
        <v>#VALUE!</v>
      </c>
      <c r="G1199" s="5">
        <f>IFERROR(INDEX('[1]TrialBalance (YTD)'!$G:$S,MATCH([1]TBMapping!$C1201,'[1]TrialBalance (YTD)'!G:G,0),MATCH([1]TBMapping!H$3,'[1]TrialBalance (YTD)'!$G$7:$Z$7,0)),0)</f>
        <v>0</v>
      </c>
      <c r="H1199" s="5" t="e">
        <f>SUMIF('[1]TrialBalance (YTD)'!G:G,B1199,'[1]TrialBalance (YTD)'!H:H)</f>
        <v>#VALUE!</v>
      </c>
      <c r="I1199" s="5">
        <f>IFERROR(INDEX('[1]TrialBalance (YTD)'!$G:$S,MATCH([1]TBMapping!$C1201,'[1]TrialBalance (YTD)'!G:G,0),MATCH([1]TBMapping!J$3,'[1]TrialBalance (YTD)'!$G$7:$Z$7,0)),0)</f>
        <v>-1958010.6</v>
      </c>
      <c r="K1199" s="5" t="e">
        <f>SUMIF('[1]TrialBalance (Quarter)'!$A:$A,B1199,'[1]TrialBalance (Quarter)'!$B:$B)</f>
        <v>#VALUE!</v>
      </c>
      <c r="L1199" s="5">
        <f>IFERROR(INDEX('[1]TrialBalance (Quarter)'!$A:$L,MATCH([1]TBMapping!$C1201,'[1]TrialBalance (Quarter)'!A:A,0),MATCH([1]TBMapping!M$3,'[1]TrialBalance (Quarter)'!$7:$7,0)),0)</f>
        <v>0</v>
      </c>
      <c r="M1199" s="5">
        <f>IFERROR(INDEX('[1]TrialBalance (Quarter)'!$A:$L,MATCH([1]TBMapping!$C1201,'[1]TrialBalance (Quarter)'!A:A,0),MATCH([1]TBMapping!N$3,'[1]TrialBalance (Quarter)'!$7:$7,0)),0)</f>
        <v>-666210.88</v>
      </c>
      <c r="N1199" s="5">
        <f>IFERROR(INDEX('[1]TrialBalance (Quarter)'!$A:$L,MATCH([1]TBMapping!$C1201,'[1]TrialBalance (Quarter)'!A:A,0),MATCH([1]TBMapping!O$3,'[1]TrialBalance (Quarter)'!$7:$7,0)),0)</f>
        <v>-671302.64</v>
      </c>
    </row>
    <row r="1200" spans="1:14">
      <c r="A1200" s="2">
        <v>33</v>
      </c>
      <c r="B1200" s="3">
        <v>722056</v>
      </c>
      <c r="C1200" s="1" t="s">
        <v>977</v>
      </c>
      <c r="D1200" s="1" t="s">
        <v>11</v>
      </c>
      <c r="F1200" s="5" t="e">
        <f>IF(DataExtraction="Manual",SUMIF('[1]TrialBalance (YTD)'!$C:$C,B1200,'[1]TrialBalance (YTD)'!$E:$E),SUMIF('[1]TrialBalance (YTD)'!$G:$G,B1200,'[1]TrialBalance (YTD)'!$I:$I))</f>
        <v>#VALUE!</v>
      </c>
      <c r="G1200" s="5">
        <f>IFERROR(INDEX('[1]TrialBalance (YTD)'!$G:$S,MATCH([1]TBMapping!$C1202,'[1]TrialBalance (YTD)'!G:G,0),MATCH([1]TBMapping!H$3,'[1]TrialBalance (YTD)'!$G$7:$Z$7,0)),0)</f>
        <v>0</v>
      </c>
      <c r="H1200" s="5" t="e">
        <f>SUMIF('[1]TrialBalance (YTD)'!G:G,B1200,'[1]TrialBalance (YTD)'!H:H)</f>
        <v>#VALUE!</v>
      </c>
      <c r="I1200" s="5">
        <f>IFERROR(INDEX('[1]TrialBalance (YTD)'!$G:$S,MATCH([1]TBMapping!$C1202,'[1]TrialBalance (YTD)'!G:G,0),MATCH([1]TBMapping!J$3,'[1]TrialBalance (YTD)'!$G$7:$Z$7,0)),0)</f>
        <v>0</v>
      </c>
      <c r="K1200" s="5" t="e">
        <f>SUMIF('[1]TrialBalance (Quarter)'!$A:$A,B1200,'[1]TrialBalance (Quarter)'!$B:$B)</f>
        <v>#VALUE!</v>
      </c>
      <c r="L1200" s="5">
        <f>IFERROR(INDEX('[1]TrialBalance (Quarter)'!$A:$L,MATCH([1]TBMapping!$C1202,'[1]TrialBalance (Quarter)'!A:A,0),MATCH([1]TBMapping!M$3,'[1]TrialBalance (Quarter)'!$7:$7,0)),0)</f>
        <v>0</v>
      </c>
      <c r="M1200" s="5">
        <f>IFERROR(INDEX('[1]TrialBalance (Quarter)'!$A:$L,MATCH([1]TBMapping!$C1202,'[1]TrialBalance (Quarter)'!A:A,0),MATCH([1]TBMapping!N$3,'[1]TrialBalance (Quarter)'!$7:$7,0)),0)</f>
        <v>0</v>
      </c>
      <c r="N1200" s="5">
        <f>IFERROR(INDEX('[1]TrialBalance (Quarter)'!$A:$L,MATCH([1]TBMapping!$C1202,'[1]TrialBalance (Quarter)'!A:A,0),MATCH([1]TBMapping!O$3,'[1]TrialBalance (Quarter)'!$7:$7,0)),0)</f>
        <v>0</v>
      </c>
    </row>
    <row r="1201" spans="1:14">
      <c r="A1201" s="2">
        <v>35</v>
      </c>
      <c r="B1201" s="3">
        <v>722057</v>
      </c>
      <c r="C1201" s="1" t="s">
        <v>978</v>
      </c>
      <c r="D1201" s="1" t="s">
        <v>11</v>
      </c>
      <c r="F1201" s="5" t="e">
        <f>IF(DataExtraction="Manual",SUMIF('[1]TrialBalance (YTD)'!$C:$C,B1201,'[1]TrialBalance (YTD)'!$E:$E),SUMIF('[1]TrialBalance (YTD)'!$G:$G,B1201,'[1]TrialBalance (YTD)'!$I:$I))</f>
        <v>#VALUE!</v>
      </c>
      <c r="G1201" s="5">
        <f>IFERROR(INDEX('[1]TrialBalance (YTD)'!$G:$S,MATCH([1]TBMapping!$C1203,'[1]TrialBalance (YTD)'!G:G,0),MATCH([1]TBMapping!H$3,'[1]TrialBalance (YTD)'!$G$7:$Z$7,0)),0)</f>
        <v>0</v>
      </c>
      <c r="H1201" s="5" t="e">
        <f>SUMIF('[1]TrialBalance (YTD)'!G:G,B1201,'[1]TrialBalance (YTD)'!H:H)</f>
        <v>#VALUE!</v>
      </c>
      <c r="I1201" s="5">
        <f>IFERROR(INDEX('[1]TrialBalance (YTD)'!$G:$S,MATCH([1]TBMapping!$C1203,'[1]TrialBalance (YTD)'!G:G,0),MATCH([1]TBMapping!J$3,'[1]TrialBalance (YTD)'!$G$7:$Z$7,0)),0)</f>
        <v>-15000</v>
      </c>
      <c r="K1201" s="5" t="e">
        <f>SUMIF('[1]TrialBalance (Quarter)'!$A:$A,B1201,'[1]TrialBalance (Quarter)'!$B:$B)</f>
        <v>#VALUE!</v>
      </c>
      <c r="L1201" s="5">
        <f>IFERROR(INDEX('[1]TrialBalance (Quarter)'!$A:$L,MATCH([1]TBMapping!$C1203,'[1]TrialBalance (Quarter)'!A:A,0),MATCH([1]TBMapping!M$3,'[1]TrialBalance (Quarter)'!$7:$7,0)),0)</f>
        <v>0</v>
      </c>
      <c r="M1201" s="5">
        <f>IFERROR(INDEX('[1]TrialBalance (Quarter)'!$A:$L,MATCH([1]TBMapping!$C1203,'[1]TrialBalance (Quarter)'!A:A,0),MATCH([1]TBMapping!N$3,'[1]TrialBalance (Quarter)'!$7:$7,0)),0)</f>
        <v>-7500</v>
      </c>
      <c r="N1201" s="5">
        <f>IFERROR(INDEX('[1]TrialBalance (Quarter)'!$A:$L,MATCH([1]TBMapping!$C1203,'[1]TrialBalance (Quarter)'!A:A,0),MATCH([1]TBMapping!O$3,'[1]TrialBalance (Quarter)'!$7:$7,0)),0)</f>
        <v>19500</v>
      </c>
    </row>
    <row r="1202" spans="1:14">
      <c r="A1202" s="2">
        <v>33</v>
      </c>
      <c r="B1202" s="3">
        <v>722060</v>
      </c>
      <c r="C1202" s="1" t="s">
        <v>979</v>
      </c>
      <c r="D1202" s="1" t="s">
        <v>11</v>
      </c>
      <c r="F1202" s="5" t="e">
        <f>IF(DataExtraction="Manual",SUMIF('[1]TrialBalance (YTD)'!$C:$C,B1202,'[1]TrialBalance (YTD)'!$E:$E),SUMIF('[1]TrialBalance (YTD)'!$G:$G,B1202,'[1]TrialBalance (YTD)'!$I:$I))</f>
        <v>#VALUE!</v>
      </c>
      <c r="G1202" s="5">
        <f>IFERROR(INDEX('[1]TrialBalance (YTD)'!$G:$S,MATCH([1]TBMapping!$C1204,'[1]TrialBalance (YTD)'!G:G,0),MATCH([1]TBMapping!H$3,'[1]TrialBalance (YTD)'!$G$7:$Z$7,0)),0)</f>
        <v>0</v>
      </c>
      <c r="H1202" s="5" t="e">
        <f>SUMIF('[1]TrialBalance (YTD)'!G:G,B1202,'[1]TrialBalance (YTD)'!H:H)</f>
        <v>#VALUE!</v>
      </c>
      <c r="I1202" s="5">
        <f>IFERROR(INDEX('[1]TrialBalance (YTD)'!$G:$S,MATCH([1]TBMapping!$C1204,'[1]TrialBalance (YTD)'!G:G,0),MATCH([1]TBMapping!J$3,'[1]TrialBalance (YTD)'!$G$7:$Z$7,0)),0)</f>
        <v>0</v>
      </c>
      <c r="K1202" s="5" t="e">
        <f>SUMIF('[1]TrialBalance (Quarter)'!$A:$A,B1202,'[1]TrialBalance (Quarter)'!$B:$B)</f>
        <v>#VALUE!</v>
      </c>
      <c r="L1202" s="5">
        <f>IFERROR(INDEX('[1]TrialBalance (Quarter)'!$A:$L,MATCH([1]TBMapping!$C1204,'[1]TrialBalance (Quarter)'!A:A,0),MATCH([1]TBMapping!M$3,'[1]TrialBalance (Quarter)'!$7:$7,0)),0)</f>
        <v>0</v>
      </c>
      <c r="M1202" s="5">
        <f>IFERROR(INDEX('[1]TrialBalance (Quarter)'!$A:$L,MATCH([1]TBMapping!$C1204,'[1]TrialBalance (Quarter)'!A:A,0),MATCH([1]TBMapping!N$3,'[1]TrialBalance (Quarter)'!$7:$7,0)),0)</f>
        <v>0</v>
      </c>
      <c r="N1202" s="5">
        <f>IFERROR(INDEX('[1]TrialBalance (Quarter)'!$A:$L,MATCH([1]TBMapping!$C1204,'[1]TrialBalance (Quarter)'!A:A,0),MATCH([1]TBMapping!O$3,'[1]TrialBalance (Quarter)'!$7:$7,0)),0)</f>
        <v>0</v>
      </c>
    </row>
    <row r="1203" spans="1:14">
      <c r="A1203" s="2">
        <v>33</v>
      </c>
      <c r="B1203" s="3">
        <v>722070</v>
      </c>
      <c r="C1203" s="1" t="s">
        <v>980</v>
      </c>
      <c r="D1203" s="1" t="s">
        <v>11</v>
      </c>
      <c r="F1203" s="5" t="e">
        <f>IF(DataExtraction="Manual",SUMIF('[1]TrialBalance (YTD)'!$C:$C,B1203,'[1]TrialBalance (YTD)'!$E:$E),SUMIF('[1]TrialBalance (YTD)'!$G:$G,B1203,'[1]TrialBalance (YTD)'!$I:$I))</f>
        <v>#VALUE!</v>
      </c>
      <c r="G1203" s="5">
        <f>IFERROR(INDEX('[1]TrialBalance (YTD)'!$G:$S,MATCH([1]TBMapping!$C1205,'[1]TrialBalance (YTD)'!G:G,0),MATCH([1]TBMapping!H$3,'[1]TrialBalance (YTD)'!$G$7:$Z$7,0)),0)</f>
        <v>0</v>
      </c>
      <c r="H1203" s="5" t="e">
        <f>SUMIF('[1]TrialBalance (YTD)'!G:G,B1203,'[1]TrialBalance (YTD)'!H:H)</f>
        <v>#VALUE!</v>
      </c>
      <c r="I1203" s="5">
        <f>IFERROR(INDEX('[1]TrialBalance (YTD)'!$G:$S,MATCH([1]TBMapping!$C1205,'[1]TrialBalance (YTD)'!G:G,0),MATCH([1]TBMapping!J$3,'[1]TrialBalance (YTD)'!$G$7:$Z$7,0)),0)</f>
        <v>0</v>
      </c>
      <c r="K1203" s="5" t="e">
        <f>SUMIF('[1]TrialBalance (Quarter)'!$A:$A,B1203,'[1]TrialBalance (Quarter)'!$B:$B)</f>
        <v>#VALUE!</v>
      </c>
      <c r="L1203" s="5">
        <f>IFERROR(INDEX('[1]TrialBalance (Quarter)'!$A:$L,MATCH([1]TBMapping!$C1205,'[1]TrialBalance (Quarter)'!A:A,0),MATCH([1]TBMapping!M$3,'[1]TrialBalance (Quarter)'!$7:$7,0)),0)</f>
        <v>0</v>
      </c>
      <c r="M1203" s="5">
        <f>IFERROR(INDEX('[1]TrialBalance (Quarter)'!$A:$L,MATCH([1]TBMapping!$C1205,'[1]TrialBalance (Quarter)'!A:A,0),MATCH([1]TBMapping!N$3,'[1]TrialBalance (Quarter)'!$7:$7,0)),0)</f>
        <v>0</v>
      </c>
      <c r="N1203" s="5">
        <f>IFERROR(INDEX('[1]TrialBalance (Quarter)'!$A:$L,MATCH([1]TBMapping!$C1205,'[1]TrialBalance (Quarter)'!A:A,0),MATCH([1]TBMapping!O$3,'[1]TrialBalance (Quarter)'!$7:$7,0)),0)</f>
        <v>0</v>
      </c>
    </row>
    <row r="1204" spans="1:14">
      <c r="A1204" s="2">
        <v>33</v>
      </c>
      <c r="B1204" s="3">
        <v>722080</v>
      </c>
      <c r="C1204" s="1" t="s">
        <v>981</v>
      </c>
      <c r="D1204" s="1" t="s">
        <v>11</v>
      </c>
      <c r="F1204" s="5" t="e">
        <f>IF(DataExtraction="Manual",SUMIF('[1]TrialBalance (YTD)'!$C:$C,B1204,'[1]TrialBalance (YTD)'!$E:$E),SUMIF('[1]TrialBalance (YTD)'!$G:$G,B1204,'[1]TrialBalance (YTD)'!$I:$I))</f>
        <v>#VALUE!</v>
      </c>
      <c r="G1204" s="5">
        <f>IFERROR(INDEX('[1]TrialBalance (YTD)'!$G:$S,MATCH([1]TBMapping!$C1206,'[1]TrialBalance (YTD)'!G:G,0),MATCH([1]TBMapping!H$3,'[1]TrialBalance (YTD)'!$G$7:$Z$7,0)),0)</f>
        <v>0</v>
      </c>
      <c r="H1204" s="5" t="e">
        <f>SUMIF('[1]TrialBalance (YTD)'!G:G,B1204,'[1]TrialBalance (YTD)'!H:H)</f>
        <v>#VALUE!</v>
      </c>
      <c r="I1204" s="5">
        <f>IFERROR(INDEX('[1]TrialBalance (YTD)'!$G:$S,MATCH([1]TBMapping!$C1206,'[1]TrialBalance (YTD)'!G:G,0),MATCH([1]TBMapping!J$3,'[1]TrialBalance (YTD)'!$G$7:$Z$7,0)),0)</f>
        <v>0</v>
      </c>
      <c r="K1204" s="5" t="e">
        <f>SUMIF('[1]TrialBalance (Quarter)'!$A:$A,B1204,'[1]TrialBalance (Quarter)'!$B:$B)</f>
        <v>#VALUE!</v>
      </c>
      <c r="L1204" s="5">
        <f>IFERROR(INDEX('[1]TrialBalance (Quarter)'!$A:$L,MATCH([1]TBMapping!$C1206,'[1]TrialBalance (Quarter)'!A:A,0),MATCH([1]TBMapping!M$3,'[1]TrialBalance (Quarter)'!$7:$7,0)),0)</f>
        <v>0</v>
      </c>
      <c r="M1204" s="5">
        <f>IFERROR(INDEX('[1]TrialBalance (Quarter)'!$A:$L,MATCH([1]TBMapping!$C1206,'[1]TrialBalance (Quarter)'!A:A,0),MATCH([1]TBMapping!N$3,'[1]TrialBalance (Quarter)'!$7:$7,0)),0)</f>
        <v>0</v>
      </c>
      <c r="N1204" s="5">
        <f>IFERROR(INDEX('[1]TrialBalance (Quarter)'!$A:$L,MATCH([1]TBMapping!$C1206,'[1]TrialBalance (Quarter)'!A:A,0),MATCH([1]TBMapping!O$3,'[1]TrialBalance (Quarter)'!$7:$7,0)),0)</f>
        <v>0</v>
      </c>
    </row>
    <row r="1205" spans="1:14">
      <c r="A1205" s="2">
        <v>33</v>
      </c>
      <c r="B1205" s="3">
        <v>722090</v>
      </c>
      <c r="C1205" s="1" t="s">
        <v>982</v>
      </c>
      <c r="D1205" s="1" t="s">
        <v>11</v>
      </c>
      <c r="F1205" s="5" t="e">
        <f>IF(DataExtraction="Manual",SUMIF('[1]TrialBalance (YTD)'!$C:$C,B1205,'[1]TrialBalance (YTD)'!$E:$E),SUMIF('[1]TrialBalance (YTD)'!$G:$G,B1205,'[1]TrialBalance (YTD)'!$I:$I))</f>
        <v>#VALUE!</v>
      </c>
      <c r="G1205" s="5">
        <f>IFERROR(INDEX('[1]TrialBalance (YTD)'!$G:$S,MATCH([1]TBMapping!$C1207,'[1]TrialBalance (YTD)'!G:G,0),MATCH([1]TBMapping!H$3,'[1]TrialBalance (YTD)'!$G$7:$Z$7,0)),0)</f>
        <v>0</v>
      </c>
      <c r="H1205" s="5" t="e">
        <f>SUMIF('[1]TrialBalance (YTD)'!G:G,B1205,'[1]TrialBalance (YTD)'!H:H)</f>
        <v>#VALUE!</v>
      </c>
      <c r="I1205" s="5">
        <f>IFERROR(INDEX('[1]TrialBalance (YTD)'!$G:$S,MATCH([1]TBMapping!$C1207,'[1]TrialBalance (YTD)'!G:G,0),MATCH([1]TBMapping!J$3,'[1]TrialBalance (YTD)'!$G$7:$Z$7,0)),0)</f>
        <v>-19800</v>
      </c>
      <c r="K1205" s="5" t="e">
        <f>SUMIF('[1]TrialBalance (Quarter)'!$A:$A,B1205,'[1]TrialBalance (Quarter)'!$B:$B)</f>
        <v>#VALUE!</v>
      </c>
      <c r="L1205" s="5">
        <f>IFERROR(INDEX('[1]TrialBalance (Quarter)'!$A:$L,MATCH([1]TBMapping!$C1207,'[1]TrialBalance (Quarter)'!A:A,0),MATCH([1]TBMapping!M$3,'[1]TrialBalance (Quarter)'!$7:$7,0)),0)</f>
        <v>0</v>
      </c>
      <c r="M1205" s="5">
        <f>IFERROR(INDEX('[1]TrialBalance (Quarter)'!$A:$L,MATCH([1]TBMapping!$C1207,'[1]TrialBalance (Quarter)'!A:A,0),MATCH([1]TBMapping!N$3,'[1]TrialBalance (Quarter)'!$7:$7,0)),0)</f>
        <v>-9900</v>
      </c>
      <c r="N1205" s="5">
        <f>IFERROR(INDEX('[1]TrialBalance (Quarter)'!$A:$L,MATCH([1]TBMapping!$C1207,'[1]TrialBalance (Quarter)'!A:A,0),MATCH([1]TBMapping!O$3,'[1]TrialBalance (Quarter)'!$7:$7,0)),0)</f>
        <v>-3900</v>
      </c>
    </row>
    <row r="1206" spans="1:14">
      <c r="A1206" s="2">
        <v>33</v>
      </c>
      <c r="B1206" s="3">
        <v>722100</v>
      </c>
      <c r="C1206" s="1" t="s">
        <v>983</v>
      </c>
      <c r="D1206" s="1" t="s">
        <v>11</v>
      </c>
      <c r="F1206" s="5" t="e">
        <f>IF(DataExtraction="Manual",SUMIF('[1]TrialBalance (YTD)'!$C:$C,B1206,'[1]TrialBalance (YTD)'!$E:$E),SUMIF('[1]TrialBalance (YTD)'!$G:$G,B1206,'[1]TrialBalance (YTD)'!$I:$I))</f>
        <v>#VALUE!</v>
      </c>
      <c r="G1206" s="5">
        <f>IFERROR(INDEX('[1]TrialBalance (YTD)'!$G:$S,MATCH([1]TBMapping!$C1208,'[1]TrialBalance (YTD)'!G:G,0),MATCH([1]TBMapping!H$3,'[1]TrialBalance (YTD)'!$G$7:$Z$7,0)),0)</f>
        <v>0</v>
      </c>
      <c r="H1206" s="5" t="e">
        <f>SUMIF('[1]TrialBalance (YTD)'!G:G,B1206,'[1]TrialBalance (YTD)'!H:H)</f>
        <v>#VALUE!</v>
      </c>
      <c r="I1206" s="5">
        <f>IFERROR(INDEX('[1]TrialBalance (YTD)'!$G:$S,MATCH([1]TBMapping!$C1208,'[1]TrialBalance (YTD)'!G:G,0),MATCH([1]TBMapping!J$3,'[1]TrialBalance (YTD)'!$G$7:$Z$7,0)),0)</f>
        <v>0</v>
      </c>
      <c r="K1206" s="5" t="e">
        <f>SUMIF('[1]TrialBalance (Quarter)'!$A:$A,B1206,'[1]TrialBalance (Quarter)'!$B:$B)</f>
        <v>#VALUE!</v>
      </c>
      <c r="L1206" s="5">
        <f>IFERROR(INDEX('[1]TrialBalance (Quarter)'!$A:$L,MATCH([1]TBMapping!$C1208,'[1]TrialBalance (Quarter)'!A:A,0),MATCH([1]TBMapping!M$3,'[1]TrialBalance (Quarter)'!$7:$7,0)),0)</f>
        <v>0</v>
      </c>
      <c r="M1206" s="5">
        <f>IFERROR(INDEX('[1]TrialBalance (Quarter)'!$A:$L,MATCH([1]TBMapping!$C1208,'[1]TrialBalance (Quarter)'!A:A,0),MATCH([1]TBMapping!N$3,'[1]TrialBalance (Quarter)'!$7:$7,0)),0)</f>
        <v>0</v>
      </c>
      <c r="N1206" s="5">
        <f>IFERROR(INDEX('[1]TrialBalance (Quarter)'!$A:$L,MATCH([1]TBMapping!$C1208,'[1]TrialBalance (Quarter)'!A:A,0),MATCH([1]TBMapping!O$3,'[1]TrialBalance (Quarter)'!$7:$7,0)),0)</f>
        <v>0</v>
      </c>
    </row>
    <row r="1207" spans="1:14">
      <c r="A1207" s="2">
        <v>33</v>
      </c>
      <c r="B1207" s="3">
        <v>722110</v>
      </c>
      <c r="C1207" s="1" t="s">
        <v>984</v>
      </c>
      <c r="D1207" s="1" t="s">
        <v>11</v>
      </c>
      <c r="F1207" s="5" t="e">
        <f>IF(DataExtraction="Manual",SUMIF('[1]TrialBalance (YTD)'!$C:$C,B1207,'[1]TrialBalance (YTD)'!$E:$E),SUMIF('[1]TrialBalance (YTD)'!$G:$G,B1207,'[1]TrialBalance (YTD)'!$I:$I))</f>
        <v>#VALUE!</v>
      </c>
      <c r="G1207" s="5">
        <f>IFERROR(INDEX('[1]TrialBalance (YTD)'!$G:$S,MATCH([1]TBMapping!$C1209,'[1]TrialBalance (YTD)'!G:G,0),MATCH([1]TBMapping!H$3,'[1]TrialBalance (YTD)'!$G$7:$Z$7,0)),0)</f>
        <v>0</v>
      </c>
      <c r="H1207" s="5" t="e">
        <f>SUMIF('[1]TrialBalance (YTD)'!G:G,B1207,'[1]TrialBalance (YTD)'!H:H)</f>
        <v>#VALUE!</v>
      </c>
      <c r="I1207" s="5">
        <f>IFERROR(INDEX('[1]TrialBalance (YTD)'!$G:$S,MATCH([1]TBMapping!$C1209,'[1]TrialBalance (YTD)'!G:G,0),MATCH([1]TBMapping!J$3,'[1]TrialBalance (YTD)'!$G$7:$Z$7,0)),0)</f>
        <v>0</v>
      </c>
      <c r="K1207" s="5" t="e">
        <f>SUMIF('[1]TrialBalance (Quarter)'!$A:$A,B1207,'[1]TrialBalance (Quarter)'!$B:$B)</f>
        <v>#VALUE!</v>
      </c>
      <c r="L1207" s="5">
        <f>IFERROR(INDEX('[1]TrialBalance (Quarter)'!$A:$L,MATCH([1]TBMapping!$C1209,'[1]TrialBalance (Quarter)'!A:A,0),MATCH([1]TBMapping!M$3,'[1]TrialBalance (Quarter)'!$7:$7,0)),0)</f>
        <v>0</v>
      </c>
      <c r="M1207" s="5">
        <f>IFERROR(INDEX('[1]TrialBalance (Quarter)'!$A:$L,MATCH([1]TBMapping!$C1209,'[1]TrialBalance (Quarter)'!A:A,0),MATCH([1]TBMapping!N$3,'[1]TrialBalance (Quarter)'!$7:$7,0)),0)</f>
        <v>0</v>
      </c>
      <c r="N1207" s="5">
        <f>IFERROR(INDEX('[1]TrialBalance (Quarter)'!$A:$L,MATCH([1]TBMapping!$C1209,'[1]TrialBalance (Quarter)'!A:A,0),MATCH([1]TBMapping!O$3,'[1]TrialBalance (Quarter)'!$7:$7,0)),0)</f>
        <v>108923.31</v>
      </c>
    </row>
    <row r="1208" spans="1:14">
      <c r="A1208" s="2">
        <v>33</v>
      </c>
      <c r="B1208" s="3">
        <v>722120</v>
      </c>
      <c r="C1208" s="1" t="s">
        <v>985</v>
      </c>
      <c r="D1208" s="1" t="s">
        <v>16</v>
      </c>
      <c r="F1208" s="5" t="e">
        <f>IF(DataExtraction="Manual",SUMIF('[1]TrialBalance (YTD)'!$C:$C,B1208,'[1]TrialBalance (YTD)'!$E:$E),SUMIF('[1]TrialBalance (YTD)'!$G:$G,B1208,'[1]TrialBalance (YTD)'!$I:$I))</f>
        <v>#VALUE!</v>
      </c>
      <c r="G1208" s="5">
        <f>IFERROR(INDEX('[1]TrialBalance (YTD)'!$G:$S,MATCH([1]TBMapping!$C1210,'[1]TrialBalance (YTD)'!G:G,0),MATCH([1]TBMapping!H$3,'[1]TrialBalance (YTD)'!$G$7:$Z$7,0)),0)</f>
        <v>0</v>
      </c>
      <c r="H1208" s="5" t="e">
        <f>SUMIF('[1]TrialBalance (YTD)'!G:G,B1208,'[1]TrialBalance (YTD)'!H:H)</f>
        <v>#VALUE!</v>
      </c>
      <c r="I1208" s="5">
        <f>IFERROR(INDEX('[1]TrialBalance (YTD)'!$G:$S,MATCH([1]TBMapping!$C1210,'[1]TrialBalance (YTD)'!G:G,0),MATCH([1]TBMapping!J$3,'[1]TrialBalance (YTD)'!$G$7:$Z$7,0)),0)</f>
        <v>0</v>
      </c>
      <c r="K1208" s="5" t="e">
        <f>SUMIF('[1]TrialBalance (Quarter)'!$A:$A,B1208,'[1]TrialBalance (Quarter)'!$B:$B)</f>
        <v>#VALUE!</v>
      </c>
      <c r="L1208" s="5">
        <f>IFERROR(INDEX('[1]TrialBalance (Quarter)'!$A:$L,MATCH([1]TBMapping!$C1210,'[1]TrialBalance (Quarter)'!A:A,0),MATCH([1]TBMapping!M$3,'[1]TrialBalance (Quarter)'!$7:$7,0)),0)</f>
        <v>0</v>
      </c>
      <c r="M1208" s="5">
        <f>IFERROR(INDEX('[1]TrialBalance (Quarter)'!$A:$L,MATCH([1]TBMapping!$C1210,'[1]TrialBalance (Quarter)'!A:A,0),MATCH([1]TBMapping!N$3,'[1]TrialBalance (Quarter)'!$7:$7,0)),0)</f>
        <v>0</v>
      </c>
      <c r="N1208" s="5">
        <f>IFERROR(INDEX('[1]TrialBalance (Quarter)'!$A:$L,MATCH([1]TBMapping!$C1210,'[1]TrialBalance (Quarter)'!A:A,0),MATCH([1]TBMapping!O$3,'[1]TrialBalance (Quarter)'!$7:$7,0)),0)</f>
        <v>0</v>
      </c>
    </row>
    <row r="1209" spans="1:14">
      <c r="A1209" s="2">
        <v>33</v>
      </c>
      <c r="B1209" s="3">
        <v>722130</v>
      </c>
      <c r="C1209" s="1" t="s">
        <v>986</v>
      </c>
      <c r="D1209" s="1" t="s">
        <v>5</v>
      </c>
      <c r="F1209" s="5" t="e">
        <f>IF(DataExtraction="Manual",SUMIF('[1]TrialBalance (YTD)'!$C:$C,B1209,'[1]TrialBalance (YTD)'!$E:$E),SUMIF('[1]TrialBalance (YTD)'!$G:$G,B1209,'[1]TrialBalance (YTD)'!$I:$I))</f>
        <v>#VALUE!</v>
      </c>
      <c r="G1209" s="5">
        <f>IFERROR(INDEX('[1]TrialBalance (YTD)'!$G:$S,MATCH([1]TBMapping!$C1211,'[1]TrialBalance (YTD)'!G:G,0),MATCH([1]TBMapping!H$3,'[1]TrialBalance (YTD)'!$G$7:$Z$7,0)),0)</f>
        <v>0</v>
      </c>
      <c r="H1209" s="5" t="e">
        <f>SUMIF('[1]TrialBalance (YTD)'!G:G,B1209,'[1]TrialBalance (YTD)'!H:H)</f>
        <v>#VALUE!</v>
      </c>
      <c r="I1209" s="5">
        <f>IFERROR(INDEX('[1]TrialBalance (YTD)'!$G:$S,MATCH([1]TBMapping!$C1211,'[1]TrialBalance (YTD)'!G:G,0),MATCH([1]TBMapping!J$3,'[1]TrialBalance (YTD)'!$G$7:$Z$7,0)),0)</f>
        <v>0</v>
      </c>
      <c r="K1209" s="5" t="e">
        <f>SUMIF('[1]TrialBalance (Quarter)'!$A:$A,B1209,'[1]TrialBalance (Quarter)'!$B:$B)</f>
        <v>#VALUE!</v>
      </c>
      <c r="L1209" s="5">
        <f>IFERROR(INDEX('[1]TrialBalance (Quarter)'!$A:$L,MATCH([1]TBMapping!$C1211,'[1]TrialBalance (Quarter)'!A:A,0),MATCH([1]TBMapping!M$3,'[1]TrialBalance (Quarter)'!$7:$7,0)),0)</f>
        <v>0</v>
      </c>
      <c r="M1209" s="5">
        <f>IFERROR(INDEX('[1]TrialBalance (Quarter)'!$A:$L,MATCH([1]TBMapping!$C1211,'[1]TrialBalance (Quarter)'!A:A,0),MATCH([1]TBMapping!N$3,'[1]TrialBalance (Quarter)'!$7:$7,0)),0)</f>
        <v>0</v>
      </c>
      <c r="N1209" s="5">
        <f>IFERROR(INDEX('[1]TrialBalance (Quarter)'!$A:$L,MATCH([1]TBMapping!$C1211,'[1]TrialBalance (Quarter)'!A:A,0),MATCH([1]TBMapping!O$3,'[1]TrialBalance (Quarter)'!$7:$7,0)),0)</f>
        <v>0</v>
      </c>
    </row>
    <row r="1210" spans="1:14">
      <c r="B1210" s="3">
        <v>729999</v>
      </c>
      <c r="C1210" s="1" t="s">
        <v>987</v>
      </c>
      <c r="D1210" s="1" t="s">
        <v>11</v>
      </c>
      <c r="F1210" s="5" t="e">
        <f>IF(DataExtraction="Manual",SUMIF('[1]TrialBalance (YTD)'!$C:$C,B1210,'[1]TrialBalance (YTD)'!$E:$E),SUMIF('[1]TrialBalance (YTD)'!$G:$G,B1210,'[1]TrialBalance (YTD)'!$I:$I))</f>
        <v>#VALUE!</v>
      </c>
      <c r="G1210" s="5">
        <f>IFERROR(INDEX('[1]TrialBalance (YTD)'!$G:$S,MATCH([1]TBMapping!$C1212,'[1]TrialBalance (YTD)'!G:G,0),MATCH([1]TBMapping!H$3,'[1]TrialBalance (YTD)'!$G$7:$Z$7,0)),0)</f>
        <v>0</v>
      </c>
      <c r="H1210" s="5" t="e">
        <f>SUMIF('[1]TrialBalance (YTD)'!G:G,B1210,'[1]TrialBalance (YTD)'!H:H)</f>
        <v>#VALUE!</v>
      </c>
      <c r="I1210" s="5">
        <f>IFERROR(INDEX('[1]TrialBalance (YTD)'!$G:$S,MATCH([1]TBMapping!$C1212,'[1]TrialBalance (YTD)'!G:G,0),MATCH([1]TBMapping!J$3,'[1]TrialBalance (YTD)'!$G$7:$Z$7,0)),0)</f>
        <v>-67741325.420000002</v>
      </c>
      <c r="K1210" s="5" t="e">
        <f>SUMIF('[1]TrialBalance (Quarter)'!$A:$A,B1210,'[1]TrialBalance (Quarter)'!$B:$B)</f>
        <v>#VALUE!</v>
      </c>
      <c r="L1210" s="5">
        <f>IFERROR(INDEX('[1]TrialBalance (Quarter)'!$A:$L,MATCH([1]TBMapping!$C1212,'[1]TrialBalance (Quarter)'!A:A,0),MATCH([1]TBMapping!M$3,'[1]TrialBalance (Quarter)'!$7:$7,0)),0)</f>
        <v>0</v>
      </c>
      <c r="M1210" s="5">
        <f>IFERROR(INDEX('[1]TrialBalance (Quarter)'!$A:$L,MATCH([1]TBMapping!$C1212,'[1]TrialBalance (Quarter)'!A:A,0),MATCH([1]TBMapping!N$3,'[1]TrialBalance (Quarter)'!$7:$7,0)),0)</f>
        <v>-6898657.6399999997</v>
      </c>
      <c r="N1210" s="5">
        <f>IFERROR(INDEX('[1]TrialBalance (Quarter)'!$A:$L,MATCH([1]TBMapping!$C1212,'[1]TrialBalance (Quarter)'!A:A,0),MATCH([1]TBMapping!O$3,'[1]TrialBalance (Quarter)'!$7:$7,0)),0)</f>
        <v>-83729353.420000002</v>
      </c>
    </row>
    <row r="1211" spans="1:14">
      <c r="B1211" s="3">
        <v>730000</v>
      </c>
      <c r="C1211" s="1" t="s">
        <v>988</v>
      </c>
      <c r="D1211" s="1" t="s">
        <v>11</v>
      </c>
      <c r="F1211" s="5" t="e">
        <f>IF(DataExtraction="Manual",SUMIF('[1]TrialBalance (YTD)'!$C:$C,B1211,'[1]TrialBalance (YTD)'!$E:$E),SUMIF('[1]TrialBalance (YTD)'!$G:$G,B1211,'[1]TrialBalance (YTD)'!$I:$I))</f>
        <v>#VALUE!</v>
      </c>
      <c r="G1211" s="5">
        <f>IFERROR(INDEX('[1]TrialBalance (YTD)'!$G:$S,MATCH([1]TBMapping!$C1213,'[1]TrialBalance (YTD)'!G:G,0),MATCH([1]TBMapping!H$3,'[1]TrialBalance (YTD)'!$G$7:$Z$7,0)),0)</f>
        <v>0</v>
      </c>
      <c r="H1211" s="5" t="e">
        <f>SUMIF('[1]TrialBalance (YTD)'!G:G,B1211,'[1]TrialBalance (YTD)'!H:H)</f>
        <v>#VALUE!</v>
      </c>
      <c r="I1211" s="5">
        <f>IFERROR(INDEX('[1]TrialBalance (YTD)'!$G:$S,MATCH([1]TBMapping!$C1213,'[1]TrialBalance (YTD)'!G:G,0),MATCH([1]TBMapping!J$3,'[1]TrialBalance (YTD)'!$G$7:$Z$7,0)),0)</f>
        <v>0</v>
      </c>
      <c r="K1211" s="5" t="e">
        <f>SUMIF('[1]TrialBalance (Quarter)'!$A:$A,B1211,'[1]TrialBalance (Quarter)'!$B:$B)</f>
        <v>#VALUE!</v>
      </c>
      <c r="L1211" s="5">
        <f>IFERROR(INDEX('[1]TrialBalance (Quarter)'!$A:$L,MATCH([1]TBMapping!$C1213,'[1]TrialBalance (Quarter)'!A:A,0),MATCH([1]TBMapping!M$3,'[1]TrialBalance (Quarter)'!$7:$7,0)),0)</f>
        <v>0</v>
      </c>
      <c r="M1211" s="5">
        <f>IFERROR(INDEX('[1]TrialBalance (Quarter)'!$A:$L,MATCH([1]TBMapping!$C1213,'[1]TrialBalance (Quarter)'!A:A,0),MATCH([1]TBMapping!N$3,'[1]TrialBalance (Quarter)'!$7:$7,0)),0)</f>
        <v>0</v>
      </c>
      <c r="N1211" s="5">
        <f>IFERROR(INDEX('[1]TrialBalance (Quarter)'!$A:$L,MATCH([1]TBMapping!$C1213,'[1]TrialBalance (Quarter)'!A:A,0),MATCH([1]TBMapping!O$3,'[1]TrialBalance (Quarter)'!$7:$7,0)),0)</f>
        <v>0</v>
      </c>
    </row>
    <row r="1212" spans="1:14">
      <c r="A1212" s="2">
        <v>35</v>
      </c>
      <c r="B1212" s="3">
        <v>731000</v>
      </c>
      <c r="C1212" s="1" t="s">
        <v>989</v>
      </c>
      <c r="D1212" s="1" t="s">
        <v>11</v>
      </c>
      <c r="F1212" s="5" t="e">
        <f>IF(DataExtraction="Manual",SUMIF('[1]TrialBalance (YTD)'!$C:$C,B1212,'[1]TrialBalance (YTD)'!$E:$E),SUMIF('[1]TrialBalance (YTD)'!$G:$G,B1212,'[1]TrialBalance (YTD)'!$I:$I))</f>
        <v>#VALUE!</v>
      </c>
      <c r="G1212" s="5">
        <f>IFERROR(INDEX('[1]TrialBalance (YTD)'!$G:$S,MATCH([1]TBMapping!$C1214,'[1]TrialBalance (YTD)'!G:G,0),MATCH([1]TBMapping!H$3,'[1]TrialBalance (YTD)'!$G$7:$Z$7,0)),0)</f>
        <v>0</v>
      </c>
      <c r="H1212" s="5" t="e">
        <f>SUMIF('[1]TrialBalance (YTD)'!G:G,B1212,'[1]TrialBalance (YTD)'!H:H)</f>
        <v>#VALUE!</v>
      </c>
      <c r="I1212" s="5">
        <f>IFERROR(INDEX('[1]TrialBalance (YTD)'!$G:$S,MATCH([1]TBMapping!$C1214,'[1]TrialBalance (YTD)'!G:G,0),MATCH([1]TBMapping!J$3,'[1]TrialBalance (YTD)'!$G$7:$Z$7,0)),0)</f>
        <v>0</v>
      </c>
      <c r="K1212" s="5" t="e">
        <f>SUMIF('[1]TrialBalance (Quarter)'!$A:$A,B1212,'[1]TrialBalance (Quarter)'!$B:$B)</f>
        <v>#VALUE!</v>
      </c>
      <c r="L1212" s="5">
        <f>IFERROR(INDEX('[1]TrialBalance (Quarter)'!$A:$L,MATCH([1]TBMapping!$C1214,'[1]TrialBalance (Quarter)'!A:A,0),MATCH([1]TBMapping!M$3,'[1]TrialBalance (Quarter)'!$7:$7,0)),0)</f>
        <v>0</v>
      </c>
      <c r="M1212" s="5">
        <f>IFERROR(INDEX('[1]TrialBalance (Quarter)'!$A:$L,MATCH([1]TBMapping!$C1214,'[1]TrialBalance (Quarter)'!A:A,0),MATCH([1]TBMapping!N$3,'[1]TrialBalance (Quarter)'!$7:$7,0)),0)</f>
        <v>0</v>
      </c>
      <c r="N1212" s="5">
        <f>IFERROR(INDEX('[1]TrialBalance (Quarter)'!$A:$L,MATCH([1]TBMapping!$C1214,'[1]TrialBalance (Quarter)'!A:A,0),MATCH([1]TBMapping!O$3,'[1]TrialBalance (Quarter)'!$7:$7,0)),0)</f>
        <v>0</v>
      </c>
    </row>
    <row r="1213" spans="1:14">
      <c r="A1213" s="2">
        <v>39</v>
      </c>
      <c r="B1213" s="3">
        <v>731001</v>
      </c>
      <c r="C1213" s="1" t="s">
        <v>990</v>
      </c>
      <c r="D1213" s="1" t="s">
        <v>11</v>
      </c>
      <c r="F1213" s="5" t="e">
        <f>IF(DataExtraction="Manual",SUMIF('[1]TrialBalance (YTD)'!$C:$C,B1213,'[1]TrialBalance (YTD)'!$E:$E),SUMIF('[1]TrialBalance (YTD)'!$G:$G,B1213,'[1]TrialBalance (YTD)'!$I:$I))</f>
        <v>#VALUE!</v>
      </c>
      <c r="G1213" s="5">
        <f>IFERROR(INDEX('[1]TrialBalance (YTD)'!$G:$S,MATCH([1]TBMapping!$C1215,'[1]TrialBalance (YTD)'!G:G,0),MATCH([1]TBMapping!H$3,'[1]TrialBalance (YTD)'!$G$7:$Z$7,0)),0)</f>
        <v>0</v>
      </c>
      <c r="H1213" s="5" t="e">
        <f>SUMIF('[1]TrialBalance (YTD)'!G:G,B1213,'[1]TrialBalance (YTD)'!H:H)</f>
        <v>#VALUE!</v>
      </c>
      <c r="I1213" s="5">
        <f>IFERROR(INDEX('[1]TrialBalance (YTD)'!$G:$S,MATCH([1]TBMapping!$C1215,'[1]TrialBalance (YTD)'!G:G,0),MATCH([1]TBMapping!J$3,'[1]TrialBalance (YTD)'!$G$7:$Z$7,0)),0)</f>
        <v>0</v>
      </c>
      <c r="K1213" s="5" t="e">
        <f>SUMIF('[1]TrialBalance (Quarter)'!$A:$A,B1213,'[1]TrialBalance (Quarter)'!$B:$B)</f>
        <v>#VALUE!</v>
      </c>
      <c r="L1213" s="5">
        <f>IFERROR(INDEX('[1]TrialBalance (Quarter)'!$A:$L,MATCH([1]TBMapping!$C1215,'[1]TrialBalance (Quarter)'!A:A,0),MATCH([1]TBMapping!M$3,'[1]TrialBalance (Quarter)'!$7:$7,0)),0)</f>
        <v>0</v>
      </c>
      <c r="M1213" s="5">
        <f>IFERROR(INDEX('[1]TrialBalance (Quarter)'!$A:$L,MATCH([1]TBMapping!$C1215,'[1]TrialBalance (Quarter)'!A:A,0),MATCH([1]TBMapping!N$3,'[1]TrialBalance (Quarter)'!$7:$7,0)),0)</f>
        <v>0</v>
      </c>
      <c r="N1213" s="5">
        <f>IFERROR(INDEX('[1]TrialBalance (Quarter)'!$A:$L,MATCH([1]TBMapping!$C1215,'[1]TrialBalance (Quarter)'!A:A,0),MATCH([1]TBMapping!O$3,'[1]TrialBalance (Quarter)'!$7:$7,0)),0)</f>
        <v>0</v>
      </c>
    </row>
    <row r="1214" spans="1:14">
      <c r="A1214" s="2">
        <v>35</v>
      </c>
      <c r="B1214" s="3">
        <v>731004</v>
      </c>
      <c r="C1214" s="1" t="s">
        <v>991</v>
      </c>
      <c r="D1214" s="1" t="s">
        <v>16</v>
      </c>
      <c r="F1214" s="5" t="e">
        <f>IF(DataExtraction="Manual",SUMIF('[1]TrialBalance (YTD)'!$C:$C,B1214,'[1]TrialBalance (YTD)'!$E:$E),SUMIF('[1]TrialBalance (YTD)'!$G:$G,B1214,'[1]TrialBalance (YTD)'!$I:$I))</f>
        <v>#VALUE!</v>
      </c>
      <c r="G1214" s="5">
        <f>IFERROR(INDEX('[1]TrialBalance (YTD)'!$G:$S,MATCH([1]TBMapping!$C1216,'[1]TrialBalance (YTD)'!G:G,0),MATCH([1]TBMapping!H$3,'[1]TrialBalance (YTD)'!$G$7:$Z$7,0)),0)</f>
        <v>0</v>
      </c>
      <c r="H1214" s="5" t="e">
        <f>SUMIF('[1]TrialBalance (YTD)'!G:G,B1214,'[1]TrialBalance (YTD)'!H:H)</f>
        <v>#VALUE!</v>
      </c>
      <c r="I1214" s="5">
        <f>IFERROR(INDEX('[1]TrialBalance (YTD)'!$G:$S,MATCH([1]TBMapping!$C1216,'[1]TrialBalance (YTD)'!G:G,0),MATCH([1]TBMapping!J$3,'[1]TrialBalance (YTD)'!$G$7:$Z$7,0)),0)</f>
        <v>0</v>
      </c>
      <c r="K1214" s="5" t="e">
        <f>SUMIF('[1]TrialBalance (Quarter)'!$A:$A,B1214,'[1]TrialBalance (Quarter)'!$B:$B)</f>
        <v>#VALUE!</v>
      </c>
      <c r="L1214" s="5">
        <f>IFERROR(INDEX('[1]TrialBalance (Quarter)'!$A:$L,MATCH([1]TBMapping!$C1216,'[1]TrialBalance (Quarter)'!A:A,0),MATCH([1]TBMapping!M$3,'[1]TrialBalance (Quarter)'!$7:$7,0)),0)</f>
        <v>0</v>
      </c>
      <c r="M1214" s="5">
        <f>IFERROR(INDEX('[1]TrialBalance (Quarter)'!$A:$L,MATCH([1]TBMapping!$C1216,'[1]TrialBalance (Quarter)'!A:A,0),MATCH([1]TBMapping!N$3,'[1]TrialBalance (Quarter)'!$7:$7,0)),0)</f>
        <v>0</v>
      </c>
      <c r="N1214" s="5">
        <f>IFERROR(INDEX('[1]TrialBalance (Quarter)'!$A:$L,MATCH([1]TBMapping!$C1216,'[1]TrialBalance (Quarter)'!A:A,0),MATCH([1]TBMapping!O$3,'[1]TrialBalance (Quarter)'!$7:$7,0)),0)</f>
        <v>0</v>
      </c>
    </row>
    <row r="1215" spans="1:14">
      <c r="A1215" s="2">
        <v>35</v>
      </c>
      <c r="B1215" s="3">
        <v>731020</v>
      </c>
      <c r="C1215" s="1" t="s">
        <v>992</v>
      </c>
      <c r="D1215" s="1" t="s">
        <v>5</v>
      </c>
      <c r="F1215" s="5" t="e">
        <f>IF(DataExtraction="Manual",SUMIF('[1]TrialBalance (YTD)'!$C:$C,B1215,'[1]TrialBalance (YTD)'!$E:$E),SUMIF('[1]TrialBalance (YTD)'!$G:$G,B1215,'[1]TrialBalance (YTD)'!$I:$I))</f>
        <v>#VALUE!</v>
      </c>
      <c r="G1215" s="5">
        <f>IFERROR(INDEX('[1]TrialBalance (YTD)'!$G:$S,MATCH([1]TBMapping!$C1217,'[1]TrialBalance (YTD)'!G:G,0),MATCH([1]TBMapping!H$3,'[1]TrialBalance (YTD)'!$G$7:$Z$7,0)),0)</f>
        <v>0</v>
      </c>
      <c r="H1215" s="5" t="e">
        <f>SUMIF('[1]TrialBalance (YTD)'!G:G,B1215,'[1]TrialBalance (YTD)'!H:H)</f>
        <v>#VALUE!</v>
      </c>
      <c r="I1215" s="5">
        <f>IFERROR(INDEX('[1]TrialBalance (YTD)'!$G:$S,MATCH([1]TBMapping!$C1217,'[1]TrialBalance (YTD)'!G:G,0),MATCH([1]TBMapping!J$3,'[1]TrialBalance (YTD)'!$G$7:$Z$7,0)),0)</f>
        <v>0</v>
      </c>
      <c r="K1215" s="5" t="e">
        <f>SUMIF('[1]TrialBalance (Quarter)'!$A:$A,B1215,'[1]TrialBalance (Quarter)'!$B:$B)</f>
        <v>#VALUE!</v>
      </c>
      <c r="L1215" s="5">
        <f>IFERROR(INDEX('[1]TrialBalance (Quarter)'!$A:$L,MATCH([1]TBMapping!$C1217,'[1]TrialBalance (Quarter)'!A:A,0),MATCH([1]TBMapping!M$3,'[1]TrialBalance (Quarter)'!$7:$7,0)),0)</f>
        <v>0</v>
      </c>
      <c r="M1215" s="5">
        <f>IFERROR(INDEX('[1]TrialBalance (Quarter)'!$A:$L,MATCH([1]TBMapping!$C1217,'[1]TrialBalance (Quarter)'!A:A,0),MATCH([1]TBMapping!N$3,'[1]TrialBalance (Quarter)'!$7:$7,0)),0)</f>
        <v>0</v>
      </c>
      <c r="N1215" s="5">
        <f>IFERROR(INDEX('[1]TrialBalance (Quarter)'!$A:$L,MATCH([1]TBMapping!$C1217,'[1]TrialBalance (Quarter)'!A:A,0),MATCH([1]TBMapping!O$3,'[1]TrialBalance (Quarter)'!$7:$7,0)),0)</f>
        <v>0</v>
      </c>
    </row>
    <row r="1216" spans="1:14">
      <c r="B1216" s="3">
        <v>739999</v>
      </c>
      <c r="C1216" s="1" t="s">
        <v>993</v>
      </c>
      <c r="D1216" s="1" t="s">
        <v>5</v>
      </c>
      <c r="F1216" s="5" t="e">
        <f>IF(DataExtraction="Manual",SUMIF('[1]TrialBalance (YTD)'!$C:$C,B1216,'[1]TrialBalance (YTD)'!$E:$E),SUMIF('[1]TrialBalance (YTD)'!$G:$G,B1216,'[1]TrialBalance (YTD)'!$I:$I))</f>
        <v>#VALUE!</v>
      </c>
      <c r="G1216" s="5">
        <f>IFERROR(INDEX('[1]TrialBalance (YTD)'!$G:$S,MATCH([1]TBMapping!$C1218,'[1]TrialBalance (YTD)'!G:G,0),MATCH([1]TBMapping!H$3,'[1]TrialBalance (YTD)'!$G$7:$Z$7,0)),0)</f>
        <v>0</v>
      </c>
      <c r="H1216" s="5" t="e">
        <f>SUMIF('[1]TrialBalance (YTD)'!G:G,B1216,'[1]TrialBalance (YTD)'!H:H)</f>
        <v>#VALUE!</v>
      </c>
      <c r="I1216" s="5">
        <f>IFERROR(INDEX('[1]TrialBalance (YTD)'!$G:$S,MATCH([1]TBMapping!$C1218,'[1]TrialBalance (YTD)'!G:G,0),MATCH([1]TBMapping!J$3,'[1]TrialBalance (YTD)'!$G$7:$Z$7,0)),0)</f>
        <v>0</v>
      </c>
      <c r="K1216" s="5" t="e">
        <f>SUMIF('[1]TrialBalance (Quarter)'!$A:$A,B1216,'[1]TrialBalance (Quarter)'!$B:$B)</f>
        <v>#VALUE!</v>
      </c>
      <c r="L1216" s="5">
        <f>IFERROR(INDEX('[1]TrialBalance (Quarter)'!$A:$L,MATCH([1]TBMapping!$C1218,'[1]TrialBalance (Quarter)'!A:A,0),MATCH([1]TBMapping!M$3,'[1]TrialBalance (Quarter)'!$7:$7,0)),0)</f>
        <v>0</v>
      </c>
      <c r="M1216" s="5">
        <f>IFERROR(INDEX('[1]TrialBalance (Quarter)'!$A:$L,MATCH([1]TBMapping!$C1218,'[1]TrialBalance (Quarter)'!A:A,0),MATCH([1]TBMapping!N$3,'[1]TrialBalance (Quarter)'!$7:$7,0)),0)</f>
        <v>0</v>
      </c>
      <c r="N1216" s="5">
        <f>IFERROR(INDEX('[1]TrialBalance (Quarter)'!$A:$L,MATCH([1]TBMapping!$C1218,'[1]TrialBalance (Quarter)'!A:A,0),MATCH([1]TBMapping!O$3,'[1]TrialBalance (Quarter)'!$7:$7,0)),0)</f>
        <v>0</v>
      </c>
    </row>
    <row r="1217" spans="1:14">
      <c r="B1217" s="3">
        <v>740000</v>
      </c>
      <c r="C1217" s="1" t="s">
        <v>994</v>
      </c>
      <c r="D1217" s="1" t="s">
        <v>11</v>
      </c>
      <c r="F1217" s="5" t="e">
        <f>IF(DataExtraction="Manual",SUMIF('[1]TrialBalance (YTD)'!$C:$C,B1217,'[1]TrialBalance (YTD)'!$E:$E),SUMIF('[1]TrialBalance (YTD)'!$G:$G,B1217,'[1]TrialBalance (YTD)'!$I:$I))</f>
        <v>#VALUE!</v>
      </c>
      <c r="G1217" s="5">
        <f>IFERROR(INDEX('[1]TrialBalance (YTD)'!$G:$S,MATCH([1]TBMapping!$C1219,'[1]TrialBalance (YTD)'!G:G,0),MATCH([1]TBMapping!H$3,'[1]TrialBalance (YTD)'!$G$7:$Z$7,0)),0)</f>
        <v>0</v>
      </c>
      <c r="H1217" s="5" t="e">
        <f>SUMIF('[1]TrialBalance (YTD)'!G:G,B1217,'[1]TrialBalance (YTD)'!H:H)</f>
        <v>#VALUE!</v>
      </c>
      <c r="I1217" s="5">
        <f>IFERROR(INDEX('[1]TrialBalance (YTD)'!$G:$S,MATCH([1]TBMapping!$C1219,'[1]TrialBalance (YTD)'!G:G,0),MATCH([1]TBMapping!J$3,'[1]TrialBalance (YTD)'!$G$7:$Z$7,0)),0)</f>
        <v>0</v>
      </c>
      <c r="K1217" s="5" t="e">
        <f>SUMIF('[1]TrialBalance (Quarter)'!$A:$A,B1217,'[1]TrialBalance (Quarter)'!$B:$B)</f>
        <v>#VALUE!</v>
      </c>
      <c r="L1217" s="5">
        <f>IFERROR(INDEX('[1]TrialBalance (Quarter)'!$A:$L,MATCH([1]TBMapping!$C1219,'[1]TrialBalance (Quarter)'!A:A,0),MATCH([1]TBMapping!M$3,'[1]TrialBalance (Quarter)'!$7:$7,0)),0)</f>
        <v>0</v>
      </c>
      <c r="M1217" s="5">
        <f>IFERROR(INDEX('[1]TrialBalance (Quarter)'!$A:$L,MATCH([1]TBMapping!$C1219,'[1]TrialBalance (Quarter)'!A:A,0),MATCH([1]TBMapping!N$3,'[1]TrialBalance (Quarter)'!$7:$7,0)),0)</f>
        <v>0</v>
      </c>
      <c r="N1217" s="5">
        <f>IFERROR(INDEX('[1]TrialBalance (Quarter)'!$A:$L,MATCH([1]TBMapping!$C1219,'[1]TrialBalance (Quarter)'!A:A,0),MATCH([1]TBMapping!O$3,'[1]TrialBalance (Quarter)'!$7:$7,0)),0)</f>
        <v>0</v>
      </c>
    </row>
    <row r="1218" spans="1:14">
      <c r="B1218" s="3">
        <v>741000</v>
      </c>
      <c r="C1218" s="1" t="s">
        <v>995</v>
      </c>
      <c r="D1218" s="1" t="s">
        <v>11</v>
      </c>
      <c r="F1218" s="5" t="e">
        <f>IF(DataExtraction="Manual",SUMIF('[1]TrialBalance (YTD)'!$C:$C,B1218,'[1]TrialBalance (YTD)'!$E:$E),SUMIF('[1]TrialBalance (YTD)'!$G:$G,B1218,'[1]TrialBalance (YTD)'!$I:$I))</f>
        <v>#VALUE!</v>
      </c>
      <c r="G1218" s="5">
        <f>IFERROR(INDEX('[1]TrialBalance (YTD)'!$G:$S,MATCH([1]TBMapping!$C1220,'[1]TrialBalance (YTD)'!G:G,0),MATCH([1]TBMapping!H$3,'[1]TrialBalance (YTD)'!$G$7:$Z$7,0)),0)</f>
        <v>0</v>
      </c>
      <c r="H1218" s="5" t="e">
        <f>SUMIF('[1]TrialBalance (YTD)'!G:G,B1218,'[1]TrialBalance (YTD)'!H:H)</f>
        <v>#VALUE!</v>
      </c>
      <c r="I1218" s="5">
        <f>IFERROR(INDEX('[1]TrialBalance (YTD)'!$G:$S,MATCH([1]TBMapping!$C1220,'[1]TrialBalance (YTD)'!G:G,0),MATCH([1]TBMapping!J$3,'[1]TrialBalance (YTD)'!$G$7:$Z$7,0)),0)</f>
        <v>0</v>
      </c>
      <c r="K1218" s="5" t="e">
        <f>SUMIF('[1]TrialBalance (Quarter)'!$A:$A,B1218,'[1]TrialBalance (Quarter)'!$B:$B)</f>
        <v>#VALUE!</v>
      </c>
      <c r="L1218" s="5">
        <f>IFERROR(INDEX('[1]TrialBalance (Quarter)'!$A:$L,MATCH([1]TBMapping!$C1220,'[1]TrialBalance (Quarter)'!A:A,0),MATCH([1]TBMapping!M$3,'[1]TrialBalance (Quarter)'!$7:$7,0)),0)</f>
        <v>0</v>
      </c>
      <c r="M1218" s="5">
        <f>IFERROR(INDEX('[1]TrialBalance (Quarter)'!$A:$L,MATCH([1]TBMapping!$C1220,'[1]TrialBalance (Quarter)'!A:A,0),MATCH([1]TBMapping!N$3,'[1]TrialBalance (Quarter)'!$7:$7,0)),0)</f>
        <v>0</v>
      </c>
      <c r="N1218" s="5">
        <f>IFERROR(INDEX('[1]TrialBalance (Quarter)'!$A:$L,MATCH([1]TBMapping!$C1220,'[1]TrialBalance (Quarter)'!A:A,0),MATCH([1]TBMapping!O$3,'[1]TrialBalance (Quarter)'!$7:$7,0)),0)</f>
        <v>0</v>
      </c>
    </row>
    <row r="1219" spans="1:14">
      <c r="A1219" s="2">
        <v>36</v>
      </c>
      <c r="B1219" s="3">
        <v>741100</v>
      </c>
      <c r="C1219" s="1" t="s">
        <v>996</v>
      </c>
      <c r="D1219" s="1" t="s">
        <v>11</v>
      </c>
      <c r="F1219" s="5" t="e">
        <f>IF(DataExtraction="Manual",SUMIF('[1]TrialBalance (YTD)'!$C:$C,B1219,'[1]TrialBalance (YTD)'!$E:$E),SUMIF('[1]TrialBalance (YTD)'!$G:$G,B1219,'[1]TrialBalance (YTD)'!$I:$I))</f>
        <v>#VALUE!</v>
      </c>
      <c r="G1219" s="5">
        <f>IFERROR(INDEX('[1]TrialBalance (YTD)'!$G:$S,MATCH([1]TBMapping!$C1221,'[1]TrialBalance (YTD)'!G:G,0),MATCH([1]TBMapping!H$3,'[1]TrialBalance (YTD)'!$G$7:$Z$7,0)),0)</f>
        <v>0</v>
      </c>
      <c r="H1219" s="5" t="e">
        <f>SUMIF('[1]TrialBalance (YTD)'!G:G,B1219,'[1]TrialBalance (YTD)'!H:H)</f>
        <v>#VALUE!</v>
      </c>
      <c r="I1219" s="5">
        <f>IFERROR(INDEX('[1]TrialBalance (YTD)'!$G:$S,MATCH([1]TBMapping!$C1221,'[1]TrialBalance (YTD)'!G:G,0),MATCH([1]TBMapping!J$3,'[1]TrialBalance (YTD)'!$G$7:$Z$7,0)),0)</f>
        <v>0</v>
      </c>
      <c r="K1219" s="5" t="e">
        <f>SUMIF('[1]TrialBalance (Quarter)'!$A:$A,B1219,'[1]TrialBalance (Quarter)'!$B:$B)</f>
        <v>#VALUE!</v>
      </c>
      <c r="L1219" s="5">
        <f>IFERROR(INDEX('[1]TrialBalance (Quarter)'!$A:$L,MATCH([1]TBMapping!$C1221,'[1]TrialBalance (Quarter)'!A:A,0),MATCH([1]TBMapping!M$3,'[1]TrialBalance (Quarter)'!$7:$7,0)),0)</f>
        <v>0</v>
      </c>
      <c r="M1219" s="5">
        <f>IFERROR(INDEX('[1]TrialBalance (Quarter)'!$A:$L,MATCH([1]TBMapping!$C1221,'[1]TrialBalance (Quarter)'!A:A,0),MATCH([1]TBMapping!N$3,'[1]TrialBalance (Quarter)'!$7:$7,0)),0)</f>
        <v>0</v>
      </c>
      <c r="N1219" s="5">
        <f>IFERROR(INDEX('[1]TrialBalance (Quarter)'!$A:$L,MATCH([1]TBMapping!$C1221,'[1]TrialBalance (Quarter)'!A:A,0),MATCH([1]TBMapping!O$3,'[1]TrialBalance (Quarter)'!$7:$7,0)),0)</f>
        <v>0</v>
      </c>
    </row>
    <row r="1220" spans="1:14">
      <c r="A1220" s="2">
        <v>36</v>
      </c>
      <c r="B1220" s="3">
        <v>741110</v>
      </c>
      <c r="C1220" s="1" t="s">
        <v>997</v>
      </c>
      <c r="D1220" s="1" t="s">
        <v>11</v>
      </c>
      <c r="F1220" s="5" t="e">
        <f>IF(DataExtraction="Manual",SUMIF('[1]TrialBalance (YTD)'!$C:$C,B1220,'[1]TrialBalance (YTD)'!$E:$E),SUMIF('[1]TrialBalance (YTD)'!$G:$G,B1220,'[1]TrialBalance (YTD)'!$I:$I))</f>
        <v>#VALUE!</v>
      </c>
      <c r="G1220" s="5">
        <f>IFERROR(INDEX('[1]TrialBalance (YTD)'!$G:$S,MATCH([1]TBMapping!$C1222,'[1]TrialBalance (YTD)'!G:G,0),MATCH([1]TBMapping!H$3,'[1]TrialBalance (YTD)'!$G$7:$Z$7,0)),0)</f>
        <v>0</v>
      </c>
      <c r="H1220" s="5" t="e">
        <f>SUMIF('[1]TrialBalance (YTD)'!G:G,B1220,'[1]TrialBalance (YTD)'!H:H)</f>
        <v>#VALUE!</v>
      </c>
      <c r="I1220" s="5">
        <f>IFERROR(INDEX('[1]TrialBalance (YTD)'!$G:$S,MATCH([1]TBMapping!$C1222,'[1]TrialBalance (YTD)'!G:G,0),MATCH([1]TBMapping!J$3,'[1]TrialBalance (YTD)'!$G$7:$Z$7,0)),0)</f>
        <v>0</v>
      </c>
      <c r="K1220" s="5" t="e">
        <f>SUMIF('[1]TrialBalance (Quarter)'!$A:$A,B1220,'[1]TrialBalance (Quarter)'!$B:$B)</f>
        <v>#VALUE!</v>
      </c>
      <c r="L1220" s="5">
        <f>IFERROR(INDEX('[1]TrialBalance (Quarter)'!$A:$L,MATCH([1]TBMapping!$C1222,'[1]TrialBalance (Quarter)'!A:A,0),MATCH([1]TBMapping!M$3,'[1]TrialBalance (Quarter)'!$7:$7,0)),0)</f>
        <v>0</v>
      </c>
      <c r="M1220" s="5">
        <f>IFERROR(INDEX('[1]TrialBalance (Quarter)'!$A:$L,MATCH([1]TBMapping!$C1222,'[1]TrialBalance (Quarter)'!A:A,0),MATCH([1]TBMapping!N$3,'[1]TrialBalance (Quarter)'!$7:$7,0)),0)</f>
        <v>0</v>
      </c>
      <c r="N1220" s="5">
        <f>IFERROR(INDEX('[1]TrialBalance (Quarter)'!$A:$L,MATCH([1]TBMapping!$C1222,'[1]TrialBalance (Quarter)'!A:A,0),MATCH([1]TBMapping!O$3,'[1]TrialBalance (Quarter)'!$7:$7,0)),0)</f>
        <v>0</v>
      </c>
    </row>
    <row r="1221" spans="1:14">
      <c r="A1221" s="2">
        <v>36</v>
      </c>
      <c r="B1221" s="3">
        <v>741120</v>
      </c>
      <c r="C1221" s="1" t="s">
        <v>998</v>
      </c>
      <c r="D1221" s="1" t="s">
        <v>11</v>
      </c>
      <c r="F1221" s="5" t="e">
        <f>IF(DataExtraction="Manual",SUMIF('[1]TrialBalance (YTD)'!$C:$C,B1221,'[1]TrialBalance (YTD)'!$E:$E),SUMIF('[1]TrialBalance (YTD)'!$G:$G,B1221,'[1]TrialBalance (YTD)'!$I:$I))</f>
        <v>#VALUE!</v>
      </c>
      <c r="G1221" s="5">
        <f>IFERROR(INDEX('[1]TrialBalance (YTD)'!$G:$S,MATCH([1]TBMapping!$C1223,'[1]TrialBalance (YTD)'!G:G,0),MATCH([1]TBMapping!H$3,'[1]TrialBalance (YTD)'!$G$7:$Z$7,0)),0)</f>
        <v>0</v>
      </c>
      <c r="H1221" s="5" t="e">
        <f>SUMIF('[1]TrialBalance (YTD)'!G:G,B1221,'[1]TrialBalance (YTD)'!H:H)</f>
        <v>#VALUE!</v>
      </c>
      <c r="I1221" s="5">
        <f>IFERROR(INDEX('[1]TrialBalance (YTD)'!$G:$S,MATCH([1]TBMapping!$C1223,'[1]TrialBalance (YTD)'!G:G,0),MATCH([1]TBMapping!J$3,'[1]TrialBalance (YTD)'!$G$7:$Z$7,0)),0)</f>
        <v>0</v>
      </c>
      <c r="K1221" s="5" t="e">
        <f>SUMIF('[1]TrialBalance (Quarter)'!$A:$A,B1221,'[1]TrialBalance (Quarter)'!$B:$B)</f>
        <v>#VALUE!</v>
      </c>
      <c r="L1221" s="5">
        <f>IFERROR(INDEX('[1]TrialBalance (Quarter)'!$A:$L,MATCH([1]TBMapping!$C1223,'[1]TrialBalance (Quarter)'!A:A,0),MATCH([1]TBMapping!M$3,'[1]TrialBalance (Quarter)'!$7:$7,0)),0)</f>
        <v>0</v>
      </c>
      <c r="M1221" s="5">
        <f>IFERROR(INDEX('[1]TrialBalance (Quarter)'!$A:$L,MATCH([1]TBMapping!$C1223,'[1]TrialBalance (Quarter)'!A:A,0),MATCH([1]TBMapping!N$3,'[1]TrialBalance (Quarter)'!$7:$7,0)),0)</f>
        <v>0</v>
      </c>
      <c r="N1221" s="5">
        <f>IFERROR(INDEX('[1]TrialBalance (Quarter)'!$A:$L,MATCH([1]TBMapping!$C1223,'[1]TrialBalance (Quarter)'!A:A,0),MATCH([1]TBMapping!O$3,'[1]TrialBalance (Quarter)'!$7:$7,0)),0)</f>
        <v>0</v>
      </c>
    </row>
    <row r="1222" spans="1:14">
      <c r="A1222" s="2">
        <v>36</v>
      </c>
      <c r="B1222" s="3">
        <v>741200</v>
      </c>
      <c r="C1222" s="1" t="s">
        <v>999</v>
      </c>
      <c r="D1222" s="1" t="s">
        <v>16</v>
      </c>
      <c r="F1222" s="5" t="e">
        <f>IF(DataExtraction="Manual",SUMIF('[1]TrialBalance (YTD)'!$C:$C,B1222,'[1]TrialBalance (YTD)'!$E:$E),SUMIF('[1]TrialBalance (YTD)'!$G:$G,B1222,'[1]TrialBalance (YTD)'!$I:$I))</f>
        <v>#VALUE!</v>
      </c>
      <c r="G1222" s="5">
        <f>IFERROR(INDEX('[1]TrialBalance (YTD)'!$G:$S,MATCH([1]TBMapping!$C1224,'[1]TrialBalance (YTD)'!G:G,0),MATCH([1]TBMapping!H$3,'[1]TrialBalance (YTD)'!$G$7:$Z$7,0)),0)</f>
        <v>0</v>
      </c>
      <c r="H1222" s="5" t="e">
        <f>SUMIF('[1]TrialBalance (YTD)'!G:G,B1222,'[1]TrialBalance (YTD)'!H:H)</f>
        <v>#VALUE!</v>
      </c>
      <c r="I1222" s="5">
        <f>IFERROR(INDEX('[1]TrialBalance (YTD)'!$G:$S,MATCH([1]TBMapping!$C1224,'[1]TrialBalance (YTD)'!G:G,0),MATCH([1]TBMapping!J$3,'[1]TrialBalance (YTD)'!$G$7:$Z$7,0)),0)</f>
        <v>0</v>
      </c>
      <c r="K1222" s="5" t="e">
        <f>SUMIF('[1]TrialBalance (Quarter)'!$A:$A,B1222,'[1]TrialBalance (Quarter)'!$B:$B)</f>
        <v>#VALUE!</v>
      </c>
      <c r="L1222" s="5">
        <f>IFERROR(INDEX('[1]TrialBalance (Quarter)'!$A:$L,MATCH([1]TBMapping!$C1224,'[1]TrialBalance (Quarter)'!A:A,0),MATCH([1]TBMapping!M$3,'[1]TrialBalance (Quarter)'!$7:$7,0)),0)</f>
        <v>0</v>
      </c>
      <c r="M1222" s="5">
        <f>IFERROR(INDEX('[1]TrialBalance (Quarter)'!$A:$L,MATCH([1]TBMapping!$C1224,'[1]TrialBalance (Quarter)'!A:A,0),MATCH([1]TBMapping!N$3,'[1]TrialBalance (Quarter)'!$7:$7,0)),0)</f>
        <v>0</v>
      </c>
      <c r="N1222" s="5">
        <f>IFERROR(INDEX('[1]TrialBalance (Quarter)'!$A:$L,MATCH([1]TBMapping!$C1224,'[1]TrialBalance (Quarter)'!A:A,0),MATCH([1]TBMapping!O$3,'[1]TrialBalance (Quarter)'!$7:$7,0)),0)</f>
        <v>0</v>
      </c>
    </row>
    <row r="1223" spans="1:14">
      <c r="A1223" s="2">
        <v>36</v>
      </c>
      <c r="B1223" s="3">
        <v>741300</v>
      </c>
      <c r="C1223" s="1" t="s">
        <v>1000</v>
      </c>
      <c r="D1223" s="1" t="s">
        <v>5</v>
      </c>
      <c r="F1223" s="5" t="e">
        <f>IF(DataExtraction="Manual",SUMIF('[1]TrialBalance (YTD)'!$C:$C,B1223,'[1]TrialBalance (YTD)'!$E:$E),SUMIF('[1]TrialBalance (YTD)'!$G:$G,B1223,'[1]TrialBalance (YTD)'!$I:$I))</f>
        <v>#VALUE!</v>
      </c>
      <c r="G1223" s="5">
        <f>IFERROR(INDEX('[1]TrialBalance (YTD)'!$G:$S,MATCH([1]TBMapping!$C1225,'[1]TrialBalance (YTD)'!G:G,0),MATCH([1]TBMapping!H$3,'[1]TrialBalance (YTD)'!$G$7:$Z$7,0)),0)</f>
        <v>0</v>
      </c>
      <c r="H1223" s="5" t="e">
        <f>SUMIF('[1]TrialBalance (YTD)'!G:G,B1223,'[1]TrialBalance (YTD)'!H:H)</f>
        <v>#VALUE!</v>
      </c>
      <c r="I1223" s="5">
        <f>IFERROR(INDEX('[1]TrialBalance (YTD)'!$G:$S,MATCH([1]TBMapping!$C1225,'[1]TrialBalance (YTD)'!G:G,0),MATCH([1]TBMapping!J$3,'[1]TrialBalance (YTD)'!$G$7:$Z$7,0)),0)</f>
        <v>0</v>
      </c>
      <c r="K1223" s="5" t="e">
        <f>SUMIF('[1]TrialBalance (Quarter)'!$A:$A,B1223,'[1]TrialBalance (Quarter)'!$B:$B)</f>
        <v>#VALUE!</v>
      </c>
      <c r="L1223" s="5">
        <f>IFERROR(INDEX('[1]TrialBalance (Quarter)'!$A:$L,MATCH([1]TBMapping!$C1225,'[1]TrialBalance (Quarter)'!A:A,0),MATCH([1]TBMapping!M$3,'[1]TrialBalance (Quarter)'!$7:$7,0)),0)</f>
        <v>0</v>
      </c>
      <c r="M1223" s="5">
        <f>IFERROR(INDEX('[1]TrialBalance (Quarter)'!$A:$L,MATCH([1]TBMapping!$C1225,'[1]TrialBalance (Quarter)'!A:A,0),MATCH([1]TBMapping!N$3,'[1]TrialBalance (Quarter)'!$7:$7,0)),0)</f>
        <v>0</v>
      </c>
      <c r="N1223" s="5">
        <f>IFERROR(INDEX('[1]TrialBalance (Quarter)'!$A:$L,MATCH([1]TBMapping!$C1225,'[1]TrialBalance (Quarter)'!A:A,0),MATCH([1]TBMapping!O$3,'[1]TrialBalance (Quarter)'!$7:$7,0)),0)</f>
        <v>0</v>
      </c>
    </row>
    <row r="1224" spans="1:14">
      <c r="B1224" s="3">
        <v>741999</v>
      </c>
      <c r="C1224" s="1" t="s">
        <v>1001</v>
      </c>
      <c r="D1224" s="1" t="s">
        <v>11</v>
      </c>
      <c r="F1224" s="5" t="e">
        <f>IF(DataExtraction="Manual",SUMIF('[1]TrialBalance (YTD)'!$C:$C,B1224,'[1]TrialBalance (YTD)'!$E:$E),SUMIF('[1]TrialBalance (YTD)'!$G:$G,B1224,'[1]TrialBalance (YTD)'!$I:$I))</f>
        <v>#VALUE!</v>
      </c>
      <c r="G1224" s="5">
        <f>IFERROR(INDEX('[1]TrialBalance (YTD)'!$G:$S,MATCH([1]TBMapping!$C1226,'[1]TrialBalance (YTD)'!G:G,0),MATCH([1]TBMapping!H$3,'[1]TrialBalance (YTD)'!$G$7:$Z$7,0)),0)</f>
        <v>0</v>
      </c>
      <c r="H1224" s="5" t="e">
        <f>SUMIF('[1]TrialBalance (YTD)'!G:G,B1224,'[1]TrialBalance (YTD)'!H:H)</f>
        <v>#VALUE!</v>
      </c>
      <c r="I1224" s="5">
        <f>IFERROR(INDEX('[1]TrialBalance (YTD)'!$G:$S,MATCH([1]TBMapping!$C1226,'[1]TrialBalance (YTD)'!G:G,0),MATCH([1]TBMapping!J$3,'[1]TrialBalance (YTD)'!$G$7:$Z$7,0)),0)</f>
        <v>0</v>
      </c>
      <c r="K1224" s="5" t="e">
        <f>SUMIF('[1]TrialBalance (Quarter)'!$A:$A,B1224,'[1]TrialBalance (Quarter)'!$B:$B)</f>
        <v>#VALUE!</v>
      </c>
      <c r="L1224" s="5">
        <f>IFERROR(INDEX('[1]TrialBalance (Quarter)'!$A:$L,MATCH([1]TBMapping!$C1226,'[1]TrialBalance (Quarter)'!A:A,0),MATCH([1]TBMapping!M$3,'[1]TrialBalance (Quarter)'!$7:$7,0)),0)</f>
        <v>0</v>
      </c>
      <c r="M1224" s="5">
        <f>IFERROR(INDEX('[1]TrialBalance (Quarter)'!$A:$L,MATCH([1]TBMapping!$C1226,'[1]TrialBalance (Quarter)'!A:A,0),MATCH([1]TBMapping!N$3,'[1]TrialBalance (Quarter)'!$7:$7,0)),0)</f>
        <v>0</v>
      </c>
      <c r="N1224" s="5">
        <f>IFERROR(INDEX('[1]TrialBalance (Quarter)'!$A:$L,MATCH([1]TBMapping!$C1226,'[1]TrialBalance (Quarter)'!A:A,0),MATCH([1]TBMapping!O$3,'[1]TrialBalance (Quarter)'!$7:$7,0)),0)</f>
        <v>0</v>
      </c>
    </row>
    <row r="1225" spans="1:14">
      <c r="B1225" s="3">
        <v>742000</v>
      </c>
      <c r="C1225" s="1" t="s">
        <v>1002</v>
      </c>
      <c r="D1225" s="1" t="s">
        <v>11</v>
      </c>
      <c r="F1225" s="5" t="e">
        <f>IF(DataExtraction="Manual",SUMIF('[1]TrialBalance (YTD)'!$C:$C,B1225,'[1]TrialBalance (YTD)'!$E:$E),SUMIF('[1]TrialBalance (YTD)'!$G:$G,B1225,'[1]TrialBalance (YTD)'!$I:$I))</f>
        <v>#VALUE!</v>
      </c>
      <c r="G1225" s="5">
        <f>IFERROR(INDEX('[1]TrialBalance (YTD)'!$G:$S,MATCH([1]TBMapping!$C1227,'[1]TrialBalance (YTD)'!G:G,0),MATCH([1]TBMapping!H$3,'[1]TrialBalance (YTD)'!$G$7:$Z$7,0)),0)</f>
        <v>0</v>
      </c>
      <c r="H1225" s="5" t="e">
        <f>SUMIF('[1]TrialBalance (YTD)'!G:G,B1225,'[1]TrialBalance (YTD)'!H:H)</f>
        <v>#VALUE!</v>
      </c>
      <c r="I1225" s="5">
        <f>IFERROR(INDEX('[1]TrialBalance (YTD)'!$G:$S,MATCH([1]TBMapping!$C1227,'[1]TrialBalance (YTD)'!G:G,0),MATCH([1]TBMapping!J$3,'[1]TrialBalance (YTD)'!$G$7:$Z$7,0)),0)</f>
        <v>0</v>
      </c>
      <c r="K1225" s="5" t="e">
        <f>SUMIF('[1]TrialBalance (Quarter)'!$A:$A,B1225,'[1]TrialBalance (Quarter)'!$B:$B)</f>
        <v>#VALUE!</v>
      </c>
      <c r="L1225" s="5">
        <f>IFERROR(INDEX('[1]TrialBalance (Quarter)'!$A:$L,MATCH([1]TBMapping!$C1227,'[1]TrialBalance (Quarter)'!A:A,0),MATCH([1]TBMapping!M$3,'[1]TrialBalance (Quarter)'!$7:$7,0)),0)</f>
        <v>0</v>
      </c>
      <c r="M1225" s="5">
        <f>IFERROR(INDEX('[1]TrialBalance (Quarter)'!$A:$L,MATCH([1]TBMapping!$C1227,'[1]TrialBalance (Quarter)'!A:A,0),MATCH([1]TBMapping!N$3,'[1]TrialBalance (Quarter)'!$7:$7,0)),0)</f>
        <v>0</v>
      </c>
      <c r="N1225" s="5">
        <f>IFERROR(INDEX('[1]TrialBalance (Quarter)'!$A:$L,MATCH([1]TBMapping!$C1227,'[1]TrialBalance (Quarter)'!A:A,0),MATCH([1]TBMapping!O$3,'[1]TrialBalance (Quarter)'!$7:$7,0)),0)</f>
        <v>0</v>
      </c>
    </row>
    <row r="1226" spans="1:14">
      <c r="A1226" s="2">
        <v>36</v>
      </c>
      <c r="B1226" s="3">
        <v>742100</v>
      </c>
      <c r="C1226" s="1" t="s">
        <v>1003</v>
      </c>
      <c r="D1226" s="1" t="s">
        <v>11</v>
      </c>
      <c r="F1226" s="5" t="e">
        <f>IF(DataExtraction="Manual",SUMIF('[1]TrialBalance (YTD)'!$C:$C,B1226,'[1]TrialBalance (YTD)'!$E:$E),SUMIF('[1]TrialBalance (YTD)'!$G:$G,B1226,'[1]TrialBalance (YTD)'!$I:$I))</f>
        <v>#VALUE!</v>
      </c>
      <c r="G1226" s="5">
        <f>IFERROR(INDEX('[1]TrialBalance (YTD)'!$G:$S,MATCH([1]TBMapping!$C1228,'[1]TrialBalance (YTD)'!G:G,0),MATCH([1]TBMapping!H$3,'[1]TrialBalance (YTD)'!$G$7:$Z$7,0)),0)</f>
        <v>0</v>
      </c>
      <c r="H1226" s="5" t="e">
        <f>SUMIF('[1]TrialBalance (YTD)'!G:G,B1226,'[1]TrialBalance (YTD)'!H:H)</f>
        <v>#VALUE!</v>
      </c>
      <c r="I1226" s="5">
        <f>IFERROR(INDEX('[1]TrialBalance (YTD)'!$G:$S,MATCH([1]TBMapping!$C1228,'[1]TrialBalance (YTD)'!G:G,0),MATCH([1]TBMapping!J$3,'[1]TrialBalance (YTD)'!$G$7:$Z$7,0)),0)</f>
        <v>0</v>
      </c>
      <c r="K1226" s="5" t="e">
        <f>SUMIF('[1]TrialBalance (Quarter)'!$A:$A,B1226,'[1]TrialBalance (Quarter)'!$B:$B)</f>
        <v>#VALUE!</v>
      </c>
      <c r="L1226" s="5">
        <f>IFERROR(INDEX('[1]TrialBalance (Quarter)'!$A:$L,MATCH([1]TBMapping!$C1228,'[1]TrialBalance (Quarter)'!A:A,0),MATCH([1]TBMapping!M$3,'[1]TrialBalance (Quarter)'!$7:$7,0)),0)</f>
        <v>0</v>
      </c>
      <c r="M1226" s="5">
        <f>IFERROR(INDEX('[1]TrialBalance (Quarter)'!$A:$L,MATCH([1]TBMapping!$C1228,'[1]TrialBalance (Quarter)'!A:A,0),MATCH([1]TBMapping!N$3,'[1]TrialBalance (Quarter)'!$7:$7,0)),0)</f>
        <v>0</v>
      </c>
      <c r="N1226" s="5">
        <f>IFERROR(INDEX('[1]TrialBalance (Quarter)'!$A:$L,MATCH([1]TBMapping!$C1228,'[1]TrialBalance (Quarter)'!A:A,0),MATCH([1]TBMapping!O$3,'[1]TrialBalance (Quarter)'!$7:$7,0)),0)</f>
        <v>0</v>
      </c>
    </row>
    <row r="1227" spans="1:14">
      <c r="A1227" s="2">
        <v>36</v>
      </c>
      <c r="B1227" s="3">
        <v>742110</v>
      </c>
      <c r="C1227" s="1" t="s">
        <v>1004</v>
      </c>
      <c r="D1227" s="1" t="s">
        <v>11</v>
      </c>
      <c r="F1227" s="5" t="e">
        <f>IF(DataExtraction="Manual",SUMIF('[1]TrialBalance (YTD)'!$C:$C,B1227,'[1]TrialBalance (YTD)'!$E:$E),SUMIF('[1]TrialBalance (YTD)'!$G:$G,B1227,'[1]TrialBalance (YTD)'!$I:$I))</f>
        <v>#VALUE!</v>
      </c>
      <c r="G1227" s="5">
        <f>IFERROR(INDEX('[1]TrialBalance (YTD)'!$G:$S,MATCH([1]TBMapping!$C1229,'[1]TrialBalance (YTD)'!G:G,0),MATCH([1]TBMapping!H$3,'[1]TrialBalance (YTD)'!$G$7:$Z$7,0)),0)</f>
        <v>0</v>
      </c>
      <c r="H1227" s="5" t="e">
        <f>SUMIF('[1]TrialBalance (YTD)'!G:G,B1227,'[1]TrialBalance (YTD)'!H:H)</f>
        <v>#VALUE!</v>
      </c>
      <c r="I1227" s="5">
        <f>IFERROR(INDEX('[1]TrialBalance (YTD)'!$G:$S,MATCH([1]TBMapping!$C1229,'[1]TrialBalance (YTD)'!G:G,0),MATCH([1]TBMapping!J$3,'[1]TrialBalance (YTD)'!$G$7:$Z$7,0)),0)</f>
        <v>0</v>
      </c>
      <c r="K1227" s="5" t="e">
        <f>SUMIF('[1]TrialBalance (Quarter)'!$A:$A,B1227,'[1]TrialBalance (Quarter)'!$B:$B)</f>
        <v>#VALUE!</v>
      </c>
      <c r="L1227" s="5">
        <f>IFERROR(INDEX('[1]TrialBalance (Quarter)'!$A:$L,MATCH([1]TBMapping!$C1229,'[1]TrialBalance (Quarter)'!A:A,0),MATCH([1]TBMapping!M$3,'[1]TrialBalance (Quarter)'!$7:$7,0)),0)</f>
        <v>0</v>
      </c>
      <c r="M1227" s="5">
        <f>IFERROR(INDEX('[1]TrialBalance (Quarter)'!$A:$L,MATCH([1]TBMapping!$C1229,'[1]TrialBalance (Quarter)'!A:A,0),MATCH([1]TBMapping!N$3,'[1]TrialBalance (Quarter)'!$7:$7,0)),0)</f>
        <v>0</v>
      </c>
      <c r="N1227" s="5">
        <f>IFERROR(INDEX('[1]TrialBalance (Quarter)'!$A:$L,MATCH([1]TBMapping!$C1229,'[1]TrialBalance (Quarter)'!A:A,0),MATCH([1]TBMapping!O$3,'[1]TrialBalance (Quarter)'!$7:$7,0)),0)</f>
        <v>0</v>
      </c>
    </row>
    <row r="1228" spans="1:14">
      <c r="A1228" s="2">
        <v>36</v>
      </c>
      <c r="B1228" s="3">
        <v>742120</v>
      </c>
      <c r="C1228" s="1" t="s">
        <v>1005</v>
      </c>
      <c r="D1228" s="1" t="s">
        <v>16</v>
      </c>
      <c r="F1228" s="5" t="e">
        <f>IF(DataExtraction="Manual",SUMIF('[1]TrialBalance (YTD)'!$C:$C,B1228,'[1]TrialBalance (YTD)'!$E:$E),SUMIF('[1]TrialBalance (YTD)'!$G:$G,B1228,'[1]TrialBalance (YTD)'!$I:$I))</f>
        <v>#VALUE!</v>
      </c>
      <c r="G1228" s="5">
        <f>IFERROR(INDEX('[1]TrialBalance (YTD)'!$G:$S,MATCH([1]TBMapping!$C1230,'[1]TrialBalance (YTD)'!G:G,0),MATCH([1]TBMapping!H$3,'[1]TrialBalance (YTD)'!$G$7:$Z$7,0)),0)</f>
        <v>0</v>
      </c>
      <c r="H1228" s="5" t="e">
        <f>SUMIF('[1]TrialBalance (YTD)'!G:G,B1228,'[1]TrialBalance (YTD)'!H:H)</f>
        <v>#VALUE!</v>
      </c>
      <c r="I1228" s="5">
        <f>IFERROR(INDEX('[1]TrialBalance (YTD)'!$G:$S,MATCH([1]TBMapping!$C1230,'[1]TrialBalance (YTD)'!G:G,0),MATCH([1]TBMapping!J$3,'[1]TrialBalance (YTD)'!$G$7:$Z$7,0)),0)</f>
        <v>0</v>
      </c>
      <c r="K1228" s="5" t="e">
        <f>SUMIF('[1]TrialBalance (Quarter)'!$A:$A,B1228,'[1]TrialBalance (Quarter)'!$B:$B)</f>
        <v>#VALUE!</v>
      </c>
      <c r="L1228" s="5">
        <f>IFERROR(INDEX('[1]TrialBalance (Quarter)'!$A:$L,MATCH([1]TBMapping!$C1230,'[1]TrialBalance (Quarter)'!A:A,0),MATCH([1]TBMapping!M$3,'[1]TrialBalance (Quarter)'!$7:$7,0)),0)</f>
        <v>0</v>
      </c>
      <c r="M1228" s="5">
        <f>IFERROR(INDEX('[1]TrialBalance (Quarter)'!$A:$L,MATCH([1]TBMapping!$C1230,'[1]TrialBalance (Quarter)'!A:A,0),MATCH([1]TBMapping!N$3,'[1]TrialBalance (Quarter)'!$7:$7,0)),0)</f>
        <v>0</v>
      </c>
      <c r="N1228" s="5">
        <f>IFERROR(INDEX('[1]TrialBalance (Quarter)'!$A:$L,MATCH([1]TBMapping!$C1230,'[1]TrialBalance (Quarter)'!A:A,0),MATCH([1]TBMapping!O$3,'[1]TrialBalance (Quarter)'!$7:$7,0)),0)</f>
        <v>0</v>
      </c>
    </row>
    <row r="1229" spans="1:14">
      <c r="A1229" s="2">
        <v>36</v>
      </c>
      <c r="B1229" s="3">
        <v>742200</v>
      </c>
      <c r="C1229" s="1" t="s">
        <v>1006</v>
      </c>
      <c r="D1229" s="1" t="s">
        <v>5</v>
      </c>
      <c r="F1229" s="5" t="e">
        <f>IF(DataExtraction="Manual",SUMIF('[1]TrialBalance (YTD)'!$C:$C,B1229,'[1]TrialBalance (YTD)'!$E:$E),SUMIF('[1]TrialBalance (YTD)'!$G:$G,B1229,'[1]TrialBalance (YTD)'!$I:$I))</f>
        <v>#VALUE!</v>
      </c>
      <c r="G1229" s="5">
        <f>IFERROR(INDEX('[1]TrialBalance (YTD)'!$G:$S,MATCH([1]TBMapping!$C1231,'[1]TrialBalance (YTD)'!G:G,0),MATCH([1]TBMapping!H$3,'[1]TrialBalance (YTD)'!$G$7:$Z$7,0)),0)</f>
        <v>0</v>
      </c>
      <c r="H1229" s="5" t="e">
        <f>SUMIF('[1]TrialBalance (YTD)'!G:G,B1229,'[1]TrialBalance (YTD)'!H:H)</f>
        <v>#VALUE!</v>
      </c>
      <c r="I1229" s="5">
        <f>IFERROR(INDEX('[1]TrialBalance (YTD)'!$G:$S,MATCH([1]TBMapping!$C1231,'[1]TrialBalance (YTD)'!G:G,0),MATCH([1]TBMapping!J$3,'[1]TrialBalance (YTD)'!$G$7:$Z$7,0)),0)</f>
        <v>0</v>
      </c>
      <c r="K1229" s="5" t="e">
        <f>SUMIF('[1]TrialBalance (Quarter)'!$A:$A,B1229,'[1]TrialBalance (Quarter)'!$B:$B)</f>
        <v>#VALUE!</v>
      </c>
      <c r="L1229" s="5">
        <f>IFERROR(INDEX('[1]TrialBalance (Quarter)'!$A:$L,MATCH([1]TBMapping!$C1231,'[1]TrialBalance (Quarter)'!A:A,0),MATCH([1]TBMapping!M$3,'[1]TrialBalance (Quarter)'!$7:$7,0)),0)</f>
        <v>0</v>
      </c>
      <c r="M1229" s="5">
        <f>IFERROR(INDEX('[1]TrialBalance (Quarter)'!$A:$L,MATCH([1]TBMapping!$C1231,'[1]TrialBalance (Quarter)'!A:A,0),MATCH([1]TBMapping!N$3,'[1]TrialBalance (Quarter)'!$7:$7,0)),0)</f>
        <v>0</v>
      </c>
      <c r="N1229" s="5">
        <f>IFERROR(INDEX('[1]TrialBalance (Quarter)'!$A:$L,MATCH([1]TBMapping!$C1231,'[1]TrialBalance (Quarter)'!A:A,0),MATCH([1]TBMapping!O$3,'[1]TrialBalance (Quarter)'!$7:$7,0)),0)</f>
        <v>0</v>
      </c>
    </row>
    <row r="1230" spans="1:14">
      <c r="B1230" s="3">
        <v>742999</v>
      </c>
      <c r="C1230" s="1" t="s">
        <v>1007</v>
      </c>
      <c r="D1230" s="1" t="s">
        <v>11</v>
      </c>
      <c r="F1230" s="5" t="e">
        <f>IF(DataExtraction="Manual",SUMIF('[1]TrialBalance (YTD)'!$C:$C,B1230,'[1]TrialBalance (YTD)'!$E:$E),SUMIF('[1]TrialBalance (YTD)'!$G:$G,B1230,'[1]TrialBalance (YTD)'!$I:$I))</f>
        <v>#VALUE!</v>
      </c>
      <c r="G1230" s="5">
        <f>IFERROR(INDEX('[1]TrialBalance (YTD)'!$G:$S,MATCH([1]TBMapping!$C1232,'[1]TrialBalance (YTD)'!G:G,0),MATCH([1]TBMapping!H$3,'[1]TrialBalance (YTD)'!$G$7:$Z$7,0)),0)</f>
        <v>0</v>
      </c>
      <c r="H1230" s="5" t="e">
        <f>SUMIF('[1]TrialBalance (YTD)'!G:G,B1230,'[1]TrialBalance (YTD)'!H:H)</f>
        <v>#VALUE!</v>
      </c>
      <c r="I1230" s="5">
        <f>IFERROR(INDEX('[1]TrialBalance (YTD)'!$G:$S,MATCH([1]TBMapping!$C1232,'[1]TrialBalance (YTD)'!G:G,0),MATCH([1]TBMapping!J$3,'[1]TrialBalance (YTD)'!$G$7:$Z$7,0)),0)</f>
        <v>-424917.4</v>
      </c>
      <c r="K1230" s="5" t="e">
        <f>SUMIF('[1]TrialBalance (Quarter)'!$A:$A,B1230,'[1]TrialBalance (Quarter)'!$B:$B)</f>
        <v>#VALUE!</v>
      </c>
      <c r="L1230" s="5">
        <f>IFERROR(INDEX('[1]TrialBalance (Quarter)'!$A:$L,MATCH([1]TBMapping!$C1232,'[1]TrialBalance (Quarter)'!A:A,0),MATCH([1]TBMapping!M$3,'[1]TrialBalance (Quarter)'!$7:$7,0)),0)</f>
        <v>0</v>
      </c>
      <c r="M1230" s="5">
        <f>IFERROR(INDEX('[1]TrialBalance (Quarter)'!$A:$L,MATCH([1]TBMapping!$C1232,'[1]TrialBalance (Quarter)'!A:A,0),MATCH([1]TBMapping!N$3,'[1]TrialBalance (Quarter)'!$7:$7,0)),0)</f>
        <v>0</v>
      </c>
      <c r="N1230" s="5">
        <f>IFERROR(INDEX('[1]TrialBalance (Quarter)'!$A:$L,MATCH([1]TBMapping!$C1232,'[1]TrialBalance (Quarter)'!A:A,0),MATCH([1]TBMapping!O$3,'[1]TrialBalance (Quarter)'!$7:$7,0)),0)</f>
        <v>0</v>
      </c>
    </row>
    <row r="1231" spans="1:14">
      <c r="B1231" s="3">
        <v>743000</v>
      </c>
      <c r="C1231" s="1" t="s">
        <v>1008</v>
      </c>
      <c r="D1231" s="1" t="s">
        <v>11</v>
      </c>
      <c r="F1231" s="5" t="e">
        <f>IF(DataExtraction="Manual",SUMIF('[1]TrialBalance (YTD)'!$C:$C,B1231,'[1]TrialBalance (YTD)'!$E:$E),SUMIF('[1]TrialBalance (YTD)'!$G:$G,B1231,'[1]TrialBalance (YTD)'!$I:$I))</f>
        <v>#VALUE!</v>
      </c>
      <c r="G1231" s="5">
        <f>IFERROR(INDEX('[1]TrialBalance (YTD)'!$G:$S,MATCH([1]TBMapping!$C1233,'[1]TrialBalance (YTD)'!G:G,0),MATCH([1]TBMapping!H$3,'[1]TrialBalance (YTD)'!$G$7:$Z$7,0)),0)</f>
        <v>0</v>
      </c>
      <c r="H1231" s="5" t="e">
        <f>SUMIF('[1]TrialBalance (YTD)'!G:G,B1231,'[1]TrialBalance (YTD)'!H:H)</f>
        <v>#VALUE!</v>
      </c>
      <c r="I1231" s="5">
        <f>IFERROR(INDEX('[1]TrialBalance (YTD)'!$G:$S,MATCH([1]TBMapping!$C1233,'[1]TrialBalance (YTD)'!G:G,0),MATCH([1]TBMapping!J$3,'[1]TrialBalance (YTD)'!$G$7:$Z$7,0)),0)</f>
        <v>0</v>
      </c>
      <c r="K1231" s="5" t="e">
        <f>SUMIF('[1]TrialBalance (Quarter)'!$A:$A,B1231,'[1]TrialBalance (Quarter)'!$B:$B)</f>
        <v>#VALUE!</v>
      </c>
      <c r="L1231" s="5">
        <f>IFERROR(INDEX('[1]TrialBalance (Quarter)'!$A:$L,MATCH([1]TBMapping!$C1233,'[1]TrialBalance (Quarter)'!A:A,0),MATCH([1]TBMapping!M$3,'[1]TrialBalance (Quarter)'!$7:$7,0)),0)</f>
        <v>0</v>
      </c>
      <c r="M1231" s="5">
        <f>IFERROR(INDEX('[1]TrialBalance (Quarter)'!$A:$L,MATCH([1]TBMapping!$C1233,'[1]TrialBalance (Quarter)'!A:A,0),MATCH([1]TBMapping!N$3,'[1]TrialBalance (Quarter)'!$7:$7,0)),0)</f>
        <v>0</v>
      </c>
      <c r="N1231" s="5">
        <f>IFERROR(INDEX('[1]TrialBalance (Quarter)'!$A:$L,MATCH([1]TBMapping!$C1233,'[1]TrialBalance (Quarter)'!A:A,0),MATCH([1]TBMapping!O$3,'[1]TrialBalance (Quarter)'!$7:$7,0)),0)</f>
        <v>0</v>
      </c>
    </row>
    <row r="1232" spans="1:14">
      <c r="A1232" s="2">
        <v>36</v>
      </c>
      <c r="B1232" s="3">
        <v>743100</v>
      </c>
      <c r="C1232" s="1" t="s">
        <v>1009</v>
      </c>
      <c r="D1232" s="1" t="s">
        <v>11</v>
      </c>
      <c r="F1232" s="5" t="e">
        <f>IF(DataExtraction="Manual",SUMIF('[1]TrialBalance (YTD)'!$C:$C,B1232,'[1]TrialBalance (YTD)'!$E:$E),SUMIF('[1]TrialBalance (YTD)'!$G:$G,B1232,'[1]TrialBalance (YTD)'!$I:$I))</f>
        <v>#VALUE!</v>
      </c>
      <c r="G1232" s="5">
        <f>IFERROR(INDEX('[1]TrialBalance (YTD)'!$G:$S,MATCH([1]TBMapping!$C1234,'[1]TrialBalance (YTD)'!G:G,0),MATCH([1]TBMapping!H$3,'[1]TrialBalance (YTD)'!$G$7:$Z$7,0)),0)</f>
        <v>0</v>
      </c>
      <c r="H1232" s="5" t="e">
        <f>SUMIF('[1]TrialBalance (YTD)'!G:G,B1232,'[1]TrialBalance (YTD)'!H:H)</f>
        <v>#VALUE!</v>
      </c>
      <c r="I1232" s="5">
        <f>IFERROR(INDEX('[1]TrialBalance (YTD)'!$G:$S,MATCH([1]TBMapping!$C1234,'[1]TrialBalance (YTD)'!G:G,0),MATCH([1]TBMapping!J$3,'[1]TrialBalance (YTD)'!$G$7:$Z$7,0)),0)</f>
        <v>0</v>
      </c>
      <c r="K1232" s="5" t="e">
        <f>SUMIF('[1]TrialBalance (Quarter)'!$A:$A,B1232,'[1]TrialBalance (Quarter)'!$B:$B)</f>
        <v>#VALUE!</v>
      </c>
      <c r="L1232" s="5">
        <f>IFERROR(INDEX('[1]TrialBalance (Quarter)'!$A:$L,MATCH([1]TBMapping!$C1234,'[1]TrialBalance (Quarter)'!A:A,0),MATCH([1]TBMapping!M$3,'[1]TrialBalance (Quarter)'!$7:$7,0)),0)</f>
        <v>0</v>
      </c>
      <c r="M1232" s="5">
        <f>IFERROR(INDEX('[1]TrialBalance (Quarter)'!$A:$L,MATCH([1]TBMapping!$C1234,'[1]TrialBalance (Quarter)'!A:A,0),MATCH([1]TBMapping!N$3,'[1]TrialBalance (Quarter)'!$7:$7,0)),0)</f>
        <v>0</v>
      </c>
      <c r="N1232" s="5">
        <f>IFERROR(INDEX('[1]TrialBalance (Quarter)'!$A:$L,MATCH([1]TBMapping!$C1234,'[1]TrialBalance (Quarter)'!A:A,0),MATCH([1]TBMapping!O$3,'[1]TrialBalance (Quarter)'!$7:$7,0)),0)</f>
        <v>0</v>
      </c>
    </row>
    <row r="1233" spans="1:14">
      <c r="A1233" s="2">
        <v>36</v>
      </c>
      <c r="B1233" s="3">
        <v>743110</v>
      </c>
      <c r="C1233" s="1" t="s">
        <v>1010</v>
      </c>
      <c r="D1233" s="1" t="s">
        <v>11</v>
      </c>
      <c r="F1233" s="5" t="e">
        <f>IF(DataExtraction="Manual",SUMIF('[1]TrialBalance (YTD)'!$C:$C,B1233,'[1]TrialBalance (YTD)'!$E:$E),SUMIF('[1]TrialBalance (YTD)'!$G:$G,B1233,'[1]TrialBalance (YTD)'!$I:$I))</f>
        <v>#VALUE!</v>
      </c>
      <c r="G1233" s="5">
        <f>IFERROR(INDEX('[1]TrialBalance (YTD)'!$G:$S,MATCH([1]TBMapping!$C1235,'[1]TrialBalance (YTD)'!G:G,0),MATCH([1]TBMapping!H$3,'[1]TrialBalance (YTD)'!$G$7:$Z$7,0)),0)</f>
        <v>0</v>
      </c>
      <c r="H1233" s="5" t="e">
        <f>SUMIF('[1]TrialBalance (YTD)'!G:G,B1233,'[1]TrialBalance (YTD)'!H:H)</f>
        <v>#VALUE!</v>
      </c>
      <c r="I1233" s="5">
        <f>IFERROR(INDEX('[1]TrialBalance (YTD)'!$G:$S,MATCH([1]TBMapping!$C1235,'[1]TrialBalance (YTD)'!G:G,0),MATCH([1]TBMapping!J$3,'[1]TrialBalance (YTD)'!$G$7:$Z$7,0)),0)</f>
        <v>0</v>
      </c>
      <c r="K1233" s="5" t="e">
        <f>SUMIF('[1]TrialBalance (Quarter)'!$A:$A,B1233,'[1]TrialBalance (Quarter)'!$B:$B)</f>
        <v>#VALUE!</v>
      </c>
      <c r="L1233" s="5">
        <f>IFERROR(INDEX('[1]TrialBalance (Quarter)'!$A:$L,MATCH([1]TBMapping!$C1235,'[1]TrialBalance (Quarter)'!A:A,0),MATCH([1]TBMapping!M$3,'[1]TrialBalance (Quarter)'!$7:$7,0)),0)</f>
        <v>0</v>
      </c>
      <c r="M1233" s="5">
        <f>IFERROR(INDEX('[1]TrialBalance (Quarter)'!$A:$L,MATCH([1]TBMapping!$C1235,'[1]TrialBalance (Quarter)'!A:A,0),MATCH([1]TBMapping!N$3,'[1]TrialBalance (Quarter)'!$7:$7,0)),0)</f>
        <v>0</v>
      </c>
      <c r="N1233" s="5">
        <f>IFERROR(INDEX('[1]TrialBalance (Quarter)'!$A:$L,MATCH([1]TBMapping!$C1235,'[1]TrialBalance (Quarter)'!A:A,0),MATCH([1]TBMapping!O$3,'[1]TrialBalance (Quarter)'!$7:$7,0)),0)</f>
        <v>0</v>
      </c>
    </row>
    <row r="1234" spans="1:14">
      <c r="A1234" s="2">
        <v>36</v>
      </c>
      <c r="B1234" s="3">
        <v>743120</v>
      </c>
      <c r="C1234" s="1" t="s">
        <v>1011</v>
      </c>
      <c r="D1234" s="1" t="s">
        <v>16</v>
      </c>
      <c r="F1234" s="5" t="e">
        <f>IF(DataExtraction="Manual",SUMIF('[1]TrialBalance (YTD)'!$C:$C,B1234,'[1]TrialBalance (YTD)'!$E:$E),SUMIF('[1]TrialBalance (YTD)'!$G:$G,B1234,'[1]TrialBalance (YTD)'!$I:$I))</f>
        <v>#VALUE!</v>
      </c>
      <c r="G1234" s="5">
        <f>IFERROR(INDEX('[1]TrialBalance (YTD)'!$G:$S,MATCH([1]TBMapping!$C1236,'[1]TrialBalance (YTD)'!G:G,0),MATCH([1]TBMapping!H$3,'[1]TrialBalance (YTD)'!$G$7:$Z$7,0)),0)</f>
        <v>0</v>
      </c>
      <c r="H1234" s="5" t="e">
        <f>SUMIF('[1]TrialBalance (YTD)'!G:G,B1234,'[1]TrialBalance (YTD)'!H:H)</f>
        <v>#VALUE!</v>
      </c>
      <c r="I1234" s="5">
        <f>IFERROR(INDEX('[1]TrialBalance (YTD)'!$G:$S,MATCH([1]TBMapping!$C1236,'[1]TrialBalance (YTD)'!G:G,0),MATCH([1]TBMapping!J$3,'[1]TrialBalance (YTD)'!$G$7:$Z$7,0)),0)</f>
        <v>0</v>
      </c>
      <c r="K1234" s="5" t="e">
        <f>SUMIF('[1]TrialBalance (Quarter)'!$A:$A,B1234,'[1]TrialBalance (Quarter)'!$B:$B)</f>
        <v>#VALUE!</v>
      </c>
      <c r="L1234" s="5">
        <f>IFERROR(INDEX('[1]TrialBalance (Quarter)'!$A:$L,MATCH([1]TBMapping!$C1236,'[1]TrialBalance (Quarter)'!A:A,0),MATCH([1]TBMapping!M$3,'[1]TrialBalance (Quarter)'!$7:$7,0)),0)</f>
        <v>0</v>
      </c>
      <c r="M1234" s="5">
        <f>IFERROR(INDEX('[1]TrialBalance (Quarter)'!$A:$L,MATCH([1]TBMapping!$C1236,'[1]TrialBalance (Quarter)'!A:A,0),MATCH([1]TBMapping!N$3,'[1]TrialBalance (Quarter)'!$7:$7,0)),0)</f>
        <v>0</v>
      </c>
      <c r="N1234" s="5">
        <f>IFERROR(INDEX('[1]TrialBalance (Quarter)'!$A:$L,MATCH([1]TBMapping!$C1236,'[1]TrialBalance (Quarter)'!A:A,0),MATCH([1]TBMapping!O$3,'[1]TrialBalance (Quarter)'!$7:$7,0)),0)</f>
        <v>0</v>
      </c>
    </row>
    <row r="1235" spans="1:14">
      <c r="A1235" s="2">
        <v>36</v>
      </c>
      <c r="B1235" s="3">
        <v>743200</v>
      </c>
      <c r="C1235" s="1" t="s">
        <v>1012</v>
      </c>
      <c r="D1235" s="1" t="s">
        <v>5</v>
      </c>
      <c r="F1235" s="5" t="e">
        <f>IF(DataExtraction="Manual",SUMIF('[1]TrialBalance (YTD)'!$C:$C,B1235,'[1]TrialBalance (YTD)'!$E:$E),SUMIF('[1]TrialBalance (YTD)'!$G:$G,B1235,'[1]TrialBalance (YTD)'!$I:$I))</f>
        <v>#VALUE!</v>
      </c>
      <c r="G1235" s="5">
        <f>IFERROR(INDEX('[1]TrialBalance (YTD)'!$G:$S,MATCH([1]TBMapping!$C1237,'[1]TrialBalance (YTD)'!G:G,0),MATCH([1]TBMapping!H$3,'[1]TrialBalance (YTD)'!$G$7:$Z$7,0)),0)</f>
        <v>0</v>
      </c>
      <c r="H1235" s="5" t="e">
        <f>SUMIF('[1]TrialBalance (YTD)'!G:G,B1235,'[1]TrialBalance (YTD)'!H:H)</f>
        <v>#VALUE!</v>
      </c>
      <c r="I1235" s="5">
        <f>IFERROR(INDEX('[1]TrialBalance (YTD)'!$G:$S,MATCH([1]TBMapping!$C1237,'[1]TrialBalance (YTD)'!G:G,0),MATCH([1]TBMapping!J$3,'[1]TrialBalance (YTD)'!$G$7:$Z$7,0)),0)</f>
        <v>0</v>
      </c>
      <c r="K1235" s="5" t="e">
        <f>SUMIF('[1]TrialBalance (Quarter)'!$A:$A,B1235,'[1]TrialBalance (Quarter)'!$B:$B)</f>
        <v>#VALUE!</v>
      </c>
      <c r="L1235" s="5">
        <f>IFERROR(INDEX('[1]TrialBalance (Quarter)'!$A:$L,MATCH([1]TBMapping!$C1237,'[1]TrialBalance (Quarter)'!A:A,0),MATCH([1]TBMapping!M$3,'[1]TrialBalance (Quarter)'!$7:$7,0)),0)</f>
        <v>0</v>
      </c>
      <c r="M1235" s="5">
        <f>IFERROR(INDEX('[1]TrialBalance (Quarter)'!$A:$L,MATCH([1]TBMapping!$C1237,'[1]TrialBalance (Quarter)'!A:A,0),MATCH([1]TBMapping!N$3,'[1]TrialBalance (Quarter)'!$7:$7,0)),0)</f>
        <v>0</v>
      </c>
      <c r="N1235" s="5">
        <f>IFERROR(INDEX('[1]TrialBalance (Quarter)'!$A:$L,MATCH([1]TBMapping!$C1237,'[1]TrialBalance (Quarter)'!A:A,0),MATCH([1]TBMapping!O$3,'[1]TrialBalance (Quarter)'!$7:$7,0)),0)</f>
        <v>0</v>
      </c>
    </row>
    <row r="1236" spans="1:14">
      <c r="B1236" s="3">
        <v>743999</v>
      </c>
      <c r="C1236" s="1" t="s">
        <v>1013</v>
      </c>
      <c r="D1236" s="1" t="s">
        <v>11</v>
      </c>
      <c r="F1236" s="5" t="e">
        <f>IF(DataExtraction="Manual",SUMIF('[1]TrialBalance (YTD)'!$C:$C,B1236,'[1]TrialBalance (YTD)'!$E:$E),SUMIF('[1]TrialBalance (YTD)'!$G:$G,B1236,'[1]TrialBalance (YTD)'!$I:$I))</f>
        <v>#VALUE!</v>
      </c>
      <c r="G1236" s="5">
        <f>IFERROR(INDEX('[1]TrialBalance (YTD)'!$G:$S,MATCH([1]TBMapping!$C1238,'[1]TrialBalance (YTD)'!G:G,0),MATCH([1]TBMapping!H$3,'[1]TrialBalance (YTD)'!$G$7:$Z$7,0)),0)</f>
        <v>0</v>
      </c>
      <c r="H1236" s="5" t="e">
        <f>SUMIF('[1]TrialBalance (YTD)'!G:G,B1236,'[1]TrialBalance (YTD)'!H:H)</f>
        <v>#VALUE!</v>
      </c>
      <c r="I1236" s="5">
        <f>IFERROR(INDEX('[1]TrialBalance (YTD)'!$G:$S,MATCH([1]TBMapping!$C1238,'[1]TrialBalance (YTD)'!G:G,0),MATCH([1]TBMapping!J$3,'[1]TrialBalance (YTD)'!$G$7:$Z$7,0)),0)</f>
        <v>0</v>
      </c>
      <c r="K1236" s="5" t="e">
        <f>SUMIF('[1]TrialBalance (Quarter)'!$A:$A,B1236,'[1]TrialBalance (Quarter)'!$B:$B)</f>
        <v>#VALUE!</v>
      </c>
      <c r="L1236" s="5">
        <f>IFERROR(INDEX('[1]TrialBalance (Quarter)'!$A:$L,MATCH([1]TBMapping!$C1238,'[1]TrialBalance (Quarter)'!A:A,0),MATCH([1]TBMapping!M$3,'[1]TrialBalance (Quarter)'!$7:$7,0)),0)</f>
        <v>0</v>
      </c>
      <c r="M1236" s="5">
        <f>IFERROR(INDEX('[1]TrialBalance (Quarter)'!$A:$L,MATCH([1]TBMapping!$C1238,'[1]TrialBalance (Quarter)'!A:A,0),MATCH([1]TBMapping!N$3,'[1]TrialBalance (Quarter)'!$7:$7,0)),0)</f>
        <v>0</v>
      </c>
      <c r="N1236" s="5">
        <f>IFERROR(INDEX('[1]TrialBalance (Quarter)'!$A:$L,MATCH([1]TBMapping!$C1238,'[1]TrialBalance (Quarter)'!A:A,0),MATCH([1]TBMapping!O$3,'[1]TrialBalance (Quarter)'!$7:$7,0)),0)</f>
        <v>0</v>
      </c>
    </row>
    <row r="1237" spans="1:14">
      <c r="B1237" s="3">
        <v>744000</v>
      </c>
      <c r="C1237" s="1" t="s">
        <v>1014</v>
      </c>
      <c r="D1237" s="1" t="s">
        <v>11</v>
      </c>
      <c r="F1237" s="5" t="e">
        <f>IF(DataExtraction="Manual",SUMIF('[1]TrialBalance (YTD)'!$C:$C,B1237,'[1]TrialBalance (YTD)'!$E:$E),SUMIF('[1]TrialBalance (YTD)'!$G:$G,B1237,'[1]TrialBalance (YTD)'!$I:$I))</f>
        <v>#VALUE!</v>
      </c>
      <c r="G1237" s="5">
        <f>IFERROR(INDEX('[1]TrialBalance (YTD)'!$G:$S,MATCH([1]TBMapping!$C1239,'[1]TrialBalance (YTD)'!G:G,0),MATCH([1]TBMapping!H$3,'[1]TrialBalance (YTD)'!$G$7:$Z$7,0)),0)</f>
        <v>0</v>
      </c>
      <c r="H1237" s="5" t="e">
        <f>SUMIF('[1]TrialBalance (YTD)'!G:G,B1237,'[1]TrialBalance (YTD)'!H:H)</f>
        <v>#VALUE!</v>
      </c>
      <c r="I1237" s="5">
        <f>IFERROR(INDEX('[1]TrialBalance (YTD)'!$G:$S,MATCH([1]TBMapping!$C1239,'[1]TrialBalance (YTD)'!G:G,0),MATCH([1]TBMapping!J$3,'[1]TrialBalance (YTD)'!$G$7:$Z$7,0)),0)</f>
        <v>0</v>
      </c>
      <c r="K1237" s="5" t="e">
        <f>SUMIF('[1]TrialBalance (Quarter)'!$A:$A,B1237,'[1]TrialBalance (Quarter)'!$B:$B)</f>
        <v>#VALUE!</v>
      </c>
      <c r="L1237" s="5">
        <f>IFERROR(INDEX('[1]TrialBalance (Quarter)'!$A:$L,MATCH([1]TBMapping!$C1239,'[1]TrialBalance (Quarter)'!A:A,0),MATCH([1]TBMapping!M$3,'[1]TrialBalance (Quarter)'!$7:$7,0)),0)</f>
        <v>0</v>
      </c>
      <c r="M1237" s="5">
        <f>IFERROR(INDEX('[1]TrialBalance (Quarter)'!$A:$L,MATCH([1]TBMapping!$C1239,'[1]TrialBalance (Quarter)'!A:A,0),MATCH([1]TBMapping!N$3,'[1]TrialBalance (Quarter)'!$7:$7,0)),0)</f>
        <v>0</v>
      </c>
      <c r="N1237" s="5">
        <f>IFERROR(INDEX('[1]TrialBalance (Quarter)'!$A:$L,MATCH([1]TBMapping!$C1239,'[1]TrialBalance (Quarter)'!A:A,0),MATCH([1]TBMapping!O$3,'[1]TrialBalance (Quarter)'!$7:$7,0)),0)</f>
        <v>0</v>
      </c>
    </row>
    <row r="1238" spans="1:14">
      <c r="A1238" s="2">
        <v>36</v>
      </c>
      <c r="B1238" s="3">
        <v>744100</v>
      </c>
      <c r="C1238" s="1" t="s">
        <v>1015</v>
      </c>
      <c r="D1238" s="1" t="s">
        <v>11</v>
      </c>
      <c r="F1238" s="5" t="e">
        <f>IF(DataExtraction="Manual",SUMIF('[1]TrialBalance (YTD)'!$C:$C,B1238,'[1]TrialBalance (YTD)'!$E:$E),SUMIF('[1]TrialBalance (YTD)'!$G:$G,B1238,'[1]TrialBalance (YTD)'!$I:$I))</f>
        <v>#VALUE!</v>
      </c>
      <c r="G1238" s="5">
        <f>IFERROR(INDEX('[1]TrialBalance (YTD)'!$G:$S,MATCH([1]TBMapping!$C1240,'[1]TrialBalance (YTD)'!G:G,0),MATCH([1]TBMapping!H$3,'[1]TrialBalance (YTD)'!$G$7:$Z$7,0)),0)</f>
        <v>0</v>
      </c>
      <c r="H1238" s="5" t="e">
        <f>SUMIF('[1]TrialBalance (YTD)'!G:G,B1238,'[1]TrialBalance (YTD)'!H:H)</f>
        <v>#VALUE!</v>
      </c>
      <c r="I1238" s="5">
        <f>IFERROR(INDEX('[1]TrialBalance (YTD)'!$G:$S,MATCH([1]TBMapping!$C1240,'[1]TrialBalance (YTD)'!G:G,0),MATCH([1]TBMapping!J$3,'[1]TrialBalance (YTD)'!$G$7:$Z$7,0)),0)</f>
        <v>0</v>
      </c>
      <c r="K1238" s="5" t="e">
        <f>SUMIF('[1]TrialBalance (Quarter)'!$A:$A,B1238,'[1]TrialBalance (Quarter)'!$B:$B)</f>
        <v>#VALUE!</v>
      </c>
      <c r="L1238" s="5">
        <f>IFERROR(INDEX('[1]TrialBalance (Quarter)'!$A:$L,MATCH([1]TBMapping!$C1240,'[1]TrialBalance (Quarter)'!A:A,0),MATCH([1]TBMapping!M$3,'[1]TrialBalance (Quarter)'!$7:$7,0)),0)</f>
        <v>0</v>
      </c>
      <c r="M1238" s="5">
        <f>IFERROR(INDEX('[1]TrialBalance (Quarter)'!$A:$L,MATCH([1]TBMapping!$C1240,'[1]TrialBalance (Quarter)'!A:A,0),MATCH([1]TBMapping!N$3,'[1]TrialBalance (Quarter)'!$7:$7,0)),0)</f>
        <v>0</v>
      </c>
      <c r="N1238" s="5">
        <f>IFERROR(INDEX('[1]TrialBalance (Quarter)'!$A:$L,MATCH([1]TBMapping!$C1240,'[1]TrialBalance (Quarter)'!A:A,0),MATCH([1]TBMapping!O$3,'[1]TrialBalance (Quarter)'!$7:$7,0)),0)</f>
        <v>0</v>
      </c>
    </row>
    <row r="1239" spans="1:14">
      <c r="A1239" s="2">
        <v>36</v>
      </c>
      <c r="B1239" s="3">
        <v>744110</v>
      </c>
      <c r="C1239" s="1" t="s">
        <v>1016</v>
      </c>
      <c r="D1239" s="1" t="s">
        <v>11</v>
      </c>
      <c r="F1239" s="5" t="e">
        <f>IF(DataExtraction="Manual",SUMIF('[1]TrialBalance (YTD)'!$C:$C,B1239,'[1]TrialBalance (YTD)'!$E:$E),SUMIF('[1]TrialBalance (YTD)'!$G:$G,B1239,'[1]TrialBalance (YTD)'!$I:$I))</f>
        <v>#VALUE!</v>
      </c>
      <c r="G1239" s="5">
        <f>IFERROR(INDEX('[1]TrialBalance (YTD)'!$G:$S,MATCH([1]TBMapping!$C1241,'[1]TrialBalance (YTD)'!G:G,0),MATCH([1]TBMapping!H$3,'[1]TrialBalance (YTD)'!$G$7:$Z$7,0)),0)</f>
        <v>0</v>
      </c>
      <c r="H1239" s="5" t="e">
        <f>SUMIF('[1]TrialBalance (YTD)'!G:G,B1239,'[1]TrialBalance (YTD)'!H:H)</f>
        <v>#VALUE!</v>
      </c>
      <c r="I1239" s="5">
        <f>IFERROR(INDEX('[1]TrialBalance (YTD)'!$G:$S,MATCH([1]TBMapping!$C1241,'[1]TrialBalance (YTD)'!G:G,0),MATCH([1]TBMapping!J$3,'[1]TrialBalance (YTD)'!$G$7:$Z$7,0)),0)</f>
        <v>0</v>
      </c>
      <c r="K1239" s="5" t="e">
        <f>SUMIF('[1]TrialBalance (Quarter)'!$A:$A,B1239,'[1]TrialBalance (Quarter)'!$B:$B)</f>
        <v>#VALUE!</v>
      </c>
      <c r="L1239" s="5">
        <f>IFERROR(INDEX('[1]TrialBalance (Quarter)'!$A:$L,MATCH([1]TBMapping!$C1241,'[1]TrialBalance (Quarter)'!A:A,0),MATCH([1]TBMapping!M$3,'[1]TrialBalance (Quarter)'!$7:$7,0)),0)</f>
        <v>0</v>
      </c>
      <c r="M1239" s="5">
        <f>IFERROR(INDEX('[1]TrialBalance (Quarter)'!$A:$L,MATCH([1]TBMapping!$C1241,'[1]TrialBalance (Quarter)'!A:A,0),MATCH([1]TBMapping!N$3,'[1]TrialBalance (Quarter)'!$7:$7,0)),0)</f>
        <v>0</v>
      </c>
      <c r="N1239" s="5">
        <f>IFERROR(INDEX('[1]TrialBalance (Quarter)'!$A:$L,MATCH([1]TBMapping!$C1241,'[1]TrialBalance (Quarter)'!A:A,0),MATCH([1]TBMapping!O$3,'[1]TrialBalance (Quarter)'!$7:$7,0)),0)</f>
        <v>0</v>
      </c>
    </row>
    <row r="1240" spans="1:14">
      <c r="A1240" s="2">
        <v>36</v>
      </c>
      <c r="B1240" s="3">
        <v>744120</v>
      </c>
      <c r="C1240" s="1" t="s">
        <v>1017</v>
      </c>
      <c r="D1240" s="1" t="s">
        <v>16</v>
      </c>
      <c r="F1240" s="5" t="e">
        <f>IF(DataExtraction="Manual",SUMIF('[1]TrialBalance (YTD)'!$C:$C,B1240,'[1]TrialBalance (YTD)'!$E:$E),SUMIF('[1]TrialBalance (YTD)'!$G:$G,B1240,'[1]TrialBalance (YTD)'!$I:$I))</f>
        <v>#VALUE!</v>
      </c>
      <c r="G1240" s="5">
        <f>IFERROR(INDEX('[1]TrialBalance (YTD)'!$G:$S,MATCH([1]TBMapping!$C1242,'[1]TrialBalance (YTD)'!G:G,0),MATCH([1]TBMapping!H$3,'[1]TrialBalance (YTD)'!$G$7:$Z$7,0)),0)</f>
        <v>0</v>
      </c>
      <c r="H1240" s="5" t="e">
        <f>SUMIF('[1]TrialBalance (YTD)'!G:G,B1240,'[1]TrialBalance (YTD)'!H:H)</f>
        <v>#VALUE!</v>
      </c>
      <c r="I1240" s="5">
        <f>IFERROR(INDEX('[1]TrialBalance (YTD)'!$G:$S,MATCH([1]TBMapping!$C1242,'[1]TrialBalance (YTD)'!G:G,0),MATCH([1]TBMapping!J$3,'[1]TrialBalance (YTD)'!$G$7:$Z$7,0)),0)</f>
        <v>0</v>
      </c>
      <c r="K1240" s="5" t="e">
        <f>SUMIF('[1]TrialBalance (Quarter)'!$A:$A,B1240,'[1]TrialBalance (Quarter)'!$B:$B)</f>
        <v>#VALUE!</v>
      </c>
      <c r="L1240" s="5">
        <f>IFERROR(INDEX('[1]TrialBalance (Quarter)'!$A:$L,MATCH([1]TBMapping!$C1242,'[1]TrialBalance (Quarter)'!A:A,0),MATCH([1]TBMapping!M$3,'[1]TrialBalance (Quarter)'!$7:$7,0)),0)</f>
        <v>0</v>
      </c>
      <c r="M1240" s="5">
        <f>IFERROR(INDEX('[1]TrialBalance (Quarter)'!$A:$L,MATCH([1]TBMapping!$C1242,'[1]TrialBalance (Quarter)'!A:A,0),MATCH([1]TBMapping!N$3,'[1]TrialBalance (Quarter)'!$7:$7,0)),0)</f>
        <v>0</v>
      </c>
      <c r="N1240" s="5">
        <f>IFERROR(INDEX('[1]TrialBalance (Quarter)'!$A:$L,MATCH([1]TBMapping!$C1242,'[1]TrialBalance (Quarter)'!A:A,0),MATCH([1]TBMapping!O$3,'[1]TrialBalance (Quarter)'!$7:$7,0)),0)</f>
        <v>0</v>
      </c>
    </row>
    <row r="1241" spans="1:14">
      <c r="A1241" s="2">
        <v>36</v>
      </c>
      <c r="B1241" s="3">
        <v>744200</v>
      </c>
      <c r="C1241" s="1" t="s">
        <v>1018</v>
      </c>
      <c r="D1241" s="1" t="s">
        <v>16</v>
      </c>
      <c r="F1241" s="5" t="e">
        <f>IF(DataExtraction="Manual",SUMIF('[1]TrialBalance (YTD)'!$C:$C,B1241,'[1]TrialBalance (YTD)'!$E:$E),SUMIF('[1]TrialBalance (YTD)'!$G:$G,B1241,'[1]TrialBalance (YTD)'!$I:$I))</f>
        <v>#VALUE!</v>
      </c>
      <c r="G1241" s="5">
        <f>IFERROR(INDEX('[1]TrialBalance (YTD)'!$G:$S,MATCH([1]TBMapping!$C1243,'[1]TrialBalance (YTD)'!G:G,0),MATCH([1]TBMapping!H$3,'[1]TrialBalance (YTD)'!$G$7:$Z$7,0)),0)</f>
        <v>0</v>
      </c>
      <c r="H1241" s="5" t="e">
        <f>SUMIF('[1]TrialBalance (YTD)'!G:G,B1241,'[1]TrialBalance (YTD)'!H:H)</f>
        <v>#VALUE!</v>
      </c>
      <c r="I1241" s="5">
        <f>IFERROR(INDEX('[1]TrialBalance (YTD)'!$G:$S,MATCH([1]TBMapping!$C1243,'[1]TrialBalance (YTD)'!G:G,0),MATCH([1]TBMapping!J$3,'[1]TrialBalance (YTD)'!$G$7:$Z$7,0)),0)</f>
        <v>0</v>
      </c>
      <c r="K1241" s="5" t="e">
        <f>SUMIF('[1]TrialBalance (Quarter)'!$A:$A,B1241,'[1]TrialBalance (Quarter)'!$B:$B)</f>
        <v>#VALUE!</v>
      </c>
      <c r="L1241" s="5">
        <f>IFERROR(INDEX('[1]TrialBalance (Quarter)'!$A:$L,MATCH([1]TBMapping!$C1243,'[1]TrialBalance (Quarter)'!A:A,0),MATCH([1]TBMapping!M$3,'[1]TrialBalance (Quarter)'!$7:$7,0)),0)</f>
        <v>0</v>
      </c>
      <c r="M1241" s="5">
        <f>IFERROR(INDEX('[1]TrialBalance (Quarter)'!$A:$L,MATCH([1]TBMapping!$C1243,'[1]TrialBalance (Quarter)'!A:A,0),MATCH([1]TBMapping!N$3,'[1]TrialBalance (Quarter)'!$7:$7,0)),0)</f>
        <v>0</v>
      </c>
      <c r="N1241" s="5">
        <f>IFERROR(INDEX('[1]TrialBalance (Quarter)'!$A:$L,MATCH([1]TBMapping!$C1243,'[1]TrialBalance (Quarter)'!A:A,0),MATCH([1]TBMapping!O$3,'[1]TrialBalance (Quarter)'!$7:$7,0)),0)</f>
        <v>0</v>
      </c>
    </row>
    <row r="1242" spans="1:14">
      <c r="B1242" s="3">
        <v>744999</v>
      </c>
      <c r="C1242" s="1" t="s">
        <v>1019</v>
      </c>
      <c r="D1242" s="1" t="s">
        <v>5</v>
      </c>
      <c r="F1242" s="5" t="e">
        <f>IF(DataExtraction="Manual",SUMIF('[1]TrialBalance (YTD)'!$C:$C,B1242,'[1]TrialBalance (YTD)'!$E:$E),SUMIF('[1]TrialBalance (YTD)'!$G:$G,B1242,'[1]TrialBalance (YTD)'!$I:$I))</f>
        <v>#VALUE!</v>
      </c>
      <c r="G1242" s="5">
        <f>IFERROR(INDEX('[1]TrialBalance (YTD)'!$G:$S,MATCH([1]TBMapping!$C1244,'[1]TrialBalance (YTD)'!G:G,0),MATCH([1]TBMapping!H$3,'[1]TrialBalance (YTD)'!$G$7:$Z$7,0)),0)</f>
        <v>0</v>
      </c>
      <c r="H1242" s="5" t="e">
        <f>SUMIF('[1]TrialBalance (YTD)'!G:G,B1242,'[1]TrialBalance (YTD)'!H:H)</f>
        <v>#VALUE!</v>
      </c>
      <c r="I1242" s="5">
        <f>IFERROR(INDEX('[1]TrialBalance (YTD)'!$G:$S,MATCH([1]TBMapping!$C1244,'[1]TrialBalance (YTD)'!G:G,0),MATCH([1]TBMapping!J$3,'[1]TrialBalance (YTD)'!$G$7:$Z$7,0)),0)</f>
        <v>0</v>
      </c>
      <c r="K1242" s="5" t="e">
        <f>SUMIF('[1]TrialBalance (Quarter)'!$A:$A,B1242,'[1]TrialBalance (Quarter)'!$B:$B)</f>
        <v>#VALUE!</v>
      </c>
      <c r="L1242" s="5">
        <f>IFERROR(INDEX('[1]TrialBalance (Quarter)'!$A:$L,MATCH([1]TBMapping!$C1244,'[1]TrialBalance (Quarter)'!A:A,0),MATCH([1]TBMapping!M$3,'[1]TrialBalance (Quarter)'!$7:$7,0)),0)</f>
        <v>0</v>
      </c>
      <c r="M1242" s="5">
        <f>IFERROR(INDEX('[1]TrialBalance (Quarter)'!$A:$L,MATCH([1]TBMapping!$C1244,'[1]TrialBalance (Quarter)'!A:A,0),MATCH([1]TBMapping!N$3,'[1]TrialBalance (Quarter)'!$7:$7,0)),0)</f>
        <v>0</v>
      </c>
      <c r="N1242" s="5">
        <f>IFERROR(INDEX('[1]TrialBalance (Quarter)'!$A:$L,MATCH([1]TBMapping!$C1244,'[1]TrialBalance (Quarter)'!A:A,0),MATCH([1]TBMapping!O$3,'[1]TrialBalance (Quarter)'!$7:$7,0)),0)</f>
        <v>0</v>
      </c>
    </row>
    <row r="1243" spans="1:14">
      <c r="B1243" s="3">
        <v>749999</v>
      </c>
      <c r="C1243" s="1" t="s">
        <v>1020</v>
      </c>
      <c r="D1243" s="1" t="s">
        <v>5</v>
      </c>
      <c r="F1243" s="5" t="e">
        <f>IF(DataExtraction="Manual",SUMIF('[1]TrialBalance (YTD)'!$C:$C,B1243,'[1]TrialBalance (YTD)'!$E:$E),SUMIF('[1]TrialBalance (YTD)'!$G:$G,B1243,'[1]TrialBalance (YTD)'!$I:$I))</f>
        <v>#VALUE!</v>
      </c>
      <c r="G1243" s="5">
        <f>IFERROR(INDEX('[1]TrialBalance (YTD)'!$G:$S,MATCH([1]TBMapping!$C1245,'[1]TrialBalance (YTD)'!G:G,0),MATCH([1]TBMapping!H$3,'[1]TrialBalance (YTD)'!$G$7:$Z$7,0)),0)</f>
        <v>0</v>
      </c>
      <c r="H1243" s="5" t="e">
        <f>SUMIF('[1]TrialBalance (YTD)'!G:G,B1243,'[1]TrialBalance (YTD)'!H:H)</f>
        <v>#VALUE!</v>
      </c>
      <c r="I1243" s="5">
        <f>IFERROR(INDEX('[1]TrialBalance (YTD)'!$G:$S,MATCH([1]TBMapping!$C1245,'[1]TrialBalance (YTD)'!G:G,0),MATCH([1]TBMapping!J$3,'[1]TrialBalance (YTD)'!$G$7:$Z$7,0)),0)</f>
        <v>0</v>
      </c>
      <c r="K1243" s="5" t="e">
        <f>SUMIF('[1]TrialBalance (Quarter)'!$A:$A,B1243,'[1]TrialBalance (Quarter)'!$B:$B)</f>
        <v>#VALUE!</v>
      </c>
      <c r="L1243" s="5">
        <f>IFERROR(INDEX('[1]TrialBalance (Quarter)'!$A:$L,MATCH([1]TBMapping!$C1245,'[1]TrialBalance (Quarter)'!A:A,0),MATCH([1]TBMapping!M$3,'[1]TrialBalance (Quarter)'!$7:$7,0)),0)</f>
        <v>0</v>
      </c>
      <c r="M1243" s="5">
        <f>IFERROR(INDEX('[1]TrialBalance (Quarter)'!$A:$L,MATCH([1]TBMapping!$C1245,'[1]TrialBalance (Quarter)'!A:A,0),MATCH([1]TBMapping!N$3,'[1]TrialBalance (Quarter)'!$7:$7,0)),0)</f>
        <v>0</v>
      </c>
      <c r="N1243" s="5">
        <f>IFERROR(INDEX('[1]TrialBalance (Quarter)'!$A:$L,MATCH([1]TBMapping!$C1245,'[1]TrialBalance (Quarter)'!A:A,0),MATCH([1]TBMapping!O$3,'[1]TrialBalance (Quarter)'!$7:$7,0)),0)</f>
        <v>0</v>
      </c>
    </row>
    <row r="1244" spans="1:14">
      <c r="B1244" s="3">
        <v>750000</v>
      </c>
      <c r="C1244" s="1" t="s">
        <v>1021</v>
      </c>
      <c r="D1244" s="1" t="s">
        <v>11</v>
      </c>
      <c r="F1244" s="5" t="e">
        <f>IF(DataExtraction="Manual",SUMIF('[1]TrialBalance (YTD)'!$C:$C,B1244,'[1]TrialBalance (YTD)'!$E:$E),SUMIF('[1]TrialBalance (YTD)'!$G:$G,B1244,'[1]TrialBalance (YTD)'!$I:$I))</f>
        <v>#VALUE!</v>
      </c>
      <c r="G1244" s="5">
        <f>IFERROR(INDEX('[1]TrialBalance (YTD)'!$G:$S,MATCH([1]TBMapping!$C1246,'[1]TrialBalance (YTD)'!G:G,0),MATCH([1]TBMapping!H$3,'[1]TrialBalance (YTD)'!$G$7:$Z$7,0)),0)</f>
        <v>0</v>
      </c>
      <c r="H1244" s="5" t="e">
        <f>SUMIF('[1]TrialBalance (YTD)'!G:G,B1244,'[1]TrialBalance (YTD)'!H:H)</f>
        <v>#VALUE!</v>
      </c>
      <c r="I1244" s="5">
        <f>IFERROR(INDEX('[1]TrialBalance (YTD)'!$G:$S,MATCH([1]TBMapping!$C1246,'[1]TrialBalance (YTD)'!G:G,0),MATCH([1]TBMapping!J$3,'[1]TrialBalance (YTD)'!$G$7:$Z$7,0)),0)</f>
        <v>0</v>
      </c>
      <c r="K1244" s="5" t="e">
        <f>SUMIF('[1]TrialBalance (Quarter)'!$A:$A,B1244,'[1]TrialBalance (Quarter)'!$B:$B)</f>
        <v>#VALUE!</v>
      </c>
      <c r="L1244" s="5">
        <f>IFERROR(INDEX('[1]TrialBalance (Quarter)'!$A:$L,MATCH([1]TBMapping!$C1246,'[1]TrialBalance (Quarter)'!A:A,0),MATCH([1]TBMapping!M$3,'[1]TrialBalance (Quarter)'!$7:$7,0)),0)</f>
        <v>0</v>
      </c>
      <c r="M1244" s="5">
        <f>IFERROR(INDEX('[1]TrialBalance (Quarter)'!$A:$L,MATCH([1]TBMapping!$C1246,'[1]TrialBalance (Quarter)'!A:A,0),MATCH([1]TBMapping!N$3,'[1]TrialBalance (Quarter)'!$7:$7,0)),0)</f>
        <v>0</v>
      </c>
      <c r="N1244" s="5">
        <f>IFERROR(INDEX('[1]TrialBalance (Quarter)'!$A:$L,MATCH([1]TBMapping!$C1246,'[1]TrialBalance (Quarter)'!A:A,0),MATCH([1]TBMapping!O$3,'[1]TrialBalance (Quarter)'!$7:$7,0)),0)</f>
        <v>0</v>
      </c>
    </row>
    <row r="1245" spans="1:14">
      <c r="B1245" s="3">
        <v>751000</v>
      </c>
      <c r="C1245" s="1" t="s">
        <v>1022</v>
      </c>
      <c r="D1245" s="1" t="s">
        <v>11</v>
      </c>
      <c r="F1245" s="5" t="e">
        <f>IF(DataExtraction="Manual",SUMIF('[1]TrialBalance (YTD)'!$C:$C,B1245,'[1]TrialBalance (YTD)'!$E:$E),SUMIF('[1]TrialBalance (YTD)'!$G:$G,B1245,'[1]TrialBalance (YTD)'!$I:$I))</f>
        <v>#VALUE!</v>
      </c>
      <c r="G1245" s="5">
        <f>IFERROR(INDEX('[1]TrialBalance (YTD)'!$G:$S,MATCH([1]TBMapping!$C1247,'[1]TrialBalance (YTD)'!G:G,0),MATCH([1]TBMapping!H$3,'[1]TrialBalance (YTD)'!$G$7:$Z$7,0)),0)</f>
        <v>0</v>
      </c>
      <c r="H1245" s="5" t="e">
        <f>SUMIF('[1]TrialBalance (YTD)'!G:G,B1245,'[1]TrialBalance (YTD)'!H:H)</f>
        <v>#VALUE!</v>
      </c>
      <c r="I1245" s="5">
        <f>IFERROR(INDEX('[1]TrialBalance (YTD)'!$G:$S,MATCH([1]TBMapping!$C1247,'[1]TrialBalance (YTD)'!G:G,0),MATCH([1]TBMapping!J$3,'[1]TrialBalance (YTD)'!$G$7:$Z$7,0)),0)</f>
        <v>0</v>
      </c>
      <c r="K1245" s="5" t="e">
        <f>SUMIF('[1]TrialBalance (Quarter)'!$A:$A,B1245,'[1]TrialBalance (Quarter)'!$B:$B)</f>
        <v>#VALUE!</v>
      </c>
      <c r="L1245" s="5">
        <f>IFERROR(INDEX('[1]TrialBalance (Quarter)'!$A:$L,MATCH([1]TBMapping!$C1247,'[1]TrialBalance (Quarter)'!A:A,0),MATCH([1]TBMapping!M$3,'[1]TrialBalance (Quarter)'!$7:$7,0)),0)</f>
        <v>0</v>
      </c>
      <c r="M1245" s="5">
        <f>IFERROR(INDEX('[1]TrialBalance (Quarter)'!$A:$L,MATCH([1]TBMapping!$C1247,'[1]TrialBalance (Quarter)'!A:A,0),MATCH([1]TBMapping!N$3,'[1]TrialBalance (Quarter)'!$7:$7,0)),0)</f>
        <v>0</v>
      </c>
      <c r="N1245" s="5">
        <f>IFERROR(INDEX('[1]TrialBalance (Quarter)'!$A:$L,MATCH([1]TBMapping!$C1247,'[1]TrialBalance (Quarter)'!A:A,0),MATCH([1]TBMapping!O$3,'[1]TrialBalance (Quarter)'!$7:$7,0)),0)</f>
        <v>0</v>
      </c>
    </row>
    <row r="1246" spans="1:14">
      <c r="A1246" s="2">
        <v>39</v>
      </c>
      <c r="B1246" s="3">
        <v>751100</v>
      </c>
      <c r="C1246" s="1" t="s">
        <v>1023</v>
      </c>
      <c r="D1246" s="1" t="s">
        <v>11</v>
      </c>
      <c r="F1246" s="5" t="e">
        <f>IF(DataExtraction="Manual",SUMIF('[1]TrialBalance (YTD)'!$C:$C,B1246,'[1]TrialBalance (YTD)'!$E:$E),SUMIF('[1]TrialBalance (YTD)'!$G:$G,B1246,'[1]TrialBalance (YTD)'!$I:$I))</f>
        <v>#VALUE!</v>
      </c>
      <c r="G1246" s="5">
        <f>IFERROR(INDEX('[1]TrialBalance (YTD)'!$G:$S,MATCH([1]TBMapping!$C1248,'[1]TrialBalance (YTD)'!G:G,0),MATCH([1]TBMapping!H$3,'[1]TrialBalance (YTD)'!$G$7:$Z$7,0)),0)</f>
        <v>0</v>
      </c>
      <c r="H1246" s="5" t="e">
        <f>SUMIF('[1]TrialBalance (YTD)'!G:G,B1246,'[1]TrialBalance (YTD)'!H:H)</f>
        <v>#VALUE!</v>
      </c>
      <c r="I1246" s="5">
        <f>IFERROR(INDEX('[1]TrialBalance (YTD)'!$G:$S,MATCH([1]TBMapping!$C1248,'[1]TrialBalance (YTD)'!G:G,0),MATCH([1]TBMapping!J$3,'[1]TrialBalance (YTD)'!$G$7:$Z$7,0)),0)</f>
        <v>0</v>
      </c>
      <c r="K1246" s="5" t="e">
        <f>SUMIF('[1]TrialBalance (Quarter)'!$A:$A,B1246,'[1]TrialBalance (Quarter)'!$B:$B)</f>
        <v>#VALUE!</v>
      </c>
      <c r="L1246" s="5">
        <f>IFERROR(INDEX('[1]TrialBalance (Quarter)'!$A:$L,MATCH([1]TBMapping!$C1248,'[1]TrialBalance (Quarter)'!A:A,0),MATCH([1]TBMapping!M$3,'[1]TrialBalance (Quarter)'!$7:$7,0)),0)</f>
        <v>0</v>
      </c>
      <c r="M1246" s="5">
        <f>IFERROR(INDEX('[1]TrialBalance (Quarter)'!$A:$L,MATCH([1]TBMapping!$C1248,'[1]TrialBalance (Quarter)'!A:A,0),MATCH([1]TBMapping!N$3,'[1]TrialBalance (Quarter)'!$7:$7,0)),0)</f>
        <v>0</v>
      </c>
      <c r="N1246" s="5">
        <f>IFERROR(INDEX('[1]TrialBalance (Quarter)'!$A:$L,MATCH([1]TBMapping!$C1248,'[1]TrialBalance (Quarter)'!A:A,0),MATCH([1]TBMapping!O$3,'[1]TrialBalance (Quarter)'!$7:$7,0)),0)</f>
        <v>0</v>
      </c>
    </row>
    <row r="1247" spans="1:14">
      <c r="A1247" s="2">
        <v>39</v>
      </c>
      <c r="B1247" s="3">
        <v>751110</v>
      </c>
      <c r="C1247" s="1" t="s">
        <v>1024</v>
      </c>
      <c r="D1247" s="1" t="s">
        <v>11</v>
      </c>
      <c r="F1247" s="5" t="e">
        <f>IF(DataExtraction="Manual",SUMIF('[1]TrialBalance (YTD)'!$C:$C,B1247,'[1]TrialBalance (YTD)'!$E:$E),SUMIF('[1]TrialBalance (YTD)'!$G:$G,B1247,'[1]TrialBalance (YTD)'!$I:$I))</f>
        <v>#VALUE!</v>
      </c>
      <c r="G1247" s="5">
        <f>IFERROR(INDEX('[1]TrialBalance (YTD)'!$G:$S,MATCH([1]TBMapping!$C1249,'[1]TrialBalance (YTD)'!G:G,0),MATCH([1]TBMapping!H$3,'[1]TrialBalance (YTD)'!$G$7:$Z$7,0)),0)</f>
        <v>0</v>
      </c>
      <c r="H1247" s="5" t="e">
        <f>SUMIF('[1]TrialBalance (YTD)'!G:G,B1247,'[1]TrialBalance (YTD)'!H:H)</f>
        <v>#VALUE!</v>
      </c>
      <c r="I1247" s="5">
        <f>IFERROR(INDEX('[1]TrialBalance (YTD)'!$G:$S,MATCH([1]TBMapping!$C1249,'[1]TrialBalance (YTD)'!G:G,0),MATCH([1]TBMapping!J$3,'[1]TrialBalance (YTD)'!$G$7:$Z$7,0)),0)</f>
        <v>0</v>
      </c>
      <c r="K1247" s="5" t="e">
        <f>SUMIF('[1]TrialBalance (Quarter)'!$A:$A,B1247,'[1]TrialBalance (Quarter)'!$B:$B)</f>
        <v>#VALUE!</v>
      </c>
      <c r="L1247" s="5">
        <f>IFERROR(INDEX('[1]TrialBalance (Quarter)'!$A:$L,MATCH([1]TBMapping!$C1249,'[1]TrialBalance (Quarter)'!A:A,0),MATCH([1]TBMapping!M$3,'[1]TrialBalance (Quarter)'!$7:$7,0)),0)</f>
        <v>0</v>
      </c>
      <c r="M1247" s="5">
        <f>IFERROR(INDEX('[1]TrialBalance (Quarter)'!$A:$L,MATCH([1]TBMapping!$C1249,'[1]TrialBalance (Quarter)'!A:A,0),MATCH([1]TBMapping!N$3,'[1]TrialBalance (Quarter)'!$7:$7,0)),0)</f>
        <v>0</v>
      </c>
      <c r="N1247" s="5">
        <f>IFERROR(INDEX('[1]TrialBalance (Quarter)'!$A:$L,MATCH([1]TBMapping!$C1249,'[1]TrialBalance (Quarter)'!A:A,0),MATCH([1]TBMapping!O$3,'[1]TrialBalance (Quarter)'!$7:$7,0)),0)</f>
        <v>0</v>
      </c>
    </row>
    <row r="1248" spans="1:14">
      <c r="A1248" s="2">
        <v>39</v>
      </c>
      <c r="B1248" s="3">
        <v>751120</v>
      </c>
      <c r="C1248" s="1" t="s">
        <v>1025</v>
      </c>
      <c r="D1248" s="1" t="s">
        <v>11</v>
      </c>
      <c r="F1248" s="5" t="e">
        <f>IF(DataExtraction="Manual",SUMIF('[1]TrialBalance (YTD)'!$C:$C,B1248,'[1]TrialBalance (YTD)'!$E:$E),SUMIF('[1]TrialBalance (YTD)'!$G:$G,B1248,'[1]TrialBalance (YTD)'!$I:$I))</f>
        <v>#VALUE!</v>
      </c>
      <c r="G1248" s="5">
        <f>IFERROR(INDEX('[1]TrialBalance (YTD)'!$G:$S,MATCH([1]TBMapping!$C1250,'[1]TrialBalance (YTD)'!G:G,0),MATCH([1]TBMapping!H$3,'[1]TrialBalance (YTD)'!$G$7:$Z$7,0)),0)</f>
        <v>0</v>
      </c>
      <c r="H1248" s="5" t="e">
        <f>SUMIF('[1]TrialBalance (YTD)'!G:G,B1248,'[1]TrialBalance (YTD)'!H:H)</f>
        <v>#VALUE!</v>
      </c>
      <c r="I1248" s="5">
        <f>IFERROR(INDEX('[1]TrialBalance (YTD)'!$G:$S,MATCH([1]TBMapping!$C1250,'[1]TrialBalance (YTD)'!G:G,0),MATCH([1]TBMapping!J$3,'[1]TrialBalance (YTD)'!$G$7:$Z$7,0)),0)</f>
        <v>0</v>
      </c>
      <c r="K1248" s="5" t="e">
        <f>SUMIF('[1]TrialBalance (Quarter)'!$A:$A,B1248,'[1]TrialBalance (Quarter)'!$B:$B)</f>
        <v>#VALUE!</v>
      </c>
      <c r="L1248" s="5">
        <f>IFERROR(INDEX('[1]TrialBalance (Quarter)'!$A:$L,MATCH([1]TBMapping!$C1250,'[1]TrialBalance (Quarter)'!A:A,0),MATCH([1]TBMapping!M$3,'[1]TrialBalance (Quarter)'!$7:$7,0)),0)</f>
        <v>0</v>
      </c>
      <c r="M1248" s="5">
        <f>IFERROR(INDEX('[1]TrialBalance (Quarter)'!$A:$L,MATCH([1]TBMapping!$C1250,'[1]TrialBalance (Quarter)'!A:A,0),MATCH([1]TBMapping!N$3,'[1]TrialBalance (Quarter)'!$7:$7,0)),0)</f>
        <v>0</v>
      </c>
      <c r="N1248" s="5">
        <f>IFERROR(INDEX('[1]TrialBalance (Quarter)'!$A:$L,MATCH([1]TBMapping!$C1250,'[1]TrialBalance (Quarter)'!A:A,0),MATCH([1]TBMapping!O$3,'[1]TrialBalance (Quarter)'!$7:$7,0)),0)</f>
        <v>0</v>
      </c>
    </row>
    <row r="1249" spans="1:14">
      <c r="A1249" s="2">
        <v>39</v>
      </c>
      <c r="B1249" s="3">
        <v>751200</v>
      </c>
      <c r="C1249" s="1" t="s">
        <v>1025</v>
      </c>
      <c r="D1249" s="1" t="s">
        <v>11</v>
      </c>
      <c r="F1249" s="5" t="e">
        <f>IF(DataExtraction="Manual",SUMIF('[1]TrialBalance (YTD)'!$C:$C,B1249,'[1]TrialBalance (YTD)'!$E:$E),SUMIF('[1]TrialBalance (YTD)'!$G:$G,B1249,'[1]TrialBalance (YTD)'!$I:$I))</f>
        <v>#VALUE!</v>
      </c>
      <c r="G1249" s="5">
        <f>IFERROR(INDEX('[1]TrialBalance (YTD)'!$G:$S,MATCH([1]TBMapping!$C1251,'[1]TrialBalance (YTD)'!G:G,0),MATCH([1]TBMapping!H$3,'[1]TrialBalance (YTD)'!$G$7:$Z$7,0)),0)</f>
        <v>0</v>
      </c>
      <c r="H1249" s="5" t="e">
        <f>SUMIF('[1]TrialBalance (YTD)'!G:G,B1249,'[1]TrialBalance (YTD)'!H:H)</f>
        <v>#VALUE!</v>
      </c>
      <c r="I1249" s="5">
        <f>IFERROR(INDEX('[1]TrialBalance (YTD)'!$G:$S,MATCH([1]TBMapping!$C1251,'[1]TrialBalance (YTD)'!G:G,0),MATCH([1]TBMapping!J$3,'[1]TrialBalance (YTD)'!$G$7:$Z$7,0)),0)</f>
        <v>0</v>
      </c>
      <c r="K1249" s="5" t="e">
        <f>SUMIF('[1]TrialBalance (Quarter)'!$A:$A,B1249,'[1]TrialBalance (Quarter)'!$B:$B)</f>
        <v>#VALUE!</v>
      </c>
      <c r="L1249" s="5">
        <f>IFERROR(INDEX('[1]TrialBalance (Quarter)'!$A:$L,MATCH([1]TBMapping!$C1251,'[1]TrialBalance (Quarter)'!A:A,0),MATCH([1]TBMapping!M$3,'[1]TrialBalance (Quarter)'!$7:$7,0)),0)</f>
        <v>0</v>
      </c>
      <c r="M1249" s="5">
        <f>IFERROR(INDEX('[1]TrialBalance (Quarter)'!$A:$L,MATCH([1]TBMapping!$C1251,'[1]TrialBalance (Quarter)'!A:A,0),MATCH([1]TBMapping!N$3,'[1]TrialBalance (Quarter)'!$7:$7,0)),0)</f>
        <v>0</v>
      </c>
      <c r="N1249" s="5">
        <f>IFERROR(INDEX('[1]TrialBalance (Quarter)'!$A:$L,MATCH([1]TBMapping!$C1251,'[1]TrialBalance (Quarter)'!A:A,0),MATCH([1]TBMapping!O$3,'[1]TrialBalance (Quarter)'!$7:$7,0)),0)</f>
        <v>0</v>
      </c>
    </row>
    <row r="1250" spans="1:14">
      <c r="A1250" s="2">
        <v>39</v>
      </c>
      <c r="B1250" s="3">
        <v>751300</v>
      </c>
      <c r="C1250" s="1" t="s">
        <v>1026</v>
      </c>
      <c r="D1250" s="1" t="s">
        <v>11</v>
      </c>
      <c r="F1250" s="5" t="e">
        <f>IF(DataExtraction="Manual",SUMIF('[1]TrialBalance (YTD)'!$C:$C,B1250,'[1]TrialBalance (YTD)'!$E:$E),SUMIF('[1]TrialBalance (YTD)'!$G:$G,B1250,'[1]TrialBalance (YTD)'!$I:$I))</f>
        <v>#VALUE!</v>
      </c>
      <c r="G1250" s="5">
        <f>IFERROR(INDEX('[1]TrialBalance (YTD)'!$G:$S,MATCH([1]TBMapping!$C1252,'[1]TrialBalance (YTD)'!G:G,0),MATCH([1]TBMapping!H$3,'[1]TrialBalance (YTD)'!$G$7:$Z$7,0)),0)</f>
        <v>0</v>
      </c>
      <c r="H1250" s="5" t="e">
        <f>SUMIF('[1]TrialBalance (YTD)'!G:G,B1250,'[1]TrialBalance (YTD)'!H:H)</f>
        <v>#VALUE!</v>
      </c>
      <c r="I1250" s="5">
        <f>IFERROR(INDEX('[1]TrialBalance (YTD)'!$G:$S,MATCH([1]TBMapping!$C1252,'[1]TrialBalance (YTD)'!G:G,0),MATCH([1]TBMapping!J$3,'[1]TrialBalance (YTD)'!$G$7:$Z$7,0)),0)</f>
        <v>0</v>
      </c>
      <c r="K1250" s="5" t="e">
        <f>SUMIF('[1]TrialBalance (Quarter)'!$A:$A,B1250,'[1]TrialBalance (Quarter)'!$B:$B)</f>
        <v>#VALUE!</v>
      </c>
      <c r="L1250" s="5">
        <f>IFERROR(INDEX('[1]TrialBalance (Quarter)'!$A:$L,MATCH([1]TBMapping!$C1252,'[1]TrialBalance (Quarter)'!A:A,0),MATCH([1]TBMapping!M$3,'[1]TrialBalance (Quarter)'!$7:$7,0)),0)</f>
        <v>0</v>
      </c>
      <c r="M1250" s="5">
        <f>IFERROR(INDEX('[1]TrialBalance (Quarter)'!$A:$L,MATCH([1]TBMapping!$C1252,'[1]TrialBalance (Quarter)'!A:A,0),MATCH([1]TBMapping!N$3,'[1]TrialBalance (Quarter)'!$7:$7,0)),0)</f>
        <v>0</v>
      </c>
      <c r="N1250" s="5">
        <f>IFERROR(INDEX('[1]TrialBalance (Quarter)'!$A:$L,MATCH([1]TBMapping!$C1252,'[1]TrialBalance (Quarter)'!A:A,0),MATCH([1]TBMapping!O$3,'[1]TrialBalance (Quarter)'!$7:$7,0)),0)</f>
        <v>0</v>
      </c>
    </row>
    <row r="1251" spans="1:14">
      <c r="A1251" s="2">
        <v>39</v>
      </c>
      <c r="B1251" s="3">
        <v>751310</v>
      </c>
      <c r="C1251" s="1" t="s">
        <v>1027</v>
      </c>
      <c r="D1251" s="1" t="s">
        <v>11</v>
      </c>
      <c r="F1251" s="5" t="e">
        <f>IF(DataExtraction="Manual",SUMIF('[1]TrialBalance (YTD)'!$C:$C,B1251,'[1]TrialBalance (YTD)'!$E:$E),SUMIF('[1]TrialBalance (YTD)'!$G:$G,B1251,'[1]TrialBalance (YTD)'!$I:$I))</f>
        <v>#VALUE!</v>
      </c>
      <c r="G1251" s="5">
        <f>IFERROR(INDEX('[1]TrialBalance (YTD)'!$G:$S,MATCH([1]TBMapping!$C1253,'[1]TrialBalance (YTD)'!G:G,0),MATCH([1]TBMapping!H$3,'[1]TrialBalance (YTD)'!$G$7:$Z$7,0)),0)</f>
        <v>0</v>
      </c>
      <c r="H1251" s="5" t="e">
        <f>SUMIF('[1]TrialBalance (YTD)'!G:G,B1251,'[1]TrialBalance (YTD)'!H:H)</f>
        <v>#VALUE!</v>
      </c>
      <c r="I1251" s="5">
        <f>IFERROR(INDEX('[1]TrialBalance (YTD)'!$G:$S,MATCH([1]TBMapping!$C1253,'[1]TrialBalance (YTD)'!G:G,0),MATCH([1]TBMapping!J$3,'[1]TrialBalance (YTD)'!$G$7:$Z$7,0)),0)</f>
        <v>0</v>
      </c>
      <c r="K1251" s="5" t="e">
        <f>SUMIF('[1]TrialBalance (Quarter)'!$A:$A,B1251,'[1]TrialBalance (Quarter)'!$B:$B)</f>
        <v>#VALUE!</v>
      </c>
      <c r="L1251" s="5">
        <f>IFERROR(INDEX('[1]TrialBalance (Quarter)'!$A:$L,MATCH([1]TBMapping!$C1253,'[1]TrialBalance (Quarter)'!A:A,0),MATCH([1]TBMapping!M$3,'[1]TrialBalance (Quarter)'!$7:$7,0)),0)</f>
        <v>0</v>
      </c>
      <c r="M1251" s="5">
        <f>IFERROR(INDEX('[1]TrialBalance (Quarter)'!$A:$L,MATCH([1]TBMapping!$C1253,'[1]TrialBalance (Quarter)'!A:A,0),MATCH([1]TBMapping!N$3,'[1]TrialBalance (Quarter)'!$7:$7,0)),0)</f>
        <v>0</v>
      </c>
      <c r="N1251" s="5">
        <f>IFERROR(INDEX('[1]TrialBalance (Quarter)'!$A:$L,MATCH([1]TBMapping!$C1253,'[1]TrialBalance (Quarter)'!A:A,0),MATCH([1]TBMapping!O$3,'[1]TrialBalance (Quarter)'!$7:$7,0)),0)</f>
        <v>0</v>
      </c>
    </row>
    <row r="1252" spans="1:14">
      <c r="A1252" s="2">
        <v>39</v>
      </c>
      <c r="B1252" s="3">
        <v>751400</v>
      </c>
      <c r="C1252" s="1" t="s">
        <v>1028</v>
      </c>
      <c r="D1252" s="1" t="s">
        <v>11</v>
      </c>
      <c r="F1252" s="5" t="e">
        <f>IF(DataExtraction="Manual",SUMIF('[1]TrialBalance (YTD)'!$C:$C,B1252,'[1]TrialBalance (YTD)'!$E:$E),SUMIF('[1]TrialBalance (YTD)'!$G:$G,B1252,'[1]TrialBalance (YTD)'!$I:$I))</f>
        <v>#VALUE!</v>
      </c>
      <c r="G1252" s="5">
        <f>IFERROR(INDEX('[1]TrialBalance (YTD)'!$G:$S,MATCH([1]TBMapping!$C1254,'[1]TrialBalance (YTD)'!G:G,0),MATCH([1]TBMapping!H$3,'[1]TrialBalance (YTD)'!$G$7:$Z$7,0)),0)</f>
        <v>0</v>
      </c>
      <c r="H1252" s="5" t="e">
        <f>SUMIF('[1]TrialBalance (YTD)'!G:G,B1252,'[1]TrialBalance (YTD)'!H:H)</f>
        <v>#VALUE!</v>
      </c>
      <c r="I1252" s="5">
        <f>IFERROR(INDEX('[1]TrialBalance (YTD)'!$G:$S,MATCH([1]TBMapping!$C1254,'[1]TrialBalance (YTD)'!G:G,0),MATCH([1]TBMapping!J$3,'[1]TrialBalance (YTD)'!$G$7:$Z$7,0)),0)</f>
        <v>0</v>
      </c>
      <c r="K1252" s="5" t="e">
        <f>SUMIF('[1]TrialBalance (Quarter)'!$A:$A,B1252,'[1]TrialBalance (Quarter)'!$B:$B)</f>
        <v>#VALUE!</v>
      </c>
      <c r="L1252" s="5">
        <f>IFERROR(INDEX('[1]TrialBalance (Quarter)'!$A:$L,MATCH([1]TBMapping!$C1254,'[1]TrialBalance (Quarter)'!A:A,0),MATCH([1]TBMapping!M$3,'[1]TrialBalance (Quarter)'!$7:$7,0)),0)</f>
        <v>0</v>
      </c>
      <c r="M1252" s="5">
        <f>IFERROR(INDEX('[1]TrialBalance (Quarter)'!$A:$L,MATCH([1]TBMapping!$C1254,'[1]TrialBalance (Quarter)'!A:A,0),MATCH([1]TBMapping!N$3,'[1]TrialBalance (Quarter)'!$7:$7,0)),0)</f>
        <v>0</v>
      </c>
      <c r="N1252" s="5">
        <f>IFERROR(INDEX('[1]TrialBalance (Quarter)'!$A:$L,MATCH([1]TBMapping!$C1254,'[1]TrialBalance (Quarter)'!A:A,0),MATCH([1]TBMapping!O$3,'[1]TrialBalance (Quarter)'!$7:$7,0)),0)</f>
        <v>0</v>
      </c>
    </row>
    <row r="1253" spans="1:14">
      <c r="A1253" s="2">
        <v>39</v>
      </c>
      <c r="B1253" s="3">
        <v>751500</v>
      </c>
      <c r="C1253" s="1" t="s">
        <v>1029</v>
      </c>
      <c r="D1253" s="1" t="s">
        <v>16</v>
      </c>
      <c r="F1253" s="5" t="e">
        <f>IF(DataExtraction="Manual",SUMIF('[1]TrialBalance (YTD)'!$C:$C,B1253,'[1]TrialBalance (YTD)'!$E:$E),SUMIF('[1]TrialBalance (YTD)'!$G:$G,B1253,'[1]TrialBalance (YTD)'!$I:$I))</f>
        <v>#VALUE!</v>
      </c>
      <c r="G1253" s="5">
        <f>IFERROR(INDEX('[1]TrialBalance (YTD)'!$G:$S,MATCH([1]TBMapping!$C1255,'[1]TrialBalance (YTD)'!G:G,0),MATCH([1]TBMapping!H$3,'[1]TrialBalance (YTD)'!$G$7:$Z$7,0)),0)</f>
        <v>0</v>
      </c>
      <c r="H1253" s="5" t="e">
        <f>SUMIF('[1]TrialBalance (YTD)'!G:G,B1253,'[1]TrialBalance (YTD)'!H:H)</f>
        <v>#VALUE!</v>
      </c>
      <c r="I1253" s="5">
        <f>IFERROR(INDEX('[1]TrialBalance (YTD)'!$G:$S,MATCH([1]TBMapping!$C1255,'[1]TrialBalance (YTD)'!G:G,0),MATCH([1]TBMapping!J$3,'[1]TrialBalance (YTD)'!$G$7:$Z$7,0)),0)</f>
        <v>0</v>
      </c>
      <c r="K1253" s="5" t="e">
        <f>SUMIF('[1]TrialBalance (Quarter)'!$A:$A,B1253,'[1]TrialBalance (Quarter)'!$B:$B)</f>
        <v>#VALUE!</v>
      </c>
      <c r="L1253" s="5">
        <f>IFERROR(INDEX('[1]TrialBalance (Quarter)'!$A:$L,MATCH([1]TBMapping!$C1255,'[1]TrialBalance (Quarter)'!A:A,0),MATCH([1]TBMapping!M$3,'[1]TrialBalance (Quarter)'!$7:$7,0)),0)</f>
        <v>0</v>
      </c>
      <c r="M1253" s="5">
        <f>IFERROR(INDEX('[1]TrialBalance (Quarter)'!$A:$L,MATCH([1]TBMapping!$C1255,'[1]TrialBalance (Quarter)'!A:A,0),MATCH([1]TBMapping!N$3,'[1]TrialBalance (Quarter)'!$7:$7,0)),0)</f>
        <v>0</v>
      </c>
      <c r="N1253" s="5">
        <f>IFERROR(INDEX('[1]TrialBalance (Quarter)'!$A:$L,MATCH([1]TBMapping!$C1255,'[1]TrialBalance (Quarter)'!A:A,0),MATCH([1]TBMapping!O$3,'[1]TrialBalance (Quarter)'!$7:$7,0)),0)</f>
        <v>0</v>
      </c>
    </row>
    <row r="1254" spans="1:14">
      <c r="A1254" s="2">
        <v>39</v>
      </c>
      <c r="B1254" s="3">
        <v>751600</v>
      </c>
      <c r="C1254" s="1" t="s">
        <v>1030</v>
      </c>
      <c r="D1254" s="1" t="s">
        <v>5</v>
      </c>
      <c r="F1254" s="5" t="e">
        <f>IF(DataExtraction="Manual",SUMIF('[1]TrialBalance (YTD)'!$C:$C,B1254,'[1]TrialBalance (YTD)'!$E:$E),SUMIF('[1]TrialBalance (YTD)'!$G:$G,B1254,'[1]TrialBalance (YTD)'!$I:$I))</f>
        <v>#VALUE!</v>
      </c>
      <c r="G1254" s="5">
        <f>IFERROR(INDEX('[1]TrialBalance (YTD)'!$G:$S,MATCH([1]TBMapping!$C1256,'[1]TrialBalance (YTD)'!G:G,0),MATCH([1]TBMapping!H$3,'[1]TrialBalance (YTD)'!$G$7:$Z$7,0)),0)</f>
        <v>0</v>
      </c>
      <c r="H1254" s="5" t="e">
        <f>SUMIF('[1]TrialBalance (YTD)'!G:G,B1254,'[1]TrialBalance (YTD)'!H:H)</f>
        <v>#VALUE!</v>
      </c>
      <c r="I1254" s="5">
        <f>IFERROR(INDEX('[1]TrialBalance (YTD)'!$G:$S,MATCH([1]TBMapping!$C1256,'[1]TrialBalance (YTD)'!G:G,0),MATCH([1]TBMapping!J$3,'[1]TrialBalance (YTD)'!$G$7:$Z$7,0)),0)</f>
        <v>0</v>
      </c>
      <c r="K1254" s="5" t="e">
        <f>SUMIF('[1]TrialBalance (Quarter)'!$A:$A,B1254,'[1]TrialBalance (Quarter)'!$B:$B)</f>
        <v>#VALUE!</v>
      </c>
      <c r="L1254" s="5">
        <f>IFERROR(INDEX('[1]TrialBalance (Quarter)'!$A:$L,MATCH([1]TBMapping!$C1256,'[1]TrialBalance (Quarter)'!A:A,0),MATCH([1]TBMapping!M$3,'[1]TrialBalance (Quarter)'!$7:$7,0)),0)</f>
        <v>0</v>
      </c>
      <c r="M1254" s="5">
        <f>IFERROR(INDEX('[1]TrialBalance (Quarter)'!$A:$L,MATCH([1]TBMapping!$C1256,'[1]TrialBalance (Quarter)'!A:A,0),MATCH([1]TBMapping!N$3,'[1]TrialBalance (Quarter)'!$7:$7,0)),0)</f>
        <v>0</v>
      </c>
      <c r="N1254" s="5">
        <f>IFERROR(INDEX('[1]TrialBalance (Quarter)'!$A:$L,MATCH([1]TBMapping!$C1256,'[1]TrialBalance (Quarter)'!A:A,0),MATCH([1]TBMapping!O$3,'[1]TrialBalance (Quarter)'!$7:$7,0)),0)</f>
        <v>0</v>
      </c>
    </row>
    <row r="1255" spans="1:14">
      <c r="B1255" s="3">
        <v>751999</v>
      </c>
      <c r="C1255" s="1" t="s">
        <v>1031</v>
      </c>
      <c r="D1255" s="1" t="s">
        <v>5</v>
      </c>
      <c r="F1255" s="5" t="e">
        <f>IF(DataExtraction="Manual",SUMIF('[1]TrialBalance (YTD)'!$C:$C,B1255,'[1]TrialBalance (YTD)'!$E:$E),SUMIF('[1]TrialBalance (YTD)'!$G:$G,B1255,'[1]TrialBalance (YTD)'!$I:$I))</f>
        <v>#VALUE!</v>
      </c>
      <c r="G1255" s="5">
        <f>IFERROR(INDEX('[1]TrialBalance (YTD)'!$G:$S,MATCH([1]TBMapping!$C1257,'[1]TrialBalance (YTD)'!G:G,0),MATCH([1]TBMapping!H$3,'[1]TrialBalance (YTD)'!$G$7:$Z$7,0)),0)</f>
        <v>0</v>
      </c>
      <c r="H1255" s="5" t="e">
        <f>SUMIF('[1]TrialBalance (YTD)'!G:G,B1255,'[1]TrialBalance (YTD)'!H:H)</f>
        <v>#VALUE!</v>
      </c>
      <c r="I1255" s="5">
        <f>IFERROR(INDEX('[1]TrialBalance (YTD)'!$G:$S,MATCH([1]TBMapping!$C1257,'[1]TrialBalance (YTD)'!G:G,0),MATCH([1]TBMapping!J$3,'[1]TrialBalance (YTD)'!$G$7:$Z$7,0)),0)</f>
        <v>0</v>
      </c>
      <c r="K1255" s="5" t="e">
        <f>SUMIF('[1]TrialBalance (Quarter)'!$A:$A,B1255,'[1]TrialBalance (Quarter)'!$B:$B)</f>
        <v>#VALUE!</v>
      </c>
      <c r="L1255" s="5">
        <f>IFERROR(INDEX('[1]TrialBalance (Quarter)'!$A:$L,MATCH([1]TBMapping!$C1257,'[1]TrialBalance (Quarter)'!A:A,0),MATCH([1]TBMapping!M$3,'[1]TrialBalance (Quarter)'!$7:$7,0)),0)</f>
        <v>0</v>
      </c>
      <c r="M1255" s="5">
        <f>IFERROR(INDEX('[1]TrialBalance (Quarter)'!$A:$L,MATCH([1]TBMapping!$C1257,'[1]TrialBalance (Quarter)'!A:A,0),MATCH([1]TBMapping!N$3,'[1]TrialBalance (Quarter)'!$7:$7,0)),0)</f>
        <v>0</v>
      </c>
      <c r="N1255" s="5">
        <f>IFERROR(INDEX('[1]TrialBalance (Quarter)'!$A:$L,MATCH([1]TBMapping!$C1257,'[1]TrialBalance (Quarter)'!A:A,0),MATCH([1]TBMapping!O$3,'[1]TrialBalance (Quarter)'!$7:$7,0)),0)</f>
        <v>0</v>
      </c>
    </row>
    <row r="1256" spans="1:14">
      <c r="B1256" s="3">
        <v>752000</v>
      </c>
      <c r="C1256" s="1" t="s">
        <v>1031</v>
      </c>
      <c r="D1256" s="1" t="s">
        <v>11</v>
      </c>
      <c r="F1256" s="5" t="e">
        <f>IF(DataExtraction="Manual",SUMIF('[1]TrialBalance (YTD)'!$C:$C,B1256,'[1]TrialBalance (YTD)'!$E:$E),SUMIF('[1]TrialBalance (YTD)'!$G:$G,B1256,'[1]TrialBalance (YTD)'!$I:$I))</f>
        <v>#VALUE!</v>
      </c>
      <c r="G1256" s="5">
        <f>IFERROR(INDEX('[1]TrialBalance (YTD)'!$G:$S,MATCH([1]TBMapping!$C1258,'[1]TrialBalance (YTD)'!G:G,0),MATCH([1]TBMapping!H$3,'[1]TrialBalance (YTD)'!$G$7:$Z$7,0)),0)</f>
        <v>0</v>
      </c>
      <c r="H1256" s="5" t="e">
        <f>SUMIF('[1]TrialBalance (YTD)'!G:G,B1256,'[1]TrialBalance (YTD)'!H:H)</f>
        <v>#VALUE!</v>
      </c>
      <c r="I1256" s="5">
        <f>IFERROR(INDEX('[1]TrialBalance (YTD)'!$G:$S,MATCH([1]TBMapping!$C1258,'[1]TrialBalance (YTD)'!G:G,0),MATCH([1]TBMapping!J$3,'[1]TrialBalance (YTD)'!$G$7:$Z$7,0)),0)</f>
        <v>0</v>
      </c>
      <c r="K1256" s="5" t="e">
        <f>SUMIF('[1]TrialBalance (Quarter)'!$A:$A,B1256,'[1]TrialBalance (Quarter)'!$B:$B)</f>
        <v>#VALUE!</v>
      </c>
      <c r="L1256" s="5">
        <f>IFERROR(INDEX('[1]TrialBalance (Quarter)'!$A:$L,MATCH([1]TBMapping!$C1258,'[1]TrialBalance (Quarter)'!A:A,0),MATCH([1]TBMapping!M$3,'[1]TrialBalance (Quarter)'!$7:$7,0)),0)</f>
        <v>0</v>
      </c>
      <c r="M1256" s="5">
        <f>IFERROR(INDEX('[1]TrialBalance (Quarter)'!$A:$L,MATCH([1]TBMapping!$C1258,'[1]TrialBalance (Quarter)'!A:A,0),MATCH([1]TBMapping!N$3,'[1]TrialBalance (Quarter)'!$7:$7,0)),0)</f>
        <v>0</v>
      </c>
      <c r="N1256" s="5">
        <f>IFERROR(INDEX('[1]TrialBalance (Quarter)'!$A:$L,MATCH([1]TBMapping!$C1258,'[1]TrialBalance (Quarter)'!A:A,0),MATCH([1]TBMapping!O$3,'[1]TrialBalance (Quarter)'!$7:$7,0)),0)</f>
        <v>0</v>
      </c>
    </row>
    <row r="1257" spans="1:14">
      <c r="B1257" s="3">
        <v>752001</v>
      </c>
      <c r="C1257" s="1" t="s">
        <v>1032</v>
      </c>
      <c r="D1257" s="1" t="s">
        <v>11</v>
      </c>
      <c r="F1257" s="5" t="e">
        <f>IF(DataExtraction="Manual",SUMIF('[1]TrialBalance (YTD)'!$C:$C,B1257,'[1]TrialBalance (YTD)'!$E:$E),SUMIF('[1]TrialBalance (YTD)'!$G:$G,B1257,'[1]TrialBalance (YTD)'!$I:$I))</f>
        <v>#VALUE!</v>
      </c>
      <c r="G1257" s="5">
        <f>IFERROR(INDEX('[1]TrialBalance (YTD)'!$G:$S,MATCH([1]TBMapping!$C1259,'[1]TrialBalance (YTD)'!G:G,0),MATCH([1]TBMapping!H$3,'[1]TrialBalance (YTD)'!$G$7:$Z$7,0)),0)</f>
        <v>0</v>
      </c>
      <c r="H1257" s="5" t="e">
        <f>SUMIF('[1]TrialBalance (YTD)'!G:G,B1257,'[1]TrialBalance (YTD)'!H:H)</f>
        <v>#VALUE!</v>
      </c>
      <c r="I1257" s="5">
        <f>IFERROR(INDEX('[1]TrialBalance (YTD)'!$G:$S,MATCH([1]TBMapping!$C1259,'[1]TrialBalance (YTD)'!G:G,0),MATCH([1]TBMapping!J$3,'[1]TrialBalance (YTD)'!$G$7:$Z$7,0)),0)</f>
        <v>-25941.03</v>
      </c>
      <c r="K1257" s="5" t="e">
        <f>SUMIF('[1]TrialBalance (Quarter)'!$A:$A,B1257,'[1]TrialBalance (Quarter)'!$B:$B)</f>
        <v>#VALUE!</v>
      </c>
      <c r="L1257" s="5">
        <f>IFERROR(INDEX('[1]TrialBalance (Quarter)'!$A:$L,MATCH([1]TBMapping!$C1259,'[1]TrialBalance (Quarter)'!A:A,0),MATCH([1]TBMapping!M$3,'[1]TrialBalance (Quarter)'!$7:$7,0)),0)</f>
        <v>0</v>
      </c>
      <c r="M1257" s="5">
        <f>IFERROR(INDEX('[1]TrialBalance (Quarter)'!$A:$L,MATCH([1]TBMapping!$C1259,'[1]TrialBalance (Quarter)'!A:A,0),MATCH([1]TBMapping!N$3,'[1]TrialBalance (Quarter)'!$7:$7,0)),0)</f>
        <v>25941.03</v>
      </c>
      <c r="N1257" s="5">
        <f>IFERROR(INDEX('[1]TrialBalance (Quarter)'!$A:$L,MATCH([1]TBMapping!$C1259,'[1]TrialBalance (Quarter)'!A:A,0),MATCH([1]TBMapping!O$3,'[1]TrialBalance (Quarter)'!$7:$7,0)),0)</f>
        <v>-25941.03</v>
      </c>
    </row>
    <row r="1258" spans="1:14">
      <c r="A1258" s="2">
        <v>39</v>
      </c>
      <c r="B1258" s="3">
        <v>752050</v>
      </c>
      <c r="C1258" s="1" t="s">
        <v>1033</v>
      </c>
      <c r="D1258" s="1" t="s">
        <v>11</v>
      </c>
      <c r="F1258" s="5" t="e">
        <f>IF(DataExtraction="Manual",SUMIF('[1]TrialBalance (YTD)'!$C:$C,B1258,'[1]TrialBalance (YTD)'!$E:$E),SUMIF('[1]TrialBalance (YTD)'!$G:$G,B1258,'[1]TrialBalance (YTD)'!$I:$I))</f>
        <v>#VALUE!</v>
      </c>
      <c r="G1258" s="5">
        <f>IFERROR(INDEX('[1]TrialBalance (YTD)'!$G:$S,MATCH([1]TBMapping!$C1260,'[1]TrialBalance (YTD)'!G:G,0),MATCH([1]TBMapping!H$3,'[1]TrialBalance (YTD)'!$G$7:$Z$7,0)),0)</f>
        <v>0</v>
      </c>
      <c r="H1258" s="5" t="e">
        <f>SUMIF('[1]TrialBalance (YTD)'!G:G,B1258,'[1]TrialBalance (YTD)'!H:H)</f>
        <v>#VALUE!</v>
      </c>
      <c r="I1258" s="5">
        <f>IFERROR(INDEX('[1]TrialBalance (YTD)'!$G:$S,MATCH([1]TBMapping!$C1260,'[1]TrialBalance (YTD)'!G:G,0),MATCH([1]TBMapping!J$3,'[1]TrialBalance (YTD)'!$G$7:$Z$7,0)),0)</f>
        <v>0</v>
      </c>
      <c r="K1258" s="5" t="e">
        <f>SUMIF('[1]TrialBalance (Quarter)'!$A:$A,B1258,'[1]TrialBalance (Quarter)'!$B:$B)</f>
        <v>#VALUE!</v>
      </c>
      <c r="L1258" s="5">
        <f>IFERROR(INDEX('[1]TrialBalance (Quarter)'!$A:$L,MATCH([1]TBMapping!$C1260,'[1]TrialBalance (Quarter)'!A:A,0),MATCH([1]TBMapping!M$3,'[1]TrialBalance (Quarter)'!$7:$7,0)),0)</f>
        <v>0</v>
      </c>
      <c r="M1258" s="5">
        <f>IFERROR(INDEX('[1]TrialBalance (Quarter)'!$A:$L,MATCH([1]TBMapping!$C1260,'[1]TrialBalance (Quarter)'!A:A,0),MATCH([1]TBMapping!N$3,'[1]TrialBalance (Quarter)'!$7:$7,0)),0)</f>
        <v>0</v>
      </c>
      <c r="N1258" s="5">
        <f>IFERROR(INDEX('[1]TrialBalance (Quarter)'!$A:$L,MATCH([1]TBMapping!$C1260,'[1]TrialBalance (Quarter)'!A:A,0),MATCH([1]TBMapping!O$3,'[1]TrialBalance (Quarter)'!$7:$7,0)),0)</f>
        <v>0</v>
      </c>
    </row>
    <row r="1259" spans="1:14">
      <c r="A1259" s="2">
        <v>39</v>
      </c>
      <c r="B1259" s="3">
        <v>752100</v>
      </c>
      <c r="C1259" s="1" t="s">
        <v>1034</v>
      </c>
      <c r="D1259" s="1" t="s">
        <v>11</v>
      </c>
      <c r="F1259" s="5" t="e">
        <f>IF(DataExtraction="Manual",SUMIF('[1]TrialBalance (YTD)'!$C:$C,B1259,'[1]TrialBalance (YTD)'!$E:$E),SUMIF('[1]TrialBalance (YTD)'!$G:$G,B1259,'[1]TrialBalance (YTD)'!$I:$I))</f>
        <v>#VALUE!</v>
      </c>
      <c r="G1259" s="5">
        <f>IFERROR(INDEX('[1]TrialBalance (YTD)'!$G:$S,MATCH([1]TBMapping!$C1261,'[1]TrialBalance (YTD)'!G:G,0),MATCH([1]TBMapping!H$3,'[1]TrialBalance (YTD)'!$G$7:$Z$7,0)),0)</f>
        <v>0</v>
      </c>
      <c r="H1259" s="5" t="e">
        <f>SUMIF('[1]TrialBalance (YTD)'!G:G,B1259,'[1]TrialBalance (YTD)'!H:H)</f>
        <v>#VALUE!</v>
      </c>
      <c r="I1259" s="5">
        <f>IFERROR(INDEX('[1]TrialBalance (YTD)'!$G:$S,MATCH([1]TBMapping!$C1261,'[1]TrialBalance (YTD)'!G:G,0),MATCH([1]TBMapping!J$3,'[1]TrialBalance (YTD)'!$G$7:$Z$7,0)),0)</f>
        <v>0</v>
      </c>
      <c r="K1259" s="5" t="e">
        <f>SUMIF('[1]TrialBalance (Quarter)'!$A:$A,B1259,'[1]TrialBalance (Quarter)'!$B:$B)</f>
        <v>#VALUE!</v>
      </c>
      <c r="L1259" s="5">
        <f>IFERROR(INDEX('[1]TrialBalance (Quarter)'!$A:$L,MATCH([1]TBMapping!$C1261,'[1]TrialBalance (Quarter)'!A:A,0),MATCH([1]TBMapping!M$3,'[1]TrialBalance (Quarter)'!$7:$7,0)),0)</f>
        <v>0</v>
      </c>
      <c r="M1259" s="5">
        <f>IFERROR(INDEX('[1]TrialBalance (Quarter)'!$A:$L,MATCH([1]TBMapping!$C1261,'[1]TrialBalance (Quarter)'!A:A,0),MATCH([1]TBMapping!N$3,'[1]TrialBalance (Quarter)'!$7:$7,0)),0)</f>
        <v>0</v>
      </c>
      <c r="N1259" s="5">
        <f>IFERROR(INDEX('[1]TrialBalance (Quarter)'!$A:$L,MATCH([1]TBMapping!$C1261,'[1]TrialBalance (Quarter)'!A:A,0),MATCH([1]TBMapping!O$3,'[1]TrialBalance (Quarter)'!$7:$7,0)),0)</f>
        <v>0</v>
      </c>
    </row>
    <row r="1260" spans="1:14">
      <c r="A1260" s="2">
        <v>39</v>
      </c>
      <c r="B1260" s="3">
        <v>752110</v>
      </c>
      <c r="C1260" s="1" t="s">
        <v>1035</v>
      </c>
      <c r="D1260" s="1" t="s">
        <v>11</v>
      </c>
      <c r="F1260" s="5" t="e">
        <f>IF(DataExtraction="Manual",SUMIF('[1]TrialBalance (YTD)'!$C:$C,B1260,'[1]TrialBalance (YTD)'!$E:$E),SUMIF('[1]TrialBalance (YTD)'!$G:$G,B1260,'[1]TrialBalance (YTD)'!$I:$I))</f>
        <v>#VALUE!</v>
      </c>
      <c r="G1260" s="5">
        <f>IFERROR(INDEX('[1]TrialBalance (YTD)'!$G:$S,MATCH([1]TBMapping!$C1262,'[1]TrialBalance (YTD)'!G:G,0),MATCH([1]TBMapping!H$3,'[1]TrialBalance (YTD)'!$G$7:$Z$7,0)),0)</f>
        <v>0</v>
      </c>
      <c r="H1260" s="5" t="e">
        <f>SUMIF('[1]TrialBalance (YTD)'!G:G,B1260,'[1]TrialBalance (YTD)'!H:H)</f>
        <v>#VALUE!</v>
      </c>
      <c r="I1260" s="5">
        <f>IFERROR(INDEX('[1]TrialBalance (YTD)'!$G:$S,MATCH([1]TBMapping!$C1262,'[1]TrialBalance (YTD)'!G:G,0),MATCH([1]TBMapping!J$3,'[1]TrialBalance (YTD)'!$G$7:$Z$7,0)),0)</f>
        <v>22877.5</v>
      </c>
      <c r="K1260" s="5" t="e">
        <f>SUMIF('[1]TrialBalance (Quarter)'!$A:$A,B1260,'[1]TrialBalance (Quarter)'!$B:$B)</f>
        <v>#VALUE!</v>
      </c>
      <c r="L1260" s="5">
        <f>IFERROR(INDEX('[1]TrialBalance (Quarter)'!$A:$L,MATCH([1]TBMapping!$C1262,'[1]TrialBalance (Quarter)'!A:A,0),MATCH([1]TBMapping!M$3,'[1]TrialBalance (Quarter)'!$7:$7,0)),0)</f>
        <v>0</v>
      </c>
      <c r="M1260" s="5">
        <f>IFERROR(INDEX('[1]TrialBalance (Quarter)'!$A:$L,MATCH([1]TBMapping!$C1262,'[1]TrialBalance (Quarter)'!A:A,0),MATCH([1]TBMapping!N$3,'[1]TrialBalance (Quarter)'!$7:$7,0)),0)</f>
        <v>-22877.5</v>
      </c>
      <c r="N1260" s="5">
        <f>IFERROR(INDEX('[1]TrialBalance (Quarter)'!$A:$L,MATCH([1]TBMapping!$C1262,'[1]TrialBalance (Quarter)'!A:A,0),MATCH([1]TBMapping!O$3,'[1]TrialBalance (Quarter)'!$7:$7,0)),0)</f>
        <v>22877.05</v>
      </c>
    </row>
    <row r="1261" spans="1:14">
      <c r="A1261" s="2">
        <v>39</v>
      </c>
      <c r="B1261" s="3">
        <v>752120</v>
      </c>
      <c r="C1261" s="1" t="s">
        <v>1036</v>
      </c>
      <c r="D1261" s="1" t="s">
        <v>11</v>
      </c>
      <c r="F1261" s="5" t="e">
        <f>IF(DataExtraction="Manual",SUMIF('[1]TrialBalance (YTD)'!$C:$C,B1261,'[1]TrialBalance (YTD)'!$E:$E),SUMIF('[1]TrialBalance (YTD)'!$G:$G,B1261,'[1]TrialBalance (YTD)'!$I:$I))</f>
        <v>#VALUE!</v>
      </c>
      <c r="G1261" s="5">
        <f>IFERROR(INDEX('[1]TrialBalance (YTD)'!$G:$S,MATCH([1]TBMapping!$C1263,'[1]TrialBalance (YTD)'!G:G,0),MATCH([1]TBMapping!H$3,'[1]TrialBalance (YTD)'!$G$7:$Z$7,0)),0)</f>
        <v>0</v>
      </c>
      <c r="H1261" s="5" t="e">
        <f>SUMIF('[1]TrialBalance (YTD)'!G:G,B1261,'[1]TrialBalance (YTD)'!H:H)</f>
        <v>#VALUE!</v>
      </c>
      <c r="I1261" s="5">
        <f>IFERROR(INDEX('[1]TrialBalance (YTD)'!$G:$S,MATCH([1]TBMapping!$C1263,'[1]TrialBalance (YTD)'!G:G,0),MATCH([1]TBMapping!J$3,'[1]TrialBalance (YTD)'!$G$7:$Z$7,0)),0)</f>
        <v>0</v>
      </c>
      <c r="K1261" s="5" t="e">
        <f>SUMIF('[1]TrialBalance (Quarter)'!$A:$A,B1261,'[1]TrialBalance (Quarter)'!$B:$B)</f>
        <v>#VALUE!</v>
      </c>
      <c r="L1261" s="5">
        <f>IFERROR(INDEX('[1]TrialBalance (Quarter)'!$A:$L,MATCH([1]TBMapping!$C1263,'[1]TrialBalance (Quarter)'!A:A,0),MATCH([1]TBMapping!M$3,'[1]TrialBalance (Quarter)'!$7:$7,0)),0)</f>
        <v>0</v>
      </c>
      <c r="M1261" s="5">
        <f>IFERROR(INDEX('[1]TrialBalance (Quarter)'!$A:$L,MATCH([1]TBMapping!$C1263,'[1]TrialBalance (Quarter)'!A:A,0),MATCH([1]TBMapping!N$3,'[1]TrialBalance (Quarter)'!$7:$7,0)),0)</f>
        <v>0</v>
      </c>
      <c r="N1261" s="5">
        <f>IFERROR(INDEX('[1]TrialBalance (Quarter)'!$A:$L,MATCH([1]TBMapping!$C1263,'[1]TrialBalance (Quarter)'!A:A,0),MATCH([1]TBMapping!O$3,'[1]TrialBalance (Quarter)'!$7:$7,0)),0)</f>
        <v>0</v>
      </c>
    </row>
    <row r="1262" spans="1:14">
      <c r="A1262" s="2">
        <v>39</v>
      </c>
      <c r="B1262" s="3">
        <v>752200</v>
      </c>
      <c r="C1262" s="1" t="s">
        <v>1037</v>
      </c>
      <c r="D1262" s="1" t="s">
        <v>11</v>
      </c>
      <c r="F1262" s="5" t="e">
        <f>IF(DataExtraction="Manual",SUMIF('[1]TrialBalance (YTD)'!$C:$C,B1262,'[1]TrialBalance (YTD)'!$E:$E),SUMIF('[1]TrialBalance (YTD)'!$G:$G,B1262,'[1]TrialBalance (YTD)'!$I:$I))</f>
        <v>#VALUE!</v>
      </c>
      <c r="G1262" s="5">
        <f>IFERROR(INDEX('[1]TrialBalance (YTD)'!$G:$S,MATCH([1]TBMapping!$C1264,'[1]TrialBalance (YTD)'!G:G,0),MATCH([1]TBMapping!H$3,'[1]TrialBalance (YTD)'!$G$7:$Z$7,0)),0)</f>
        <v>0</v>
      </c>
      <c r="H1262" s="5" t="e">
        <f>SUMIF('[1]TrialBalance (YTD)'!G:G,B1262,'[1]TrialBalance (YTD)'!H:H)</f>
        <v>#VALUE!</v>
      </c>
      <c r="I1262" s="5">
        <f>IFERROR(INDEX('[1]TrialBalance (YTD)'!$G:$S,MATCH([1]TBMapping!$C1264,'[1]TrialBalance (YTD)'!G:G,0),MATCH([1]TBMapping!J$3,'[1]TrialBalance (YTD)'!$G$7:$Z$7,0)),0)</f>
        <v>0</v>
      </c>
      <c r="K1262" s="5" t="e">
        <f>SUMIF('[1]TrialBalance (Quarter)'!$A:$A,B1262,'[1]TrialBalance (Quarter)'!$B:$B)</f>
        <v>#VALUE!</v>
      </c>
      <c r="L1262" s="5">
        <f>IFERROR(INDEX('[1]TrialBalance (Quarter)'!$A:$L,MATCH([1]TBMapping!$C1264,'[1]TrialBalance (Quarter)'!A:A,0),MATCH([1]TBMapping!M$3,'[1]TrialBalance (Quarter)'!$7:$7,0)),0)</f>
        <v>0</v>
      </c>
      <c r="M1262" s="5">
        <f>IFERROR(INDEX('[1]TrialBalance (Quarter)'!$A:$L,MATCH([1]TBMapping!$C1264,'[1]TrialBalance (Quarter)'!A:A,0),MATCH([1]TBMapping!N$3,'[1]TrialBalance (Quarter)'!$7:$7,0)),0)</f>
        <v>0</v>
      </c>
      <c r="N1262" s="5">
        <f>IFERROR(INDEX('[1]TrialBalance (Quarter)'!$A:$L,MATCH([1]TBMapping!$C1264,'[1]TrialBalance (Quarter)'!A:A,0),MATCH([1]TBMapping!O$3,'[1]TrialBalance (Quarter)'!$7:$7,0)),0)</f>
        <v>0</v>
      </c>
    </row>
    <row r="1263" spans="1:14">
      <c r="A1263" s="2">
        <v>39</v>
      </c>
      <c r="B1263" s="3">
        <v>752210</v>
      </c>
      <c r="C1263" s="1" t="s">
        <v>1038</v>
      </c>
      <c r="D1263" s="1" t="s">
        <v>11</v>
      </c>
      <c r="F1263" s="5" t="e">
        <f>IF(DataExtraction="Manual",SUMIF('[1]TrialBalance (YTD)'!$C:$C,B1263,'[1]TrialBalance (YTD)'!$E:$E),SUMIF('[1]TrialBalance (YTD)'!$G:$G,B1263,'[1]TrialBalance (YTD)'!$I:$I))</f>
        <v>#VALUE!</v>
      </c>
      <c r="G1263" s="5">
        <f>IFERROR(INDEX('[1]TrialBalance (YTD)'!$G:$S,MATCH([1]TBMapping!$C1265,'[1]TrialBalance (YTD)'!G:G,0),MATCH([1]TBMapping!H$3,'[1]TrialBalance (YTD)'!$G$7:$Z$7,0)),0)</f>
        <v>0</v>
      </c>
      <c r="H1263" s="5" t="e">
        <f>SUMIF('[1]TrialBalance (YTD)'!G:G,B1263,'[1]TrialBalance (YTD)'!H:H)</f>
        <v>#VALUE!</v>
      </c>
      <c r="I1263" s="5">
        <f>IFERROR(INDEX('[1]TrialBalance (YTD)'!$G:$S,MATCH([1]TBMapping!$C1265,'[1]TrialBalance (YTD)'!G:G,0),MATCH([1]TBMapping!J$3,'[1]TrialBalance (YTD)'!$G$7:$Z$7,0)),0)</f>
        <v>0</v>
      </c>
      <c r="K1263" s="5" t="e">
        <f>SUMIF('[1]TrialBalance (Quarter)'!$A:$A,B1263,'[1]TrialBalance (Quarter)'!$B:$B)</f>
        <v>#VALUE!</v>
      </c>
      <c r="L1263" s="5">
        <f>IFERROR(INDEX('[1]TrialBalance (Quarter)'!$A:$L,MATCH([1]TBMapping!$C1265,'[1]TrialBalance (Quarter)'!A:A,0),MATCH([1]TBMapping!M$3,'[1]TrialBalance (Quarter)'!$7:$7,0)),0)</f>
        <v>0</v>
      </c>
      <c r="M1263" s="5">
        <f>IFERROR(INDEX('[1]TrialBalance (Quarter)'!$A:$L,MATCH([1]TBMapping!$C1265,'[1]TrialBalance (Quarter)'!A:A,0),MATCH([1]TBMapping!N$3,'[1]TrialBalance (Quarter)'!$7:$7,0)),0)</f>
        <v>0</v>
      </c>
      <c r="N1263" s="5">
        <f>IFERROR(INDEX('[1]TrialBalance (Quarter)'!$A:$L,MATCH([1]TBMapping!$C1265,'[1]TrialBalance (Quarter)'!A:A,0),MATCH([1]TBMapping!O$3,'[1]TrialBalance (Quarter)'!$7:$7,0)),0)</f>
        <v>0</v>
      </c>
    </row>
    <row r="1264" spans="1:14">
      <c r="A1264" s="2">
        <v>39</v>
      </c>
      <c r="B1264" s="3">
        <v>752220</v>
      </c>
      <c r="C1264" s="1" t="s">
        <v>1039</v>
      </c>
      <c r="D1264" s="1" t="s">
        <v>11</v>
      </c>
      <c r="F1264" s="5" t="e">
        <f>IF(DataExtraction="Manual",SUMIF('[1]TrialBalance (YTD)'!$C:$C,B1264,'[1]TrialBalance (YTD)'!$E:$E),SUMIF('[1]TrialBalance (YTD)'!$G:$G,B1264,'[1]TrialBalance (YTD)'!$I:$I))</f>
        <v>#VALUE!</v>
      </c>
      <c r="G1264" s="5">
        <f>IFERROR(INDEX('[1]TrialBalance (YTD)'!$G:$S,MATCH([1]TBMapping!$C1266,'[1]TrialBalance (YTD)'!G:G,0),MATCH([1]TBMapping!H$3,'[1]TrialBalance (YTD)'!$G$7:$Z$7,0)),0)</f>
        <v>0</v>
      </c>
      <c r="H1264" s="5" t="e">
        <f>SUMIF('[1]TrialBalance (YTD)'!G:G,B1264,'[1]TrialBalance (YTD)'!H:H)</f>
        <v>#VALUE!</v>
      </c>
      <c r="I1264" s="5">
        <f>IFERROR(INDEX('[1]TrialBalance (YTD)'!$G:$S,MATCH([1]TBMapping!$C1266,'[1]TrialBalance (YTD)'!G:G,0),MATCH([1]TBMapping!J$3,'[1]TrialBalance (YTD)'!$G$7:$Z$7,0)),0)</f>
        <v>0</v>
      </c>
      <c r="K1264" s="5" t="e">
        <f>SUMIF('[1]TrialBalance (Quarter)'!$A:$A,B1264,'[1]TrialBalance (Quarter)'!$B:$B)</f>
        <v>#VALUE!</v>
      </c>
      <c r="L1264" s="5">
        <f>IFERROR(INDEX('[1]TrialBalance (Quarter)'!$A:$L,MATCH([1]TBMapping!$C1266,'[1]TrialBalance (Quarter)'!A:A,0),MATCH([1]TBMapping!M$3,'[1]TrialBalance (Quarter)'!$7:$7,0)),0)</f>
        <v>0</v>
      </c>
      <c r="M1264" s="5">
        <f>IFERROR(INDEX('[1]TrialBalance (Quarter)'!$A:$L,MATCH([1]TBMapping!$C1266,'[1]TrialBalance (Quarter)'!A:A,0),MATCH([1]TBMapping!N$3,'[1]TrialBalance (Quarter)'!$7:$7,0)),0)</f>
        <v>0</v>
      </c>
      <c r="N1264" s="5">
        <f>IFERROR(INDEX('[1]TrialBalance (Quarter)'!$A:$L,MATCH([1]TBMapping!$C1266,'[1]TrialBalance (Quarter)'!A:A,0),MATCH([1]TBMapping!O$3,'[1]TrialBalance (Quarter)'!$7:$7,0)),0)</f>
        <v>-536678</v>
      </c>
    </row>
    <row r="1265" spans="1:14">
      <c r="A1265" s="2">
        <v>39</v>
      </c>
      <c r="B1265" s="3">
        <v>752230</v>
      </c>
      <c r="C1265" s="1" t="s">
        <v>1040</v>
      </c>
      <c r="D1265" s="1" t="s">
        <v>11</v>
      </c>
      <c r="F1265" s="5" t="e">
        <f>IF(DataExtraction="Manual",SUMIF('[1]TrialBalance (YTD)'!$C:$C,B1265,'[1]TrialBalance (YTD)'!$E:$E),SUMIF('[1]TrialBalance (YTD)'!$G:$G,B1265,'[1]TrialBalance (YTD)'!$I:$I))</f>
        <v>#VALUE!</v>
      </c>
      <c r="G1265" s="5">
        <f>IFERROR(INDEX('[1]TrialBalance (YTD)'!$G:$S,MATCH([1]TBMapping!$C1267,'[1]TrialBalance (YTD)'!G:G,0),MATCH([1]TBMapping!H$3,'[1]TrialBalance (YTD)'!$G$7:$Z$7,0)),0)</f>
        <v>0</v>
      </c>
      <c r="H1265" s="5" t="e">
        <f>SUMIF('[1]TrialBalance (YTD)'!G:G,B1265,'[1]TrialBalance (YTD)'!H:H)</f>
        <v>#VALUE!</v>
      </c>
      <c r="I1265" s="5">
        <f>IFERROR(INDEX('[1]TrialBalance (YTD)'!$G:$S,MATCH([1]TBMapping!$C1267,'[1]TrialBalance (YTD)'!G:G,0),MATCH([1]TBMapping!J$3,'[1]TrialBalance (YTD)'!$G$7:$Z$7,0)),0)</f>
        <v>0</v>
      </c>
      <c r="K1265" s="5" t="e">
        <f>SUMIF('[1]TrialBalance (Quarter)'!$A:$A,B1265,'[1]TrialBalance (Quarter)'!$B:$B)</f>
        <v>#VALUE!</v>
      </c>
      <c r="L1265" s="5">
        <f>IFERROR(INDEX('[1]TrialBalance (Quarter)'!$A:$L,MATCH([1]TBMapping!$C1267,'[1]TrialBalance (Quarter)'!A:A,0),MATCH([1]TBMapping!M$3,'[1]TrialBalance (Quarter)'!$7:$7,0)),0)</f>
        <v>0</v>
      </c>
      <c r="M1265" s="5">
        <f>IFERROR(INDEX('[1]TrialBalance (Quarter)'!$A:$L,MATCH([1]TBMapping!$C1267,'[1]TrialBalance (Quarter)'!A:A,0),MATCH([1]TBMapping!N$3,'[1]TrialBalance (Quarter)'!$7:$7,0)),0)</f>
        <v>0</v>
      </c>
      <c r="N1265" s="5">
        <f>IFERROR(INDEX('[1]TrialBalance (Quarter)'!$A:$L,MATCH([1]TBMapping!$C1267,'[1]TrialBalance (Quarter)'!A:A,0),MATCH([1]TBMapping!O$3,'[1]TrialBalance (Quarter)'!$7:$7,0)),0)</f>
        <v>0</v>
      </c>
    </row>
    <row r="1266" spans="1:14">
      <c r="A1266" s="2">
        <v>39</v>
      </c>
      <c r="B1266" s="3">
        <v>752300</v>
      </c>
      <c r="C1266" s="1" t="s">
        <v>1041</v>
      </c>
      <c r="D1266" s="1" t="s">
        <v>11</v>
      </c>
      <c r="F1266" s="5" t="e">
        <f>IF(DataExtraction="Manual",SUMIF('[1]TrialBalance (YTD)'!$C:$C,B1266,'[1]TrialBalance (YTD)'!$E:$E),SUMIF('[1]TrialBalance (YTD)'!$G:$G,B1266,'[1]TrialBalance (YTD)'!$I:$I))</f>
        <v>#VALUE!</v>
      </c>
      <c r="G1266" s="5">
        <f>IFERROR(INDEX('[1]TrialBalance (YTD)'!$G:$S,MATCH([1]TBMapping!$C1268,'[1]TrialBalance (YTD)'!G:G,0),MATCH([1]TBMapping!H$3,'[1]TrialBalance (YTD)'!$G$7:$Z$7,0)),0)</f>
        <v>0</v>
      </c>
      <c r="H1266" s="5" t="e">
        <f>SUMIF('[1]TrialBalance (YTD)'!G:G,B1266,'[1]TrialBalance (YTD)'!H:H)</f>
        <v>#VALUE!</v>
      </c>
      <c r="I1266" s="5">
        <f>IFERROR(INDEX('[1]TrialBalance (YTD)'!$G:$S,MATCH([1]TBMapping!$C1268,'[1]TrialBalance (YTD)'!G:G,0),MATCH([1]TBMapping!J$3,'[1]TrialBalance (YTD)'!$G$7:$Z$7,0)),0)</f>
        <v>0</v>
      </c>
      <c r="K1266" s="5" t="e">
        <f>SUMIF('[1]TrialBalance (Quarter)'!$A:$A,B1266,'[1]TrialBalance (Quarter)'!$B:$B)</f>
        <v>#VALUE!</v>
      </c>
      <c r="L1266" s="5">
        <f>IFERROR(INDEX('[1]TrialBalance (Quarter)'!$A:$L,MATCH([1]TBMapping!$C1268,'[1]TrialBalance (Quarter)'!A:A,0),MATCH([1]TBMapping!M$3,'[1]TrialBalance (Quarter)'!$7:$7,0)),0)</f>
        <v>0</v>
      </c>
      <c r="M1266" s="5">
        <f>IFERROR(INDEX('[1]TrialBalance (Quarter)'!$A:$L,MATCH([1]TBMapping!$C1268,'[1]TrialBalance (Quarter)'!A:A,0),MATCH([1]TBMapping!N$3,'[1]TrialBalance (Quarter)'!$7:$7,0)),0)</f>
        <v>0</v>
      </c>
      <c r="N1266" s="5">
        <f>IFERROR(INDEX('[1]TrialBalance (Quarter)'!$A:$L,MATCH([1]TBMapping!$C1268,'[1]TrialBalance (Quarter)'!A:A,0),MATCH([1]TBMapping!O$3,'[1]TrialBalance (Quarter)'!$7:$7,0)),0)</f>
        <v>0</v>
      </c>
    </row>
    <row r="1267" spans="1:14">
      <c r="A1267" s="2">
        <v>39</v>
      </c>
      <c r="B1267" s="3">
        <v>752305</v>
      </c>
      <c r="C1267" s="1" t="s">
        <v>1042</v>
      </c>
      <c r="D1267" s="1" t="s">
        <v>11</v>
      </c>
      <c r="F1267" s="5" t="e">
        <f>IF(DataExtraction="Manual",SUMIF('[1]TrialBalance (YTD)'!$C:$C,B1267,'[1]TrialBalance (YTD)'!$E:$E),SUMIF('[1]TrialBalance (YTD)'!$G:$G,B1267,'[1]TrialBalance (YTD)'!$I:$I))</f>
        <v>#VALUE!</v>
      </c>
      <c r="G1267" s="5">
        <f>IFERROR(INDEX('[1]TrialBalance (YTD)'!$G:$S,MATCH([1]TBMapping!$C1269,'[1]TrialBalance (YTD)'!G:G,0),MATCH([1]TBMapping!H$3,'[1]TrialBalance (YTD)'!$G$7:$Z$7,0)),0)</f>
        <v>0</v>
      </c>
      <c r="H1267" s="5" t="e">
        <f>SUMIF('[1]TrialBalance (YTD)'!G:G,B1267,'[1]TrialBalance (YTD)'!H:H)</f>
        <v>#VALUE!</v>
      </c>
      <c r="I1267" s="5">
        <f>IFERROR(INDEX('[1]TrialBalance (YTD)'!$G:$S,MATCH([1]TBMapping!$C1269,'[1]TrialBalance (YTD)'!G:G,0),MATCH([1]TBMapping!J$3,'[1]TrialBalance (YTD)'!$G$7:$Z$7,0)),0)</f>
        <v>0</v>
      </c>
      <c r="K1267" s="5" t="e">
        <f>SUMIF('[1]TrialBalance (Quarter)'!$A:$A,B1267,'[1]TrialBalance (Quarter)'!$B:$B)</f>
        <v>#VALUE!</v>
      </c>
      <c r="L1267" s="5">
        <f>IFERROR(INDEX('[1]TrialBalance (Quarter)'!$A:$L,MATCH([1]TBMapping!$C1269,'[1]TrialBalance (Quarter)'!A:A,0),MATCH([1]TBMapping!M$3,'[1]TrialBalance (Quarter)'!$7:$7,0)),0)</f>
        <v>0</v>
      </c>
      <c r="M1267" s="5">
        <f>IFERROR(INDEX('[1]TrialBalance (Quarter)'!$A:$L,MATCH([1]TBMapping!$C1269,'[1]TrialBalance (Quarter)'!A:A,0),MATCH([1]TBMapping!N$3,'[1]TrialBalance (Quarter)'!$7:$7,0)),0)</f>
        <v>0</v>
      </c>
      <c r="N1267" s="5">
        <f>IFERROR(INDEX('[1]TrialBalance (Quarter)'!$A:$L,MATCH([1]TBMapping!$C1269,'[1]TrialBalance (Quarter)'!A:A,0),MATCH([1]TBMapping!O$3,'[1]TrialBalance (Quarter)'!$7:$7,0)),0)</f>
        <v>0</v>
      </c>
    </row>
    <row r="1268" spans="1:14">
      <c r="A1268" s="2">
        <v>39</v>
      </c>
      <c r="B1268" s="3">
        <v>752310</v>
      </c>
      <c r="C1268" s="1" t="s">
        <v>1043</v>
      </c>
      <c r="D1268" s="1" t="s">
        <v>11</v>
      </c>
      <c r="F1268" s="5" t="e">
        <f>IF(DataExtraction="Manual",SUMIF('[1]TrialBalance (YTD)'!$C:$C,B1268,'[1]TrialBalance (YTD)'!$E:$E),SUMIF('[1]TrialBalance (YTD)'!$G:$G,B1268,'[1]TrialBalance (YTD)'!$I:$I))</f>
        <v>#VALUE!</v>
      </c>
      <c r="G1268" s="5">
        <f>IFERROR(INDEX('[1]TrialBalance (YTD)'!$G:$S,MATCH([1]TBMapping!$C1270,'[1]TrialBalance (YTD)'!G:G,0),MATCH([1]TBMapping!H$3,'[1]TrialBalance (YTD)'!$G$7:$Z$7,0)),0)</f>
        <v>0</v>
      </c>
      <c r="H1268" s="5" t="e">
        <f>SUMIF('[1]TrialBalance (YTD)'!G:G,B1268,'[1]TrialBalance (YTD)'!H:H)</f>
        <v>#VALUE!</v>
      </c>
      <c r="I1268" s="5">
        <f>IFERROR(INDEX('[1]TrialBalance (YTD)'!$G:$S,MATCH([1]TBMapping!$C1270,'[1]TrialBalance (YTD)'!G:G,0),MATCH([1]TBMapping!J$3,'[1]TrialBalance (YTD)'!$G$7:$Z$7,0)),0)</f>
        <v>0</v>
      </c>
      <c r="K1268" s="5" t="e">
        <f>SUMIF('[1]TrialBalance (Quarter)'!$A:$A,B1268,'[1]TrialBalance (Quarter)'!$B:$B)</f>
        <v>#VALUE!</v>
      </c>
      <c r="L1268" s="5">
        <f>IFERROR(INDEX('[1]TrialBalance (Quarter)'!$A:$L,MATCH([1]TBMapping!$C1270,'[1]TrialBalance (Quarter)'!A:A,0),MATCH([1]TBMapping!M$3,'[1]TrialBalance (Quarter)'!$7:$7,0)),0)</f>
        <v>0</v>
      </c>
      <c r="M1268" s="5">
        <f>IFERROR(INDEX('[1]TrialBalance (Quarter)'!$A:$L,MATCH([1]TBMapping!$C1270,'[1]TrialBalance (Quarter)'!A:A,0),MATCH([1]TBMapping!N$3,'[1]TrialBalance (Quarter)'!$7:$7,0)),0)</f>
        <v>0</v>
      </c>
      <c r="N1268" s="5">
        <f>IFERROR(INDEX('[1]TrialBalance (Quarter)'!$A:$L,MATCH([1]TBMapping!$C1270,'[1]TrialBalance (Quarter)'!A:A,0),MATCH([1]TBMapping!O$3,'[1]TrialBalance (Quarter)'!$7:$7,0)),0)</f>
        <v>0</v>
      </c>
    </row>
    <row r="1269" spans="1:14">
      <c r="A1269" s="2">
        <v>39</v>
      </c>
      <c r="B1269" s="3">
        <v>752320</v>
      </c>
      <c r="C1269" s="1" t="s">
        <v>1044</v>
      </c>
      <c r="D1269" s="1" t="s">
        <v>11</v>
      </c>
      <c r="F1269" s="5" t="e">
        <f>IF(DataExtraction="Manual",SUMIF('[1]TrialBalance (YTD)'!$C:$C,B1269,'[1]TrialBalance (YTD)'!$E:$E),SUMIF('[1]TrialBalance (YTD)'!$G:$G,B1269,'[1]TrialBalance (YTD)'!$I:$I))</f>
        <v>#VALUE!</v>
      </c>
      <c r="G1269" s="5">
        <f>IFERROR(INDEX('[1]TrialBalance (YTD)'!$G:$S,MATCH([1]TBMapping!$C1271,'[1]TrialBalance (YTD)'!G:G,0),MATCH([1]TBMapping!H$3,'[1]TrialBalance (YTD)'!$G$7:$Z$7,0)),0)</f>
        <v>0</v>
      </c>
      <c r="H1269" s="5" t="e">
        <f>SUMIF('[1]TrialBalance (YTD)'!G:G,B1269,'[1]TrialBalance (YTD)'!H:H)</f>
        <v>#VALUE!</v>
      </c>
      <c r="I1269" s="5">
        <f>IFERROR(INDEX('[1]TrialBalance (YTD)'!$G:$S,MATCH([1]TBMapping!$C1271,'[1]TrialBalance (YTD)'!G:G,0),MATCH([1]TBMapping!J$3,'[1]TrialBalance (YTD)'!$G$7:$Z$7,0)),0)</f>
        <v>0</v>
      </c>
      <c r="K1269" s="5" t="e">
        <f>SUMIF('[1]TrialBalance (Quarter)'!$A:$A,B1269,'[1]TrialBalance (Quarter)'!$B:$B)</f>
        <v>#VALUE!</v>
      </c>
      <c r="L1269" s="5">
        <f>IFERROR(INDEX('[1]TrialBalance (Quarter)'!$A:$L,MATCH([1]TBMapping!$C1271,'[1]TrialBalance (Quarter)'!A:A,0),MATCH([1]TBMapping!M$3,'[1]TrialBalance (Quarter)'!$7:$7,0)),0)</f>
        <v>0</v>
      </c>
      <c r="M1269" s="5">
        <f>IFERROR(INDEX('[1]TrialBalance (Quarter)'!$A:$L,MATCH([1]TBMapping!$C1271,'[1]TrialBalance (Quarter)'!A:A,0),MATCH([1]TBMapping!N$3,'[1]TrialBalance (Quarter)'!$7:$7,0)),0)</f>
        <v>0</v>
      </c>
      <c r="N1269" s="5">
        <f>IFERROR(INDEX('[1]TrialBalance (Quarter)'!$A:$L,MATCH([1]TBMapping!$C1271,'[1]TrialBalance (Quarter)'!A:A,0),MATCH([1]TBMapping!O$3,'[1]TrialBalance (Quarter)'!$7:$7,0)),0)</f>
        <v>0</v>
      </c>
    </row>
    <row r="1270" spans="1:14">
      <c r="A1270" s="2">
        <v>39</v>
      </c>
      <c r="B1270" s="3">
        <v>752330</v>
      </c>
      <c r="C1270" s="1" t="s">
        <v>1045</v>
      </c>
      <c r="D1270" s="1" t="s">
        <v>11</v>
      </c>
      <c r="F1270" s="5" t="e">
        <f>IF(DataExtraction="Manual",SUMIF('[1]TrialBalance (YTD)'!$C:$C,B1270,'[1]TrialBalance (YTD)'!$E:$E),SUMIF('[1]TrialBalance (YTD)'!$G:$G,B1270,'[1]TrialBalance (YTD)'!$I:$I))</f>
        <v>#VALUE!</v>
      </c>
      <c r="G1270" s="5">
        <f>IFERROR(INDEX('[1]TrialBalance (YTD)'!$G:$S,MATCH([1]TBMapping!$C1272,'[1]TrialBalance (YTD)'!G:G,0),MATCH([1]TBMapping!H$3,'[1]TrialBalance (YTD)'!$G$7:$Z$7,0)),0)</f>
        <v>0</v>
      </c>
      <c r="H1270" s="5" t="e">
        <f>SUMIF('[1]TrialBalance (YTD)'!G:G,B1270,'[1]TrialBalance (YTD)'!H:H)</f>
        <v>#VALUE!</v>
      </c>
      <c r="I1270" s="5">
        <f>IFERROR(INDEX('[1]TrialBalance (YTD)'!$G:$S,MATCH([1]TBMapping!$C1272,'[1]TrialBalance (YTD)'!G:G,0),MATCH([1]TBMapping!J$3,'[1]TrialBalance (YTD)'!$G$7:$Z$7,0)),0)</f>
        <v>0</v>
      </c>
      <c r="K1270" s="5" t="e">
        <f>SUMIF('[1]TrialBalance (Quarter)'!$A:$A,B1270,'[1]TrialBalance (Quarter)'!$B:$B)</f>
        <v>#VALUE!</v>
      </c>
      <c r="L1270" s="5">
        <f>IFERROR(INDEX('[1]TrialBalance (Quarter)'!$A:$L,MATCH([1]TBMapping!$C1272,'[1]TrialBalance (Quarter)'!A:A,0),MATCH([1]TBMapping!M$3,'[1]TrialBalance (Quarter)'!$7:$7,0)),0)</f>
        <v>0</v>
      </c>
      <c r="M1270" s="5">
        <f>IFERROR(INDEX('[1]TrialBalance (Quarter)'!$A:$L,MATCH([1]TBMapping!$C1272,'[1]TrialBalance (Quarter)'!A:A,0),MATCH([1]TBMapping!N$3,'[1]TrialBalance (Quarter)'!$7:$7,0)),0)</f>
        <v>0</v>
      </c>
      <c r="N1270" s="5">
        <f>IFERROR(INDEX('[1]TrialBalance (Quarter)'!$A:$L,MATCH([1]TBMapping!$C1272,'[1]TrialBalance (Quarter)'!A:A,0),MATCH([1]TBMapping!O$3,'[1]TrialBalance (Quarter)'!$7:$7,0)),0)</f>
        <v>0</v>
      </c>
    </row>
    <row r="1271" spans="1:14">
      <c r="A1271" s="2">
        <v>39</v>
      </c>
      <c r="B1271" s="3">
        <v>752340</v>
      </c>
      <c r="C1271" s="1" t="s">
        <v>1046</v>
      </c>
      <c r="D1271" s="1" t="s">
        <v>11</v>
      </c>
      <c r="F1271" s="5" t="e">
        <f>IF(DataExtraction="Manual",SUMIF('[1]TrialBalance (YTD)'!$C:$C,B1271,'[1]TrialBalance (YTD)'!$E:$E),SUMIF('[1]TrialBalance (YTD)'!$G:$G,B1271,'[1]TrialBalance (YTD)'!$I:$I))</f>
        <v>#VALUE!</v>
      </c>
      <c r="G1271" s="5">
        <f>IFERROR(INDEX('[1]TrialBalance (YTD)'!$G:$S,MATCH([1]TBMapping!$C1273,'[1]TrialBalance (YTD)'!G:G,0),MATCH([1]TBMapping!H$3,'[1]TrialBalance (YTD)'!$G$7:$Z$7,0)),0)</f>
        <v>0</v>
      </c>
      <c r="H1271" s="5" t="e">
        <f>SUMIF('[1]TrialBalance (YTD)'!G:G,B1271,'[1]TrialBalance (YTD)'!H:H)</f>
        <v>#VALUE!</v>
      </c>
      <c r="I1271" s="5">
        <f>IFERROR(INDEX('[1]TrialBalance (YTD)'!$G:$S,MATCH([1]TBMapping!$C1273,'[1]TrialBalance (YTD)'!G:G,0),MATCH([1]TBMapping!J$3,'[1]TrialBalance (YTD)'!$G$7:$Z$7,0)),0)</f>
        <v>0</v>
      </c>
      <c r="K1271" s="5" t="e">
        <f>SUMIF('[1]TrialBalance (Quarter)'!$A:$A,B1271,'[1]TrialBalance (Quarter)'!$B:$B)</f>
        <v>#VALUE!</v>
      </c>
      <c r="L1271" s="5">
        <f>IFERROR(INDEX('[1]TrialBalance (Quarter)'!$A:$L,MATCH([1]TBMapping!$C1273,'[1]TrialBalance (Quarter)'!A:A,0),MATCH([1]TBMapping!M$3,'[1]TrialBalance (Quarter)'!$7:$7,0)),0)</f>
        <v>0</v>
      </c>
      <c r="M1271" s="5">
        <f>IFERROR(INDEX('[1]TrialBalance (Quarter)'!$A:$L,MATCH([1]TBMapping!$C1273,'[1]TrialBalance (Quarter)'!A:A,0),MATCH([1]TBMapping!N$3,'[1]TrialBalance (Quarter)'!$7:$7,0)),0)</f>
        <v>0</v>
      </c>
      <c r="N1271" s="5">
        <f>IFERROR(INDEX('[1]TrialBalance (Quarter)'!$A:$L,MATCH([1]TBMapping!$C1273,'[1]TrialBalance (Quarter)'!A:A,0),MATCH([1]TBMapping!O$3,'[1]TrialBalance (Quarter)'!$7:$7,0)),0)</f>
        <v>0</v>
      </c>
    </row>
    <row r="1272" spans="1:14">
      <c r="A1272" s="2">
        <v>39</v>
      </c>
      <c r="B1272" s="3">
        <v>752399</v>
      </c>
      <c r="C1272" s="1" t="s">
        <v>1047</v>
      </c>
      <c r="D1272" s="1" t="s">
        <v>11</v>
      </c>
      <c r="F1272" s="5" t="e">
        <f>IF(DataExtraction="Manual",SUMIF('[1]TrialBalance (YTD)'!$C:$C,B1272,'[1]TrialBalance (YTD)'!$E:$E),SUMIF('[1]TrialBalance (YTD)'!$G:$G,B1272,'[1]TrialBalance (YTD)'!$I:$I))</f>
        <v>#VALUE!</v>
      </c>
      <c r="G1272" s="5">
        <f>IFERROR(INDEX('[1]TrialBalance (YTD)'!$G:$S,MATCH([1]TBMapping!$C1274,'[1]TrialBalance (YTD)'!G:G,0),MATCH([1]TBMapping!H$3,'[1]TrialBalance (YTD)'!$G$7:$Z$7,0)),0)</f>
        <v>0</v>
      </c>
      <c r="H1272" s="5" t="e">
        <f>SUMIF('[1]TrialBalance (YTD)'!G:G,B1272,'[1]TrialBalance (YTD)'!H:H)</f>
        <v>#VALUE!</v>
      </c>
      <c r="I1272" s="5">
        <f>IFERROR(INDEX('[1]TrialBalance (YTD)'!$G:$S,MATCH([1]TBMapping!$C1274,'[1]TrialBalance (YTD)'!G:G,0),MATCH([1]TBMapping!J$3,'[1]TrialBalance (YTD)'!$G$7:$Z$7,0)),0)</f>
        <v>0</v>
      </c>
      <c r="K1272" s="5" t="e">
        <f>SUMIF('[1]TrialBalance (Quarter)'!$A:$A,B1272,'[1]TrialBalance (Quarter)'!$B:$B)</f>
        <v>#VALUE!</v>
      </c>
      <c r="L1272" s="5">
        <f>IFERROR(INDEX('[1]TrialBalance (Quarter)'!$A:$L,MATCH([1]TBMapping!$C1274,'[1]TrialBalance (Quarter)'!A:A,0),MATCH([1]TBMapping!M$3,'[1]TrialBalance (Quarter)'!$7:$7,0)),0)</f>
        <v>0</v>
      </c>
      <c r="M1272" s="5">
        <f>IFERROR(INDEX('[1]TrialBalance (Quarter)'!$A:$L,MATCH([1]TBMapping!$C1274,'[1]TrialBalance (Quarter)'!A:A,0),MATCH([1]TBMapping!N$3,'[1]TrialBalance (Quarter)'!$7:$7,0)),0)</f>
        <v>0</v>
      </c>
      <c r="N1272" s="5">
        <f>IFERROR(INDEX('[1]TrialBalance (Quarter)'!$A:$L,MATCH([1]TBMapping!$C1274,'[1]TrialBalance (Quarter)'!A:A,0),MATCH([1]TBMapping!O$3,'[1]TrialBalance (Quarter)'!$7:$7,0)),0)</f>
        <v>2413</v>
      </c>
    </row>
    <row r="1273" spans="1:14">
      <c r="A1273" s="2">
        <v>39</v>
      </c>
      <c r="B1273" s="3">
        <v>752400</v>
      </c>
      <c r="C1273" s="1" t="s">
        <v>1048</v>
      </c>
      <c r="D1273" s="1" t="s">
        <v>16</v>
      </c>
      <c r="F1273" s="5" t="e">
        <f>IF(DataExtraction="Manual",SUMIF('[1]TrialBalance (YTD)'!$C:$C,B1273,'[1]TrialBalance (YTD)'!$E:$E),SUMIF('[1]TrialBalance (YTD)'!$G:$G,B1273,'[1]TrialBalance (YTD)'!$I:$I))</f>
        <v>#VALUE!</v>
      </c>
      <c r="G1273" s="5">
        <f>IFERROR(INDEX('[1]TrialBalance (YTD)'!$G:$S,MATCH([1]TBMapping!$C1275,'[1]TrialBalance (YTD)'!G:G,0),MATCH([1]TBMapping!H$3,'[1]TrialBalance (YTD)'!$G$7:$Z$7,0)),0)</f>
        <v>0</v>
      </c>
      <c r="H1273" s="5" t="e">
        <f>SUMIF('[1]TrialBalance (YTD)'!G:G,B1273,'[1]TrialBalance (YTD)'!H:H)</f>
        <v>#VALUE!</v>
      </c>
      <c r="I1273" s="5">
        <f>IFERROR(INDEX('[1]TrialBalance (YTD)'!$G:$S,MATCH([1]TBMapping!$C1275,'[1]TrialBalance (YTD)'!G:G,0),MATCH([1]TBMapping!J$3,'[1]TrialBalance (YTD)'!$G$7:$Z$7,0)),0)</f>
        <v>0</v>
      </c>
      <c r="K1273" s="5" t="e">
        <f>SUMIF('[1]TrialBalance (Quarter)'!$A:$A,B1273,'[1]TrialBalance (Quarter)'!$B:$B)</f>
        <v>#VALUE!</v>
      </c>
      <c r="L1273" s="5">
        <f>IFERROR(INDEX('[1]TrialBalance (Quarter)'!$A:$L,MATCH([1]TBMapping!$C1275,'[1]TrialBalance (Quarter)'!A:A,0),MATCH([1]TBMapping!M$3,'[1]TrialBalance (Quarter)'!$7:$7,0)),0)</f>
        <v>0</v>
      </c>
      <c r="M1273" s="5">
        <f>IFERROR(INDEX('[1]TrialBalance (Quarter)'!$A:$L,MATCH([1]TBMapping!$C1275,'[1]TrialBalance (Quarter)'!A:A,0),MATCH([1]TBMapping!N$3,'[1]TrialBalance (Quarter)'!$7:$7,0)),0)</f>
        <v>0</v>
      </c>
      <c r="N1273" s="5">
        <f>IFERROR(INDEX('[1]TrialBalance (Quarter)'!$A:$L,MATCH([1]TBMapping!$C1275,'[1]TrialBalance (Quarter)'!A:A,0),MATCH([1]TBMapping!O$3,'[1]TrialBalance (Quarter)'!$7:$7,0)),0)</f>
        <v>0</v>
      </c>
    </row>
    <row r="1274" spans="1:14">
      <c r="A1274" s="2">
        <v>39</v>
      </c>
      <c r="B1274" s="3">
        <v>752500</v>
      </c>
      <c r="C1274" s="1" t="s">
        <v>1049</v>
      </c>
      <c r="D1274" s="1" t="s">
        <v>5</v>
      </c>
      <c r="F1274" s="5" t="e">
        <f>IF(DataExtraction="Manual",SUMIF('[1]TrialBalance (YTD)'!$C:$C,B1274,'[1]TrialBalance (YTD)'!$E:$E),SUMIF('[1]TrialBalance (YTD)'!$G:$G,B1274,'[1]TrialBalance (YTD)'!$I:$I))</f>
        <v>#VALUE!</v>
      </c>
      <c r="G1274" s="5">
        <f>IFERROR(INDEX('[1]TrialBalance (YTD)'!$G:$S,MATCH([1]TBMapping!$C1276,'[1]TrialBalance (YTD)'!G:G,0),MATCH([1]TBMapping!H$3,'[1]TrialBalance (YTD)'!$G$7:$Z$7,0)),0)</f>
        <v>0</v>
      </c>
      <c r="H1274" s="5" t="e">
        <f>SUMIF('[1]TrialBalance (YTD)'!G:G,B1274,'[1]TrialBalance (YTD)'!H:H)</f>
        <v>#VALUE!</v>
      </c>
      <c r="I1274" s="5">
        <f>IFERROR(INDEX('[1]TrialBalance (YTD)'!$G:$S,MATCH([1]TBMapping!$C1276,'[1]TrialBalance (YTD)'!G:G,0),MATCH([1]TBMapping!J$3,'[1]TrialBalance (YTD)'!$G$7:$Z$7,0)),0)</f>
        <v>0</v>
      </c>
      <c r="K1274" s="5" t="e">
        <f>SUMIF('[1]TrialBalance (Quarter)'!$A:$A,B1274,'[1]TrialBalance (Quarter)'!$B:$B)</f>
        <v>#VALUE!</v>
      </c>
      <c r="L1274" s="5">
        <f>IFERROR(INDEX('[1]TrialBalance (Quarter)'!$A:$L,MATCH([1]TBMapping!$C1276,'[1]TrialBalance (Quarter)'!A:A,0),MATCH([1]TBMapping!M$3,'[1]TrialBalance (Quarter)'!$7:$7,0)),0)</f>
        <v>0</v>
      </c>
      <c r="M1274" s="5">
        <f>IFERROR(INDEX('[1]TrialBalance (Quarter)'!$A:$L,MATCH([1]TBMapping!$C1276,'[1]TrialBalance (Quarter)'!A:A,0),MATCH([1]TBMapping!N$3,'[1]TrialBalance (Quarter)'!$7:$7,0)),0)</f>
        <v>0</v>
      </c>
      <c r="N1274" s="5">
        <f>IFERROR(INDEX('[1]TrialBalance (Quarter)'!$A:$L,MATCH([1]TBMapping!$C1276,'[1]TrialBalance (Quarter)'!A:A,0),MATCH([1]TBMapping!O$3,'[1]TrialBalance (Quarter)'!$7:$7,0)),0)</f>
        <v>0</v>
      </c>
    </row>
    <row r="1275" spans="1:14">
      <c r="B1275" s="3">
        <v>752599</v>
      </c>
      <c r="C1275" s="1" t="s">
        <v>1050</v>
      </c>
      <c r="D1275" s="1" t="s">
        <v>11</v>
      </c>
      <c r="F1275" s="5" t="e">
        <f>IF(DataExtraction="Manual",SUMIF('[1]TrialBalance (YTD)'!$C:$C,B1275,'[1]TrialBalance (YTD)'!$E:$E),SUMIF('[1]TrialBalance (YTD)'!$G:$G,B1275,'[1]TrialBalance (YTD)'!$I:$I))</f>
        <v>#VALUE!</v>
      </c>
      <c r="G1275" s="5">
        <f>IFERROR(INDEX('[1]TrialBalance (YTD)'!$G:$S,MATCH([1]TBMapping!$C1277,'[1]TrialBalance (YTD)'!G:G,0),MATCH([1]TBMapping!H$3,'[1]TrialBalance (YTD)'!$G$7:$Z$7,0)),0)</f>
        <v>0</v>
      </c>
      <c r="H1275" s="5" t="e">
        <f>SUMIF('[1]TrialBalance (YTD)'!G:G,B1275,'[1]TrialBalance (YTD)'!H:H)</f>
        <v>#VALUE!</v>
      </c>
      <c r="I1275" s="5">
        <f>IFERROR(INDEX('[1]TrialBalance (YTD)'!$G:$S,MATCH([1]TBMapping!$C1277,'[1]TrialBalance (YTD)'!G:G,0),MATCH([1]TBMapping!J$3,'[1]TrialBalance (YTD)'!$G$7:$Z$7,0)),0)</f>
        <v>0</v>
      </c>
      <c r="K1275" s="5" t="e">
        <f>SUMIF('[1]TrialBalance (Quarter)'!$A:$A,B1275,'[1]TrialBalance (Quarter)'!$B:$B)</f>
        <v>#VALUE!</v>
      </c>
      <c r="L1275" s="5">
        <f>IFERROR(INDEX('[1]TrialBalance (Quarter)'!$A:$L,MATCH([1]TBMapping!$C1277,'[1]TrialBalance (Quarter)'!A:A,0),MATCH([1]TBMapping!M$3,'[1]TrialBalance (Quarter)'!$7:$7,0)),0)</f>
        <v>0</v>
      </c>
      <c r="M1275" s="5">
        <f>IFERROR(INDEX('[1]TrialBalance (Quarter)'!$A:$L,MATCH([1]TBMapping!$C1277,'[1]TrialBalance (Quarter)'!A:A,0),MATCH([1]TBMapping!N$3,'[1]TrialBalance (Quarter)'!$7:$7,0)),0)</f>
        <v>0</v>
      </c>
      <c r="N1275" s="5">
        <f>IFERROR(INDEX('[1]TrialBalance (Quarter)'!$A:$L,MATCH([1]TBMapping!$C1277,'[1]TrialBalance (Quarter)'!A:A,0),MATCH([1]TBMapping!O$3,'[1]TrialBalance (Quarter)'!$7:$7,0)),0)</f>
        <v>0</v>
      </c>
    </row>
    <row r="1276" spans="1:14">
      <c r="B1276" s="3">
        <v>752600</v>
      </c>
      <c r="C1276" s="1" t="s">
        <v>1051</v>
      </c>
      <c r="D1276" s="1" t="s">
        <v>11</v>
      </c>
      <c r="F1276" s="5" t="e">
        <f>IF(DataExtraction="Manual",SUMIF('[1]TrialBalance (YTD)'!$C:$C,B1276,'[1]TrialBalance (YTD)'!$E:$E),SUMIF('[1]TrialBalance (YTD)'!$G:$G,B1276,'[1]TrialBalance (YTD)'!$I:$I))</f>
        <v>#VALUE!</v>
      </c>
      <c r="G1276" s="5">
        <f>IFERROR(INDEX('[1]TrialBalance (YTD)'!$G:$S,MATCH([1]TBMapping!$C1278,'[1]TrialBalance (YTD)'!G:G,0),MATCH([1]TBMapping!H$3,'[1]TrialBalance (YTD)'!$G$7:$Z$7,0)),0)</f>
        <v>0</v>
      </c>
      <c r="H1276" s="5" t="e">
        <f>SUMIF('[1]TrialBalance (YTD)'!G:G,B1276,'[1]TrialBalance (YTD)'!H:H)</f>
        <v>#VALUE!</v>
      </c>
      <c r="I1276" s="5">
        <f>IFERROR(INDEX('[1]TrialBalance (YTD)'!$G:$S,MATCH([1]TBMapping!$C1278,'[1]TrialBalance (YTD)'!G:G,0),MATCH([1]TBMapping!J$3,'[1]TrialBalance (YTD)'!$G$7:$Z$7,0)),0)</f>
        <v>0</v>
      </c>
      <c r="K1276" s="5" t="e">
        <f>SUMIF('[1]TrialBalance (Quarter)'!$A:$A,B1276,'[1]TrialBalance (Quarter)'!$B:$B)</f>
        <v>#VALUE!</v>
      </c>
      <c r="L1276" s="5">
        <f>IFERROR(INDEX('[1]TrialBalance (Quarter)'!$A:$L,MATCH([1]TBMapping!$C1278,'[1]TrialBalance (Quarter)'!A:A,0),MATCH([1]TBMapping!M$3,'[1]TrialBalance (Quarter)'!$7:$7,0)),0)</f>
        <v>0</v>
      </c>
      <c r="M1276" s="5">
        <f>IFERROR(INDEX('[1]TrialBalance (Quarter)'!$A:$L,MATCH([1]TBMapping!$C1278,'[1]TrialBalance (Quarter)'!A:A,0),MATCH([1]TBMapping!N$3,'[1]TrialBalance (Quarter)'!$7:$7,0)),0)</f>
        <v>0</v>
      </c>
      <c r="N1276" s="5">
        <f>IFERROR(INDEX('[1]TrialBalance (Quarter)'!$A:$L,MATCH([1]TBMapping!$C1278,'[1]TrialBalance (Quarter)'!A:A,0),MATCH([1]TBMapping!O$3,'[1]TrialBalance (Quarter)'!$7:$7,0)),0)</f>
        <v>0</v>
      </c>
    </row>
    <row r="1277" spans="1:14">
      <c r="A1277" s="2">
        <v>39</v>
      </c>
      <c r="B1277" s="3">
        <v>752610</v>
      </c>
      <c r="C1277" s="1" t="s">
        <v>1052</v>
      </c>
      <c r="D1277" s="1" t="s">
        <v>11</v>
      </c>
      <c r="F1277" s="5" t="e">
        <f>IF(DataExtraction="Manual",SUMIF('[1]TrialBalance (YTD)'!$C:$C,B1277,'[1]TrialBalance (YTD)'!$E:$E),SUMIF('[1]TrialBalance (YTD)'!$G:$G,B1277,'[1]TrialBalance (YTD)'!$I:$I))</f>
        <v>#VALUE!</v>
      </c>
      <c r="G1277" s="5">
        <f>IFERROR(INDEX('[1]TrialBalance (YTD)'!$G:$S,MATCH([1]TBMapping!$C1279,'[1]TrialBalance (YTD)'!G:G,0),MATCH([1]TBMapping!H$3,'[1]TrialBalance (YTD)'!$G$7:$Z$7,0)),0)</f>
        <v>0</v>
      </c>
      <c r="H1277" s="5" t="e">
        <f>SUMIF('[1]TrialBalance (YTD)'!G:G,B1277,'[1]TrialBalance (YTD)'!H:H)</f>
        <v>#VALUE!</v>
      </c>
      <c r="I1277" s="5">
        <f>IFERROR(INDEX('[1]TrialBalance (YTD)'!$G:$S,MATCH([1]TBMapping!$C1279,'[1]TrialBalance (YTD)'!G:G,0),MATCH([1]TBMapping!J$3,'[1]TrialBalance (YTD)'!$G$7:$Z$7,0)),0)</f>
        <v>0</v>
      </c>
      <c r="K1277" s="5" t="e">
        <f>SUMIF('[1]TrialBalance (Quarter)'!$A:$A,B1277,'[1]TrialBalance (Quarter)'!$B:$B)</f>
        <v>#VALUE!</v>
      </c>
      <c r="L1277" s="5">
        <f>IFERROR(INDEX('[1]TrialBalance (Quarter)'!$A:$L,MATCH([1]TBMapping!$C1279,'[1]TrialBalance (Quarter)'!A:A,0),MATCH([1]TBMapping!M$3,'[1]TrialBalance (Quarter)'!$7:$7,0)),0)</f>
        <v>0</v>
      </c>
      <c r="M1277" s="5">
        <f>IFERROR(INDEX('[1]TrialBalance (Quarter)'!$A:$L,MATCH([1]TBMapping!$C1279,'[1]TrialBalance (Quarter)'!A:A,0),MATCH([1]TBMapping!N$3,'[1]TrialBalance (Quarter)'!$7:$7,0)),0)</f>
        <v>0</v>
      </c>
      <c r="N1277" s="5">
        <f>IFERROR(INDEX('[1]TrialBalance (Quarter)'!$A:$L,MATCH([1]TBMapping!$C1279,'[1]TrialBalance (Quarter)'!A:A,0),MATCH([1]TBMapping!O$3,'[1]TrialBalance (Quarter)'!$7:$7,0)),0)</f>
        <v>0</v>
      </c>
    </row>
    <row r="1278" spans="1:14">
      <c r="A1278" s="2">
        <v>39</v>
      </c>
      <c r="B1278" s="3">
        <v>752620</v>
      </c>
      <c r="C1278" s="1" t="s">
        <v>1053</v>
      </c>
      <c r="D1278" s="1" t="s">
        <v>16</v>
      </c>
      <c r="F1278" s="5" t="e">
        <f>IF(DataExtraction="Manual",SUMIF('[1]TrialBalance (YTD)'!$C:$C,B1278,'[1]TrialBalance (YTD)'!$E:$E),SUMIF('[1]TrialBalance (YTD)'!$G:$G,B1278,'[1]TrialBalance (YTD)'!$I:$I))</f>
        <v>#VALUE!</v>
      </c>
      <c r="G1278" s="5">
        <f>IFERROR(INDEX('[1]TrialBalance (YTD)'!$G:$S,MATCH([1]TBMapping!$C1280,'[1]TrialBalance (YTD)'!G:G,0),MATCH([1]TBMapping!H$3,'[1]TrialBalance (YTD)'!$G$7:$Z$7,0)),0)</f>
        <v>0</v>
      </c>
      <c r="H1278" s="5" t="e">
        <f>SUMIF('[1]TrialBalance (YTD)'!G:G,B1278,'[1]TrialBalance (YTD)'!H:H)</f>
        <v>#VALUE!</v>
      </c>
      <c r="I1278" s="5">
        <f>IFERROR(INDEX('[1]TrialBalance (YTD)'!$G:$S,MATCH([1]TBMapping!$C1280,'[1]TrialBalance (YTD)'!G:G,0),MATCH([1]TBMapping!J$3,'[1]TrialBalance (YTD)'!$G$7:$Z$7,0)),0)</f>
        <v>0</v>
      </c>
      <c r="K1278" s="5" t="e">
        <f>SUMIF('[1]TrialBalance (Quarter)'!$A:$A,B1278,'[1]TrialBalance (Quarter)'!$B:$B)</f>
        <v>#VALUE!</v>
      </c>
      <c r="L1278" s="5">
        <f>IFERROR(INDEX('[1]TrialBalance (Quarter)'!$A:$L,MATCH([1]TBMapping!$C1280,'[1]TrialBalance (Quarter)'!A:A,0),MATCH([1]TBMapping!M$3,'[1]TrialBalance (Quarter)'!$7:$7,0)),0)</f>
        <v>0</v>
      </c>
      <c r="M1278" s="5">
        <f>IFERROR(INDEX('[1]TrialBalance (Quarter)'!$A:$L,MATCH([1]TBMapping!$C1280,'[1]TrialBalance (Quarter)'!A:A,0),MATCH([1]TBMapping!N$3,'[1]TrialBalance (Quarter)'!$7:$7,0)),0)</f>
        <v>0</v>
      </c>
      <c r="N1278" s="5">
        <f>IFERROR(INDEX('[1]TrialBalance (Quarter)'!$A:$L,MATCH([1]TBMapping!$C1280,'[1]TrialBalance (Quarter)'!A:A,0),MATCH([1]TBMapping!O$3,'[1]TrialBalance (Quarter)'!$7:$7,0)),0)</f>
        <v>0</v>
      </c>
    </row>
    <row r="1279" spans="1:14">
      <c r="A1279" s="2">
        <v>39</v>
      </c>
      <c r="B1279" s="3">
        <v>752630</v>
      </c>
      <c r="C1279" s="1" t="s">
        <v>1054</v>
      </c>
      <c r="D1279" s="1" t="s">
        <v>11</v>
      </c>
      <c r="F1279" s="5" t="e">
        <f>IF(DataExtraction="Manual",SUMIF('[1]TrialBalance (YTD)'!$C:$C,B1279,'[1]TrialBalance (YTD)'!$E:$E),SUMIF('[1]TrialBalance (YTD)'!$G:$G,B1279,'[1]TrialBalance (YTD)'!$I:$I))</f>
        <v>#VALUE!</v>
      </c>
      <c r="G1279" s="5">
        <f>IFERROR(INDEX('[1]TrialBalance (YTD)'!$G:$S,MATCH([1]TBMapping!$C1281,'[1]TrialBalance (YTD)'!G:G,0),MATCH([1]TBMapping!H$3,'[1]TrialBalance (YTD)'!$G$7:$Z$7,0)),0)</f>
        <v>0</v>
      </c>
      <c r="H1279" s="5" t="e">
        <f>SUMIF('[1]TrialBalance (YTD)'!G:G,B1279,'[1]TrialBalance (YTD)'!H:H)</f>
        <v>#VALUE!</v>
      </c>
      <c r="I1279" s="5">
        <f>IFERROR(INDEX('[1]TrialBalance (YTD)'!$G:$S,MATCH([1]TBMapping!$C1281,'[1]TrialBalance (YTD)'!G:G,0),MATCH([1]TBMapping!J$3,'[1]TrialBalance (YTD)'!$G$7:$Z$7,0)),0)</f>
        <v>0</v>
      </c>
      <c r="K1279" s="5" t="e">
        <f>SUMIF('[1]TrialBalance (Quarter)'!$A:$A,B1279,'[1]TrialBalance (Quarter)'!$B:$B)</f>
        <v>#VALUE!</v>
      </c>
      <c r="L1279" s="5">
        <f>IFERROR(INDEX('[1]TrialBalance (Quarter)'!$A:$L,MATCH([1]TBMapping!$C1281,'[1]TrialBalance (Quarter)'!A:A,0),MATCH([1]TBMapping!M$3,'[1]TrialBalance (Quarter)'!$7:$7,0)),0)</f>
        <v>0</v>
      </c>
      <c r="M1279" s="5">
        <f>IFERROR(INDEX('[1]TrialBalance (Quarter)'!$A:$L,MATCH([1]TBMapping!$C1281,'[1]TrialBalance (Quarter)'!A:A,0),MATCH([1]TBMapping!N$3,'[1]TrialBalance (Quarter)'!$7:$7,0)),0)</f>
        <v>0</v>
      </c>
      <c r="N1279" s="5">
        <f>IFERROR(INDEX('[1]TrialBalance (Quarter)'!$A:$L,MATCH([1]TBMapping!$C1281,'[1]TrialBalance (Quarter)'!A:A,0),MATCH([1]TBMapping!O$3,'[1]TrialBalance (Quarter)'!$7:$7,0)),0)</f>
        <v>0</v>
      </c>
    </row>
    <row r="1280" spans="1:14">
      <c r="B1280" s="3">
        <v>752699</v>
      </c>
      <c r="C1280" s="1" t="s">
        <v>1055</v>
      </c>
      <c r="D1280" s="1" t="s">
        <v>11</v>
      </c>
      <c r="F1280" s="5" t="e">
        <f>IF(DataExtraction="Manual",SUMIF('[1]TrialBalance (YTD)'!$C:$C,B1280,'[1]TrialBalance (YTD)'!$E:$E),SUMIF('[1]TrialBalance (YTD)'!$G:$G,B1280,'[1]TrialBalance (YTD)'!$I:$I))</f>
        <v>#VALUE!</v>
      </c>
      <c r="G1280" s="5">
        <f>IFERROR(INDEX('[1]TrialBalance (YTD)'!$G:$S,MATCH([1]TBMapping!$C1282,'[1]TrialBalance (YTD)'!G:G,0),MATCH([1]TBMapping!H$3,'[1]TrialBalance (YTD)'!$G$7:$Z$7,0)),0)</f>
        <v>0</v>
      </c>
      <c r="H1280" s="5" t="e">
        <f>SUMIF('[1]TrialBalance (YTD)'!G:G,B1280,'[1]TrialBalance (YTD)'!H:H)</f>
        <v>#VALUE!</v>
      </c>
      <c r="I1280" s="5">
        <f>IFERROR(INDEX('[1]TrialBalance (YTD)'!$G:$S,MATCH([1]TBMapping!$C1282,'[1]TrialBalance (YTD)'!G:G,0),MATCH([1]TBMapping!J$3,'[1]TrialBalance (YTD)'!$G$7:$Z$7,0)),0)</f>
        <v>0</v>
      </c>
      <c r="K1280" s="5" t="e">
        <f>SUMIF('[1]TrialBalance (Quarter)'!$A:$A,B1280,'[1]TrialBalance (Quarter)'!$B:$B)</f>
        <v>#VALUE!</v>
      </c>
      <c r="L1280" s="5">
        <f>IFERROR(INDEX('[1]TrialBalance (Quarter)'!$A:$L,MATCH([1]TBMapping!$C1282,'[1]TrialBalance (Quarter)'!A:A,0),MATCH([1]TBMapping!M$3,'[1]TrialBalance (Quarter)'!$7:$7,0)),0)</f>
        <v>0</v>
      </c>
      <c r="M1280" s="5">
        <f>IFERROR(INDEX('[1]TrialBalance (Quarter)'!$A:$L,MATCH([1]TBMapping!$C1282,'[1]TrialBalance (Quarter)'!A:A,0),MATCH([1]TBMapping!N$3,'[1]TrialBalance (Quarter)'!$7:$7,0)),0)</f>
        <v>0</v>
      </c>
      <c r="N1280" s="5">
        <f>IFERROR(INDEX('[1]TrialBalance (Quarter)'!$A:$L,MATCH([1]TBMapping!$C1282,'[1]TrialBalance (Quarter)'!A:A,0),MATCH([1]TBMapping!O$3,'[1]TrialBalance (Quarter)'!$7:$7,0)),0)</f>
        <v>0</v>
      </c>
    </row>
    <row r="1281" spans="1:14">
      <c r="A1281" s="2">
        <v>39</v>
      </c>
      <c r="B1281" s="3">
        <v>752700</v>
      </c>
      <c r="C1281" s="1" t="s">
        <v>1056</v>
      </c>
      <c r="D1281" s="1" t="s">
        <v>11</v>
      </c>
      <c r="F1281" s="5" t="e">
        <f>IF(DataExtraction="Manual",SUMIF('[1]TrialBalance (YTD)'!$C:$C,B1281,'[1]TrialBalance (YTD)'!$E:$E),SUMIF('[1]TrialBalance (YTD)'!$G:$G,B1281,'[1]TrialBalance (YTD)'!$I:$I))</f>
        <v>#VALUE!</v>
      </c>
      <c r="G1281" s="5">
        <f>IFERROR(INDEX('[1]TrialBalance (YTD)'!$G:$S,MATCH([1]TBMapping!$C1283,'[1]TrialBalance (YTD)'!G:G,0),MATCH([1]TBMapping!H$3,'[1]TrialBalance (YTD)'!$G$7:$Z$7,0)),0)</f>
        <v>0</v>
      </c>
      <c r="H1281" s="5" t="e">
        <f>SUMIF('[1]TrialBalance (YTD)'!G:G,B1281,'[1]TrialBalance (YTD)'!H:H)</f>
        <v>#VALUE!</v>
      </c>
      <c r="I1281" s="5">
        <f>IFERROR(INDEX('[1]TrialBalance (YTD)'!$G:$S,MATCH([1]TBMapping!$C1283,'[1]TrialBalance (YTD)'!G:G,0),MATCH([1]TBMapping!J$3,'[1]TrialBalance (YTD)'!$G$7:$Z$7,0)),0)</f>
        <v>0</v>
      </c>
      <c r="K1281" s="5" t="e">
        <f>SUMIF('[1]TrialBalance (Quarter)'!$A:$A,B1281,'[1]TrialBalance (Quarter)'!$B:$B)</f>
        <v>#VALUE!</v>
      </c>
      <c r="L1281" s="5">
        <f>IFERROR(INDEX('[1]TrialBalance (Quarter)'!$A:$L,MATCH([1]TBMapping!$C1283,'[1]TrialBalance (Quarter)'!A:A,0),MATCH([1]TBMapping!M$3,'[1]TrialBalance (Quarter)'!$7:$7,0)),0)</f>
        <v>0</v>
      </c>
      <c r="M1281" s="5">
        <f>IFERROR(INDEX('[1]TrialBalance (Quarter)'!$A:$L,MATCH([1]TBMapping!$C1283,'[1]TrialBalance (Quarter)'!A:A,0),MATCH([1]TBMapping!N$3,'[1]TrialBalance (Quarter)'!$7:$7,0)),0)</f>
        <v>0</v>
      </c>
      <c r="N1281" s="5">
        <f>IFERROR(INDEX('[1]TrialBalance (Quarter)'!$A:$L,MATCH([1]TBMapping!$C1283,'[1]TrialBalance (Quarter)'!A:A,0),MATCH([1]TBMapping!O$3,'[1]TrialBalance (Quarter)'!$7:$7,0)),0)</f>
        <v>0</v>
      </c>
    </row>
    <row r="1282" spans="1:14">
      <c r="A1282" s="2">
        <v>39</v>
      </c>
      <c r="B1282" s="3">
        <v>752710</v>
      </c>
      <c r="C1282" s="1" t="s">
        <v>1057</v>
      </c>
      <c r="D1282" s="1" t="s">
        <v>11</v>
      </c>
      <c r="F1282" s="5" t="e">
        <f>IF(DataExtraction="Manual",SUMIF('[1]TrialBalance (YTD)'!$C:$C,B1282,'[1]TrialBalance (YTD)'!$E:$E),SUMIF('[1]TrialBalance (YTD)'!$G:$G,B1282,'[1]TrialBalance (YTD)'!$I:$I))</f>
        <v>#VALUE!</v>
      </c>
      <c r="G1282" s="5">
        <f>IFERROR(INDEX('[1]TrialBalance (YTD)'!$G:$S,MATCH([1]TBMapping!$C1284,'[1]TrialBalance (YTD)'!G:G,0),MATCH([1]TBMapping!H$3,'[1]TrialBalance (YTD)'!$G$7:$Z$7,0)),0)</f>
        <v>0</v>
      </c>
      <c r="H1282" s="5" t="e">
        <f>SUMIF('[1]TrialBalance (YTD)'!G:G,B1282,'[1]TrialBalance (YTD)'!H:H)</f>
        <v>#VALUE!</v>
      </c>
      <c r="I1282" s="5">
        <f>IFERROR(INDEX('[1]TrialBalance (YTD)'!$G:$S,MATCH([1]TBMapping!$C1284,'[1]TrialBalance (YTD)'!G:G,0),MATCH([1]TBMapping!J$3,'[1]TrialBalance (YTD)'!$G$7:$Z$7,0)),0)</f>
        <v>0</v>
      </c>
      <c r="K1282" s="5" t="e">
        <f>SUMIF('[1]TrialBalance (Quarter)'!$A:$A,B1282,'[1]TrialBalance (Quarter)'!$B:$B)</f>
        <v>#VALUE!</v>
      </c>
      <c r="L1282" s="5">
        <f>IFERROR(INDEX('[1]TrialBalance (Quarter)'!$A:$L,MATCH([1]TBMapping!$C1284,'[1]TrialBalance (Quarter)'!A:A,0),MATCH([1]TBMapping!M$3,'[1]TrialBalance (Quarter)'!$7:$7,0)),0)</f>
        <v>0</v>
      </c>
      <c r="M1282" s="5">
        <f>IFERROR(INDEX('[1]TrialBalance (Quarter)'!$A:$L,MATCH([1]TBMapping!$C1284,'[1]TrialBalance (Quarter)'!A:A,0),MATCH([1]TBMapping!N$3,'[1]TrialBalance (Quarter)'!$7:$7,0)),0)</f>
        <v>0</v>
      </c>
      <c r="N1282" s="5">
        <f>IFERROR(INDEX('[1]TrialBalance (Quarter)'!$A:$L,MATCH([1]TBMapping!$C1284,'[1]TrialBalance (Quarter)'!A:A,0),MATCH([1]TBMapping!O$3,'[1]TrialBalance (Quarter)'!$7:$7,0)),0)</f>
        <v>0</v>
      </c>
    </row>
    <row r="1283" spans="1:14">
      <c r="A1283" s="2">
        <v>39</v>
      </c>
      <c r="B1283" s="3">
        <v>752720</v>
      </c>
      <c r="C1283" s="1" t="s">
        <v>1058</v>
      </c>
      <c r="D1283" s="1" t="s">
        <v>11</v>
      </c>
      <c r="F1283" s="5" t="e">
        <f>IF(DataExtraction="Manual",SUMIF('[1]TrialBalance (YTD)'!$C:$C,B1283,'[1]TrialBalance (YTD)'!$E:$E),SUMIF('[1]TrialBalance (YTD)'!$G:$G,B1283,'[1]TrialBalance (YTD)'!$I:$I))</f>
        <v>#VALUE!</v>
      </c>
      <c r="G1283" s="5">
        <f>IFERROR(INDEX('[1]TrialBalance (YTD)'!$G:$S,MATCH([1]TBMapping!$C1285,'[1]TrialBalance (YTD)'!G:G,0),MATCH([1]TBMapping!H$3,'[1]TrialBalance (YTD)'!$G$7:$Z$7,0)),0)</f>
        <v>0</v>
      </c>
      <c r="H1283" s="5" t="e">
        <f>SUMIF('[1]TrialBalance (YTD)'!G:G,B1283,'[1]TrialBalance (YTD)'!H:H)</f>
        <v>#VALUE!</v>
      </c>
      <c r="I1283" s="5">
        <f>IFERROR(INDEX('[1]TrialBalance (YTD)'!$G:$S,MATCH([1]TBMapping!$C1285,'[1]TrialBalance (YTD)'!G:G,0),MATCH([1]TBMapping!J$3,'[1]TrialBalance (YTD)'!$G$7:$Z$7,0)),0)</f>
        <v>0</v>
      </c>
      <c r="K1283" s="5" t="e">
        <f>SUMIF('[1]TrialBalance (Quarter)'!$A:$A,B1283,'[1]TrialBalance (Quarter)'!$B:$B)</f>
        <v>#VALUE!</v>
      </c>
      <c r="L1283" s="5">
        <f>IFERROR(INDEX('[1]TrialBalance (Quarter)'!$A:$L,MATCH([1]TBMapping!$C1285,'[1]TrialBalance (Quarter)'!A:A,0),MATCH([1]TBMapping!M$3,'[1]TrialBalance (Quarter)'!$7:$7,0)),0)</f>
        <v>0</v>
      </c>
      <c r="M1283" s="5">
        <f>IFERROR(INDEX('[1]TrialBalance (Quarter)'!$A:$L,MATCH([1]TBMapping!$C1285,'[1]TrialBalance (Quarter)'!A:A,0),MATCH([1]TBMapping!N$3,'[1]TrialBalance (Quarter)'!$7:$7,0)),0)</f>
        <v>0</v>
      </c>
      <c r="N1283" s="5">
        <f>IFERROR(INDEX('[1]TrialBalance (Quarter)'!$A:$L,MATCH([1]TBMapping!$C1285,'[1]TrialBalance (Quarter)'!A:A,0),MATCH([1]TBMapping!O$3,'[1]TrialBalance (Quarter)'!$7:$7,0)),0)</f>
        <v>0</v>
      </c>
    </row>
    <row r="1284" spans="1:14">
      <c r="A1284" s="2">
        <v>39</v>
      </c>
      <c r="B1284" s="3">
        <v>752730</v>
      </c>
      <c r="C1284" s="1" t="s">
        <v>1059</v>
      </c>
      <c r="D1284" s="1" t="s">
        <v>16</v>
      </c>
      <c r="F1284" s="5" t="e">
        <f>IF(DataExtraction="Manual",SUMIF('[1]TrialBalance (YTD)'!$C:$C,B1284,'[1]TrialBalance (YTD)'!$E:$E),SUMIF('[1]TrialBalance (YTD)'!$G:$G,B1284,'[1]TrialBalance (YTD)'!$I:$I))</f>
        <v>#VALUE!</v>
      </c>
      <c r="G1284" s="5">
        <f>IFERROR(INDEX('[1]TrialBalance (YTD)'!$G:$S,MATCH([1]TBMapping!$C1286,'[1]TrialBalance (YTD)'!G:G,0),MATCH([1]TBMapping!H$3,'[1]TrialBalance (YTD)'!$G$7:$Z$7,0)),0)</f>
        <v>0</v>
      </c>
      <c r="H1284" s="5" t="e">
        <f>SUMIF('[1]TrialBalance (YTD)'!G:G,B1284,'[1]TrialBalance (YTD)'!H:H)</f>
        <v>#VALUE!</v>
      </c>
      <c r="I1284" s="5">
        <f>IFERROR(INDEX('[1]TrialBalance (YTD)'!$G:$S,MATCH([1]TBMapping!$C1286,'[1]TrialBalance (YTD)'!G:G,0),MATCH([1]TBMapping!J$3,'[1]TrialBalance (YTD)'!$G$7:$Z$7,0)),0)</f>
        <v>0</v>
      </c>
      <c r="K1284" s="5" t="e">
        <f>SUMIF('[1]TrialBalance (Quarter)'!$A:$A,B1284,'[1]TrialBalance (Quarter)'!$B:$B)</f>
        <v>#VALUE!</v>
      </c>
      <c r="L1284" s="5">
        <f>IFERROR(INDEX('[1]TrialBalance (Quarter)'!$A:$L,MATCH([1]TBMapping!$C1286,'[1]TrialBalance (Quarter)'!A:A,0),MATCH([1]TBMapping!M$3,'[1]TrialBalance (Quarter)'!$7:$7,0)),0)</f>
        <v>0</v>
      </c>
      <c r="M1284" s="5">
        <f>IFERROR(INDEX('[1]TrialBalance (Quarter)'!$A:$L,MATCH([1]TBMapping!$C1286,'[1]TrialBalance (Quarter)'!A:A,0),MATCH([1]TBMapping!N$3,'[1]TrialBalance (Quarter)'!$7:$7,0)),0)</f>
        <v>0</v>
      </c>
      <c r="N1284" s="5">
        <f>IFERROR(INDEX('[1]TrialBalance (Quarter)'!$A:$L,MATCH([1]TBMapping!$C1286,'[1]TrialBalance (Quarter)'!A:A,0),MATCH([1]TBMapping!O$3,'[1]TrialBalance (Quarter)'!$7:$7,0)),0)</f>
        <v>0</v>
      </c>
    </row>
    <row r="1285" spans="1:14">
      <c r="A1285" s="2">
        <v>39</v>
      </c>
      <c r="B1285" s="3">
        <v>752799</v>
      </c>
      <c r="C1285" s="1" t="s">
        <v>1019</v>
      </c>
      <c r="D1285" s="1" t="s">
        <v>5</v>
      </c>
      <c r="F1285" s="5" t="e">
        <f>IF(DataExtraction="Manual",SUMIF('[1]TrialBalance (YTD)'!$C:$C,B1285,'[1]TrialBalance (YTD)'!$E:$E),SUMIF('[1]TrialBalance (YTD)'!$G:$G,B1285,'[1]TrialBalance (YTD)'!$I:$I))</f>
        <v>#VALUE!</v>
      </c>
      <c r="G1285" s="5">
        <f>IFERROR(INDEX('[1]TrialBalance (YTD)'!$G:$S,MATCH([1]TBMapping!$C1287,'[1]TrialBalance (YTD)'!G:G,0),MATCH([1]TBMapping!H$3,'[1]TrialBalance (YTD)'!$G$7:$Z$7,0)),0)</f>
        <v>0</v>
      </c>
      <c r="H1285" s="5" t="e">
        <f>SUMIF('[1]TrialBalance (YTD)'!G:G,B1285,'[1]TrialBalance (YTD)'!H:H)</f>
        <v>#VALUE!</v>
      </c>
      <c r="I1285" s="5">
        <f>IFERROR(INDEX('[1]TrialBalance (YTD)'!$G:$S,MATCH([1]TBMapping!$C1287,'[1]TrialBalance (YTD)'!G:G,0),MATCH([1]TBMapping!J$3,'[1]TrialBalance (YTD)'!$G$7:$Z$7,0)),0)</f>
        <v>0</v>
      </c>
      <c r="K1285" s="5" t="e">
        <f>SUMIF('[1]TrialBalance (Quarter)'!$A:$A,B1285,'[1]TrialBalance (Quarter)'!$B:$B)</f>
        <v>#VALUE!</v>
      </c>
      <c r="L1285" s="5">
        <f>IFERROR(INDEX('[1]TrialBalance (Quarter)'!$A:$L,MATCH([1]TBMapping!$C1287,'[1]TrialBalance (Quarter)'!A:A,0),MATCH([1]TBMapping!M$3,'[1]TrialBalance (Quarter)'!$7:$7,0)),0)</f>
        <v>0</v>
      </c>
      <c r="M1285" s="5">
        <f>IFERROR(INDEX('[1]TrialBalance (Quarter)'!$A:$L,MATCH([1]TBMapping!$C1287,'[1]TrialBalance (Quarter)'!A:A,0),MATCH([1]TBMapping!N$3,'[1]TrialBalance (Quarter)'!$7:$7,0)),0)</f>
        <v>0</v>
      </c>
      <c r="N1285" s="5">
        <f>IFERROR(INDEX('[1]TrialBalance (Quarter)'!$A:$L,MATCH([1]TBMapping!$C1287,'[1]TrialBalance (Quarter)'!A:A,0),MATCH([1]TBMapping!O$3,'[1]TrialBalance (Quarter)'!$7:$7,0)),0)</f>
        <v>0</v>
      </c>
    </row>
    <row r="1286" spans="1:14">
      <c r="B1286" s="3">
        <v>752999</v>
      </c>
      <c r="C1286" s="1" t="s">
        <v>1060</v>
      </c>
      <c r="D1286" s="1" t="s">
        <v>11</v>
      </c>
      <c r="F1286" s="5" t="e">
        <f>IF(DataExtraction="Manual",SUMIF('[1]TrialBalance (YTD)'!$C:$C,B1286,'[1]TrialBalance (YTD)'!$E:$E),SUMIF('[1]TrialBalance (YTD)'!$G:$G,B1286,'[1]TrialBalance (YTD)'!$I:$I))</f>
        <v>#VALUE!</v>
      </c>
      <c r="G1286" s="5">
        <f>IFERROR(INDEX('[1]TrialBalance (YTD)'!$G:$S,MATCH([1]TBMapping!$C1288,'[1]TrialBalance (YTD)'!G:G,0),MATCH([1]TBMapping!H$3,'[1]TrialBalance (YTD)'!$G$7:$Z$7,0)),0)</f>
        <v>0</v>
      </c>
      <c r="H1286" s="5" t="e">
        <f>SUMIF('[1]TrialBalance (YTD)'!G:G,B1286,'[1]TrialBalance (YTD)'!H:H)</f>
        <v>#VALUE!</v>
      </c>
      <c r="I1286" s="5">
        <f>IFERROR(INDEX('[1]TrialBalance (YTD)'!$G:$S,MATCH([1]TBMapping!$C1288,'[1]TrialBalance (YTD)'!G:G,0),MATCH([1]TBMapping!J$3,'[1]TrialBalance (YTD)'!$G$7:$Z$7,0)),0)</f>
        <v>0</v>
      </c>
      <c r="K1286" s="5" t="e">
        <f>SUMIF('[1]TrialBalance (Quarter)'!$A:$A,B1286,'[1]TrialBalance (Quarter)'!$B:$B)</f>
        <v>#VALUE!</v>
      </c>
      <c r="L1286" s="5">
        <f>IFERROR(INDEX('[1]TrialBalance (Quarter)'!$A:$L,MATCH([1]TBMapping!$C1288,'[1]TrialBalance (Quarter)'!A:A,0),MATCH([1]TBMapping!M$3,'[1]TrialBalance (Quarter)'!$7:$7,0)),0)</f>
        <v>0</v>
      </c>
      <c r="M1286" s="5">
        <f>IFERROR(INDEX('[1]TrialBalance (Quarter)'!$A:$L,MATCH([1]TBMapping!$C1288,'[1]TrialBalance (Quarter)'!A:A,0),MATCH([1]TBMapping!N$3,'[1]TrialBalance (Quarter)'!$7:$7,0)),0)</f>
        <v>0</v>
      </c>
      <c r="N1286" s="5">
        <f>IFERROR(INDEX('[1]TrialBalance (Quarter)'!$A:$L,MATCH([1]TBMapping!$C1288,'[1]TrialBalance (Quarter)'!A:A,0),MATCH([1]TBMapping!O$3,'[1]TrialBalance (Quarter)'!$7:$7,0)),0)</f>
        <v>0</v>
      </c>
    </row>
    <row r="1287" spans="1:14">
      <c r="B1287" s="3">
        <v>753000</v>
      </c>
      <c r="C1287" s="1" t="s">
        <v>1061</v>
      </c>
      <c r="D1287" s="1" t="s">
        <v>11</v>
      </c>
      <c r="F1287" s="5" t="e">
        <f>IF(DataExtraction="Manual",SUMIF('[1]TrialBalance (YTD)'!$C:$C,B1287,'[1]TrialBalance (YTD)'!$E:$E),SUMIF('[1]TrialBalance (YTD)'!$G:$G,B1287,'[1]TrialBalance (YTD)'!$I:$I))</f>
        <v>#VALUE!</v>
      </c>
      <c r="G1287" s="5">
        <f>IFERROR(INDEX('[1]TrialBalance (YTD)'!$G:$S,MATCH([1]TBMapping!$C1289,'[1]TrialBalance (YTD)'!G:G,0),MATCH([1]TBMapping!H$3,'[1]TrialBalance (YTD)'!$G$7:$Z$7,0)),0)</f>
        <v>0</v>
      </c>
      <c r="H1287" s="5" t="e">
        <f>SUMIF('[1]TrialBalance (YTD)'!G:G,B1287,'[1]TrialBalance (YTD)'!H:H)</f>
        <v>#VALUE!</v>
      </c>
      <c r="I1287" s="5">
        <f>IFERROR(INDEX('[1]TrialBalance (YTD)'!$G:$S,MATCH([1]TBMapping!$C1289,'[1]TrialBalance (YTD)'!G:G,0),MATCH([1]TBMapping!J$3,'[1]TrialBalance (YTD)'!$G$7:$Z$7,0)),0)</f>
        <v>0</v>
      </c>
      <c r="K1287" s="5" t="e">
        <f>SUMIF('[1]TrialBalance (Quarter)'!$A:$A,B1287,'[1]TrialBalance (Quarter)'!$B:$B)</f>
        <v>#VALUE!</v>
      </c>
      <c r="L1287" s="5">
        <f>IFERROR(INDEX('[1]TrialBalance (Quarter)'!$A:$L,MATCH([1]TBMapping!$C1289,'[1]TrialBalance (Quarter)'!A:A,0),MATCH([1]TBMapping!M$3,'[1]TrialBalance (Quarter)'!$7:$7,0)),0)</f>
        <v>0</v>
      </c>
      <c r="M1287" s="5">
        <f>IFERROR(INDEX('[1]TrialBalance (Quarter)'!$A:$L,MATCH([1]TBMapping!$C1289,'[1]TrialBalance (Quarter)'!A:A,0),MATCH([1]TBMapping!N$3,'[1]TrialBalance (Quarter)'!$7:$7,0)),0)</f>
        <v>0</v>
      </c>
      <c r="N1287" s="5">
        <f>IFERROR(INDEX('[1]TrialBalance (Quarter)'!$A:$L,MATCH([1]TBMapping!$C1289,'[1]TrialBalance (Quarter)'!A:A,0),MATCH([1]TBMapping!O$3,'[1]TrialBalance (Quarter)'!$7:$7,0)),0)</f>
        <v>0</v>
      </c>
    </row>
    <row r="1288" spans="1:14">
      <c r="A1288" s="2">
        <v>39</v>
      </c>
      <c r="B1288" s="3">
        <v>753100</v>
      </c>
      <c r="C1288" s="1" t="s">
        <v>1062</v>
      </c>
      <c r="D1288" s="1" t="s">
        <v>11</v>
      </c>
      <c r="F1288" s="5" t="e">
        <f>IF(DataExtraction="Manual",SUMIF('[1]TrialBalance (YTD)'!$C:$C,B1288,'[1]TrialBalance (YTD)'!$E:$E),SUMIF('[1]TrialBalance (YTD)'!$G:$G,B1288,'[1]TrialBalance (YTD)'!$I:$I))</f>
        <v>#VALUE!</v>
      </c>
      <c r="G1288" s="5">
        <f>IFERROR(INDEX('[1]TrialBalance (YTD)'!$G:$S,MATCH([1]TBMapping!$C1290,'[1]TrialBalance (YTD)'!G:G,0),MATCH([1]TBMapping!H$3,'[1]TrialBalance (YTD)'!$G$7:$Z$7,0)),0)</f>
        <v>0</v>
      </c>
      <c r="H1288" s="5" t="e">
        <f>SUMIF('[1]TrialBalance (YTD)'!G:G,B1288,'[1]TrialBalance (YTD)'!H:H)</f>
        <v>#VALUE!</v>
      </c>
      <c r="I1288" s="5">
        <f>IFERROR(INDEX('[1]TrialBalance (YTD)'!$G:$S,MATCH([1]TBMapping!$C1290,'[1]TrialBalance (YTD)'!G:G,0),MATCH([1]TBMapping!J$3,'[1]TrialBalance (YTD)'!$G$7:$Z$7,0)),0)</f>
        <v>0</v>
      </c>
      <c r="K1288" s="5" t="e">
        <f>SUMIF('[1]TrialBalance (Quarter)'!$A:$A,B1288,'[1]TrialBalance (Quarter)'!$B:$B)</f>
        <v>#VALUE!</v>
      </c>
      <c r="L1288" s="5">
        <f>IFERROR(INDEX('[1]TrialBalance (Quarter)'!$A:$L,MATCH([1]TBMapping!$C1290,'[1]TrialBalance (Quarter)'!A:A,0),MATCH([1]TBMapping!M$3,'[1]TrialBalance (Quarter)'!$7:$7,0)),0)</f>
        <v>0</v>
      </c>
      <c r="M1288" s="5">
        <f>IFERROR(INDEX('[1]TrialBalance (Quarter)'!$A:$L,MATCH([1]TBMapping!$C1290,'[1]TrialBalance (Quarter)'!A:A,0),MATCH([1]TBMapping!N$3,'[1]TrialBalance (Quarter)'!$7:$7,0)),0)</f>
        <v>0</v>
      </c>
      <c r="N1288" s="5">
        <f>IFERROR(INDEX('[1]TrialBalance (Quarter)'!$A:$L,MATCH([1]TBMapping!$C1290,'[1]TrialBalance (Quarter)'!A:A,0),MATCH([1]TBMapping!O$3,'[1]TrialBalance (Quarter)'!$7:$7,0)),0)</f>
        <v>0</v>
      </c>
    </row>
    <row r="1289" spans="1:14">
      <c r="A1289" s="2">
        <v>39</v>
      </c>
      <c r="B1289" s="3">
        <v>753200</v>
      </c>
      <c r="C1289" s="1" t="s">
        <v>1063</v>
      </c>
      <c r="D1289" s="1" t="s">
        <v>11</v>
      </c>
      <c r="F1289" s="5" t="e">
        <f>IF(DataExtraction="Manual",SUMIF('[1]TrialBalance (YTD)'!$C:$C,B1289,'[1]TrialBalance (YTD)'!$E:$E),SUMIF('[1]TrialBalance (YTD)'!$G:$G,B1289,'[1]TrialBalance (YTD)'!$I:$I))</f>
        <v>#VALUE!</v>
      </c>
      <c r="G1289" s="5">
        <f>IFERROR(INDEX('[1]TrialBalance (YTD)'!$G:$S,MATCH([1]TBMapping!$C1291,'[1]TrialBalance (YTD)'!G:G,0),MATCH([1]TBMapping!H$3,'[1]TrialBalance (YTD)'!$G$7:$Z$7,0)),0)</f>
        <v>0</v>
      </c>
      <c r="H1289" s="5" t="e">
        <f>SUMIF('[1]TrialBalance (YTD)'!G:G,B1289,'[1]TrialBalance (YTD)'!H:H)</f>
        <v>#VALUE!</v>
      </c>
      <c r="I1289" s="5">
        <f>IFERROR(INDEX('[1]TrialBalance (YTD)'!$G:$S,MATCH([1]TBMapping!$C1291,'[1]TrialBalance (YTD)'!G:G,0),MATCH([1]TBMapping!J$3,'[1]TrialBalance (YTD)'!$G$7:$Z$7,0)),0)</f>
        <v>0</v>
      </c>
      <c r="K1289" s="5" t="e">
        <f>SUMIF('[1]TrialBalance (Quarter)'!$A:$A,B1289,'[1]TrialBalance (Quarter)'!$B:$B)</f>
        <v>#VALUE!</v>
      </c>
      <c r="L1289" s="5">
        <f>IFERROR(INDEX('[1]TrialBalance (Quarter)'!$A:$L,MATCH([1]TBMapping!$C1291,'[1]TrialBalance (Quarter)'!A:A,0),MATCH([1]TBMapping!M$3,'[1]TrialBalance (Quarter)'!$7:$7,0)),0)</f>
        <v>0</v>
      </c>
      <c r="M1289" s="5">
        <f>IFERROR(INDEX('[1]TrialBalance (Quarter)'!$A:$L,MATCH([1]TBMapping!$C1291,'[1]TrialBalance (Quarter)'!A:A,0),MATCH([1]TBMapping!N$3,'[1]TrialBalance (Quarter)'!$7:$7,0)),0)</f>
        <v>0</v>
      </c>
      <c r="N1289" s="5">
        <f>IFERROR(INDEX('[1]TrialBalance (Quarter)'!$A:$L,MATCH([1]TBMapping!$C1291,'[1]TrialBalance (Quarter)'!A:A,0),MATCH([1]TBMapping!O$3,'[1]TrialBalance (Quarter)'!$7:$7,0)),0)</f>
        <v>0</v>
      </c>
    </row>
    <row r="1290" spans="1:14">
      <c r="A1290" s="2">
        <v>39</v>
      </c>
      <c r="B1290" s="3">
        <v>753210</v>
      </c>
      <c r="C1290" s="1" t="s">
        <v>1064</v>
      </c>
      <c r="D1290" s="1" t="s">
        <v>11</v>
      </c>
      <c r="F1290" s="5" t="e">
        <f>IF(DataExtraction="Manual",SUMIF('[1]TrialBalance (YTD)'!$C:$C,B1290,'[1]TrialBalance (YTD)'!$E:$E),SUMIF('[1]TrialBalance (YTD)'!$G:$G,B1290,'[1]TrialBalance (YTD)'!$I:$I))</f>
        <v>#VALUE!</v>
      </c>
      <c r="G1290" s="5">
        <f>IFERROR(INDEX('[1]TrialBalance (YTD)'!$G:$S,MATCH([1]TBMapping!$C1292,'[1]TrialBalance (YTD)'!G:G,0),MATCH([1]TBMapping!H$3,'[1]TrialBalance (YTD)'!$G$7:$Z$7,0)),0)</f>
        <v>0</v>
      </c>
      <c r="H1290" s="5" t="e">
        <f>SUMIF('[1]TrialBalance (YTD)'!G:G,B1290,'[1]TrialBalance (YTD)'!H:H)</f>
        <v>#VALUE!</v>
      </c>
      <c r="I1290" s="5">
        <f>IFERROR(INDEX('[1]TrialBalance (YTD)'!$G:$S,MATCH([1]TBMapping!$C1292,'[1]TrialBalance (YTD)'!G:G,0),MATCH([1]TBMapping!J$3,'[1]TrialBalance (YTD)'!$G$7:$Z$7,0)),0)</f>
        <v>0</v>
      </c>
      <c r="K1290" s="5" t="e">
        <f>SUMIF('[1]TrialBalance (Quarter)'!$A:$A,B1290,'[1]TrialBalance (Quarter)'!$B:$B)</f>
        <v>#VALUE!</v>
      </c>
      <c r="L1290" s="5">
        <f>IFERROR(INDEX('[1]TrialBalance (Quarter)'!$A:$L,MATCH([1]TBMapping!$C1292,'[1]TrialBalance (Quarter)'!A:A,0),MATCH([1]TBMapping!M$3,'[1]TrialBalance (Quarter)'!$7:$7,0)),0)</f>
        <v>0</v>
      </c>
      <c r="M1290" s="5">
        <f>IFERROR(INDEX('[1]TrialBalance (Quarter)'!$A:$L,MATCH([1]TBMapping!$C1292,'[1]TrialBalance (Quarter)'!A:A,0),MATCH([1]TBMapping!N$3,'[1]TrialBalance (Quarter)'!$7:$7,0)),0)</f>
        <v>0</v>
      </c>
      <c r="N1290" s="5">
        <f>IFERROR(INDEX('[1]TrialBalance (Quarter)'!$A:$L,MATCH([1]TBMapping!$C1292,'[1]TrialBalance (Quarter)'!A:A,0),MATCH([1]TBMapping!O$3,'[1]TrialBalance (Quarter)'!$7:$7,0)),0)</f>
        <v>0</v>
      </c>
    </row>
    <row r="1291" spans="1:14">
      <c r="A1291" s="2">
        <v>39</v>
      </c>
      <c r="B1291" s="3">
        <v>753220</v>
      </c>
      <c r="C1291" s="1" t="s">
        <v>1065</v>
      </c>
      <c r="D1291" s="1" t="s">
        <v>11</v>
      </c>
      <c r="F1291" s="5" t="e">
        <f>IF(DataExtraction="Manual",SUMIF('[1]TrialBalance (YTD)'!$C:$C,B1291,'[1]TrialBalance (YTD)'!$E:$E),SUMIF('[1]TrialBalance (YTD)'!$G:$G,B1291,'[1]TrialBalance (YTD)'!$I:$I))</f>
        <v>#VALUE!</v>
      </c>
      <c r="G1291" s="5">
        <f>IFERROR(INDEX('[1]TrialBalance (YTD)'!$G:$S,MATCH([1]TBMapping!$C1293,'[1]TrialBalance (YTD)'!G:G,0),MATCH([1]TBMapping!H$3,'[1]TrialBalance (YTD)'!$G$7:$Z$7,0)),0)</f>
        <v>0</v>
      </c>
      <c r="H1291" s="5" t="e">
        <f>SUMIF('[1]TrialBalance (YTD)'!G:G,B1291,'[1]TrialBalance (YTD)'!H:H)</f>
        <v>#VALUE!</v>
      </c>
      <c r="I1291" s="5">
        <f>IFERROR(INDEX('[1]TrialBalance (YTD)'!$G:$S,MATCH([1]TBMapping!$C1293,'[1]TrialBalance (YTD)'!G:G,0),MATCH([1]TBMapping!J$3,'[1]TrialBalance (YTD)'!$G$7:$Z$7,0)),0)</f>
        <v>0</v>
      </c>
      <c r="K1291" s="5" t="e">
        <f>SUMIF('[1]TrialBalance (Quarter)'!$A:$A,B1291,'[1]TrialBalance (Quarter)'!$B:$B)</f>
        <v>#VALUE!</v>
      </c>
      <c r="L1291" s="5">
        <f>IFERROR(INDEX('[1]TrialBalance (Quarter)'!$A:$L,MATCH([1]TBMapping!$C1293,'[1]TrialBalance (Quarter)'!A:A,0),MATCH([1]TBMapping!M$3,'[1]TrialBalance (Quarter)'!$7:$7,0)),0)</f>
        <v>0</v>
      </c>
      <c r="M1291" s="5">
        <f>IFERROR(INDEX('[1]TrialBalance (Quarter)'!$A:$L,MATCH([1]TBMapping!$C1293,'[1]TrialBalance (Quarter)'!A:A,0),MATCH([1]TBMapping!N$3,'[1]TrialBalance (Quarter)'!$7:$7,0)),0)</f>
        <v>0</v>
      </c>
      <c r="N1291" s="5">
        <f>IFERROR(INDEX('[1]TrialBalance (Quarter)'!$A:$L,MATCH([1]TBMapping!$C1293,'[1]TrialBalance (Quarter)'!A:A,0),MATCH([1]TBMapping!O$3,'[1]TrialBalance (Quarter)'!$7:$7,0)),0)</f>
        <v>0</v>
      </c>
    </row>
    <row r="1292" spans="1:14">
      <c r="A1292" s="2">
        <v>39</v>
      </c>
      <c r="B1292" s="3">
        <v>753300</v>
      </c>
      <c r="C1292" s="1" t="s">
        <v>1066</v>
      </c>
      <c r="D1292" s="1" t="s">
        <v>11</v>
      </c>
      <c r="F1292" s="5" t="e">
        <f>IF(DataExtraction="Manual",SUMIF('[1]TrialBalance (YTD)'!$C:$C,B1292,'[1]TrialBalance (YTD)'!$E:$E),SUMIF('[1]TrialBalance (YTD)'!$G:$G,B1292,'[1]TrialBalance (YTD)'!$I:$I))</f>
        <v>#VALUE!</v>
      </c>
      <c r="G1292" s="5">
        <f>IFERROR(INDEX('[1]TrialBalance (YTD)'!$G:$S,MATCH([1]TBMapping!$C1294,'[1]TrialBalance (YTD)'!G:G,0),MATCH([1]TBMapping!H$3,'[1]TrialBalance (YTD)'!$G$7:$Z$7,0)),0)</f>
        <v>0</v>
      </c>
      <c r="H1292" s="5" t="e">
        <f>SUMIF('[1]TrialBalance (YTD)'!G:G,B1292,'[1]TrialBalance (YTD)'!H:H)</f>
        <v>#VALUE!</v>
      </c>
      <c r="I1292" s="5">
        <f>IFERROR(INDEX('[1]TrialBalance (YTD)'!$G:$S,MATCH([1]TBMapping!$C1294,'[1]TrialBalance (YTD)'!G:G,0),MATCH([1]TBMapping!J$3,'[1]TrialBalance (YTD)'!$G$7:$Z$7,0)),0)</f>
        <v>0</v>
      </c>
      <c r="K1292" s="5" t="e">
        <f>SUMIF('[1]TrialBalance (Quarter)'!$A:$A,B1292,'[1]TrialBalance (Quarter)'!$B:$B)</f>
        <v>#VALUE!</v>
      </c>
      <c r="L1292" s="5">
        <f>IFERROR(INDEX('[1]TrialBalance (Quarter)'!$A:$L,MATCH([1]TBMapping!$C1294,'[1]TrialBalance (Quarter)'!A:A,0),MATCH([1]TBMapping!M$3,'[1]TrialBalance (Quarter)'!$7:$7,0)),0)</f>
        <v>0</v>
      </c>
      <c r="M1292" s="5">
        <f>IFERROR(INDEX('[1]TrialBalance (Quarter)'!$A:$L,MATCH([1]TBMapping!$C1294,'[1]TrialBalance (Quarter)'!A:A,0),MATCH([1]TBMapping!N$3,'[1]TrialBalance (Quarter)'!$7:$7,0)),0)</f>
        <v>0</v>
      </c>
      <c r="N1292" s="5">
        <f>IFERROR(INDEX('[1]TrialBalance (Quarter)'!$A:$L,MATCH([1]TBMapping!$C1294,'[1]TrialBalance (Quarter)'!A:A,0),MATCH([1]TBMapping!O$3,'[1]TrialBalance (Quarter)'!$7:$7,0)),0)</f>
        <v>0</v>
      </c>
    </row>
    <row r="1293" spans="1:14">
      <c r="A1293" s="2">
        <v>34</v>
      </c>
      <c r="B1293" s="3">
        <v>753310</v>
      </c>
      <c r="C1293" s="1" t="s">
        <v>1067</v>
      </c>
      <c r="D1293" s="1" t="s">
        <v>11</v>
      </c>
      <c r="F1293" s="5" t="e">
        <f>IF(DataExtraction="Manual",SUMIF('[1]TrialBalance (YTD)'!$C:$C,B1293,'[1]TrialBalance (YTD)'!$E:$E),SUMIF('[1]TrialBalance (YTD)'!$G:$G,B1293,'[1]TrialBalance (YTD)'!$I:$I))</f>
        <v>#VALUE!</v>
      </c>
      <c r="G1293" s="5">
        <f>IFERROR(INDEX('[1]TrialBalance (YTD)'!$G:$S,MATCH([1]TBMapping!$C1295,'[1]TrialBalance (YTD)'!G:G,0),MATCH([1]TBMapping!H$3,'[1]TrialBalance (YTD)'!$G$7:$Z$7,0)),0)</f>
        <v>0</v>
      </c>
      <c r="H1293" s="5" t="e">
        <f>SUMIF('[1]TrialBalance (YTD)'!G:G,B1293,'[1]TrialBalance (YTD)'!H:H)</f>
        <v>#VALUE!</v>
      </c>
      <c r="I1293" s="5">
        <f>IFERROR(INDEX('[1]TrialBalance (YTD)'!$G:$S,MATCH([1]TBMapping!$C1295,'[1]TrialBalance (YTD)'!G:G,0),MATCH([1]TBMapping!J$3,'[1]TrialBalance (YTD)'!$G$7:$Z$7,0)),0)</f>
        <v>0</v>
      </c>
      <c r="K1293" s="5" t="e">
        <f>SUMIF('[1]TrialBalance (Quarter)'!$A:$A,B1293,'[1]TrialBalance (Quarter)'!$B:$B)</f>
        <v>#VALUE!</v>
      </c>
      <c r="L1293" s="5">
        <f>IFERROR(INDEX('[1]TrialBalance (Quarter)'!$A:$L,MATCH([1]TBMapping!$C1295,'[1]TrialBalance (Quarter)'!A:A,0),MATCH([1]TBMapping!M$3,'[1]TrialBalance (Quarter)'!$7:$7,0)),0)</f>
        <v>0</v>
      </c>
      <c r="M1293" s="5">
        <f>IFERROR(INDEX('[1]TrialBalance (Quarter)'!$A:$L,MATCH([1]TBMapping!$C1295,'[1]TrialBalance (Quarter)'!A:A,0),MATCH([1]TBMapping!N$3,'[1]TrialBalance (Quarter)'!$7:$7,0)),0)</f>
        <v>0</v>
      </c>
      <c r="N1293" s="5">
        <f>IFERROR(INDEX('[1]TrialBalance (Quarter)'!$A:$L,MATCH([1]TBMapping!$C1295,'[1]TrialBalance (Quarter)'!A:A,0),MATCH([1]TBMapping!O$3,'[1]TrialBalance (Quarter)'!$7:$7,0)),0)</f>
        <v>0</v>
      </c>
    </row>
    <row r="1294" spans="1:14">
      <c r="A1294" s="2">
        <v>34</v>
      </c>
      <c r="B1294" s="3">
        <v>753340</v>
      </c>
      <c r="C1294" s="1" t="s">
        <v>1028</v>
      </c>
      <c r="D1294" s="1" t="s">
        <v>11</v>
      </c>
      <c r="F1294" s="5" t="e">
        <f>IF(DataExtraction="Manual",SUMIF('[1]TrialBalance (YTD)'!$C:$C,B1294,'[1]TrialBalance (YTD)'!$E:$E),SUMIF('[1]TrialBalance (YTD)'!$G:$G,B1294,'[1]TrialBalance (YTD)'!$I:$I))</f>
        <v>#VALUE!</v>
      </c>
      <c r="G1294" s="5">
        <f>IFERROR(INDEX('[1]TrialBalance (YTD)'!$G:$S,MATCH([1]TBMapping!$C1296,'[1]TrialBalance (YTD)'!G:G,0),MATCH([1]TBMapping!H$3,'[1]TrialBalance (YTD)'!$G$7:$Z$7,0)),0)</f>
        <v>0</v>
      </c>
      <c r="H1294" s="5" t="e">
        <f>SUMIF('[1]TrialBalance (YTD)'!G:G,B1294,'[1]TrialBalance (YTD)'!H:H)</f>
        <v>#VALUE!</v>
      </c>
      <c r="I1294" s="5">
        <f>IFERROR(INDEX('[1]TrialBalance (YTD)'!$G:$S,MATCH([1]TBMapping!$C1296,'[1]TrialBalance (YTD)'!G:G,0),MATCH([1]TBMapping!J$3,'[1]TrialBalance (YTD)'!$G$7:$Z$7,0)),0)</f>
        <v>0</v>
      </c>
      <c r="K1294" s="5" t="e">
        <f>SUMIF('[1]TrialBalance (Quarter)'!$A:$A,B1294,'[1]TrialBalance (Quarter)'!$B:$B)</f>
        <v>#VALUE!</v>
      </c>
      <c r="L1294" s="5">
        <f>IFERROR(INDEX('[1]TrialBalance (Quarter)'!$A:$L,MATCH([1]TBMapping!$C1296,'[1]TrialBalance (Quarter)'!A:A,0),MATCH([1]TBMapping!M$3,'[1]TrialBalance (Quarter)'!$7:$7,0)),0)</f>
        <v>0</v>
      </c>
      <c r="M1294" s="5">
        <f>IFERROR(INDEX('[1]TrialBalance (Quarter)'!$A:$L,MATCH([1]TBMapping!$C1296,'[1]TrialBalance (Quarter)'!A:A,0),MATCH([1]TBMapping!N$3,'[1]TrialBalance (Quarter)'!$7:$7,0)),0)</f>
        <v>0</v>
      </c>
      <c r="N1294" s="5">
        <f>IFERROR(INDEX('[1]TrialBalance (Quarter)'!$A:$L,MATCH([1]TBMapping!$C1296,'[1]TrialBalance (Quarter)'!A:A,0),MATCH([1]TBMapping!O$3,'[1]TrialBalance (Quarter)'!$7:$7,0)),0)</f>
        <v>0</v>
      </c>
    </row>
    <row r="1295" spans="1:14">
      <c r="A1295" s="2">
        <v>34</v>
      </c>
      <c r="B1295" s="3">
        <v>753350</v>
      </c>
      <c r="C1295" s="1" t="s">
        <v>1068</v>
      </c>
      <c r="D1295" s="1" t="s">
        <v>11</v>
      </c>
      <c r="F1295" s="5" t="e">
        <f>IF(DataExtraction="Manual",SUMIF('[1]TrialBalance (YTD)'!$C:$C,B1295,'[1]TrialBalance (YTD)'!$E:$E),SUMIF('[1]TrialBalance (YTD)'!$G:$G,B1295,'[1]TrialBalance (YTD)'!$I:$I))</f>
        <v>#VALUE!</v>
      </c>
      <c r="G1295" s="5">
        <f>IFERROR(INDEX('[1]TrialBalance (YTD)'!$G:$S,MATCH([1]TBMapping!$C1297,'[1]TrialBalance (YTD)'!G:G,0),MATCH([1]TBMapping!H$3,'[1]TrialBalance (YTD)'!$G$7:$Z$7,0)),0)</f>
        <v>0</v>
      </c>
      <c r="H1295" s="5" t="e">
        <f>SUMIF('[1]TrialBalance (YTD)'!G:G,B1295,'[1]TrialBalance (YTD)'!H:H)</f>
        <v>#VALUE!</v>
      </c>
      <c r="I1295" s="5">
        <f>IFERROR(INDEX('[1]TrialBalance (YTD)'!$G:$S,MATCH([1]TBMapping!$C1297,'[1]TrialBalance (YTD)'!G:G,0),MATCH([1]TBMapping!J$3,'[1]TrialBalance (YTD)'!$G$7:$Z$7,0)),0)</f>
        <v>0</v>
      </c>
      <c r="K1295" s="5" t="e">
        <f>SUMIF('[1]TrialBalance (Quarter)'!$A:$A,B1295,'[1]TrialBalance (Quarter)'!$B:$B)</f>
        <v>#VALUE!</v>
      </c>
      <c r="L1295" s="5">
        <f>IFERROR(INDEX('[1]TrialBalance (Quarter)'!$A:$L,MATCH([1]TBMapping!$C1297,'[1]TrialBalance (Quarter)'!A:A,0),MATCH([1]TBMapping!M$3,'[1]TrialBalance (Quarter)'!$7:$7,0)),0)</f>
        <v>0</v>
      </c>
      <c r="M1295" s="5">
        <f>IFERROR(INDEX('[1]TrialBalance (Quarter)'!$A:$L,MATCH([1]TBMapping!$C1297,'[1]TrialBalance (Quarter)'!A:A,0),MATCH([1]TBMapping!N$3,'[1]TrialBalance (Quarter)'!$7:$7,0)),0)</f>
        <v>0</v>
      </c>
      <c r="N1295" s="5">
        <f>IFERROR(INDEX('[1]TrialBalance (Quarter)'!$A:$L,MATCH([1]TBMapping!$C1297,'[1]TrialBalance (Quarter)'!A:A,0),MATCH([1]TBMapping!O$3,'[1]TrialBalance (Quarter)'!$7:$7,0)),0)</f>
        <v>0</v>
      </c>
    </row>
    <row r="1296" spans="1:14">
      <c r="A1296" s="2">
        <v>39</v>
      </c>
      <c r="B1296" s="3">
        <v>753400</v>
      </c>
      <c r="C1296" s="1" t="s">
        <v>1069</v>
      </c>
      <c r="D1296" s="1" t="s">
        <v>11</v>
      </c>
      <c r="F1296" s="5" t="e">
        <f>IF(DataExtraction="Manual",SUMIF('[1]TrialBalance (YTD)'!$C:$C,B1296,'[1]TrialBalance (YTD)'!$E:$E),SUMIF('[1]TrialBalance (YTD)'!$G:$G,B1296,'[1]TrialBalance (YTD)'!$I:$I))</f>
        <v>#VALUE!</v>
      </c>
      <c r="G1296" s="5">
        <f>IFERROR(INDEX('[1]TrialBalance (YTD)'!$G:$S,MATCH([1]TBMapping!$C1298,'[1]TrialBalance (YTD)'!G:G,0),MATCH([1]TBMapping!H$3,'[1]TrialBalance (YTD)'!$G$7:$Z$7,0)),0)</f>
        <v>0</v>
      </c>
      <c r="H1296" s="5" t="e">
        <f>SUMIF('[1]TrialBalance (YTD)'!G:G,B1296,'[1]TrialBalance (YTD)'!H:H)</f>
        <v>#VALUE!</v>
      </c>
      <c r="I1296" s="5">
        <f>IFERROR(INDEX('[1]TrialBalance (YTD)'!$G:$S,MATCH([1]TBMapping!$C1298,'[1]TrialBalance (YTD)'!G:G,0),MATCH([1]TBMapping!J$3,'[1]TrialBalance (YTD)'!$G$7:$Z$7,0)),0)</f>
        <v>0</v>
      </c>
      <c r="K1296" s="5" t="e">
        <f>SUMIF('[1]TrialBalance (Quarter)'!$A:$A,B1296,'[1]TrialBalance (Quarter)'!$B:$B)</f>
        <v>#VALUE!</v>
      </c>
      <c r="L1296" s="5">
        <f>IFERROR(INDEX('[1]TrialBalance (Quarter)'!$A:$L,MATCH([1]TBMapping!$C1298,'[1]TrialBalance (Quarter)'!A:A,0),MATCH([1]TBMapping!M$3,'[1]TrialBalance (Quarter)'!$7:$7,0)),0)</f>
        <v>0</v>
      </c>
      <c r="M1296" s="5">
        <f>IFERROR(INDEX('[1]TrialBalance (Quarter)'!$A:$L,MATCH([1]TBMapping!$C1298,'[1]TrialBalance (Quarter)'!A:A,0),MATCH([1]TBMapping!N$3,'[1]TrialBalance (Quarter)'!$7:$7,0)),0)</f>
        <v>0</v>
      </c>
      <c r="N1296" s="5">
        <f>IFERROR(INDEX('[1]TrialBalance (Quarter)'!$A:$L,MATCH([1]TBMapping!$C1298,'[1]TrialBalance (Quarter)'!A:A,0),MATCH([1]TBMapping!O$3,'[1]TrialBalance (Quarter)'!$7:$7,0)),0)</f>
        <v>0</v>
      </c>
    </row>
    <row r="1297" spans="1:14">
      <c r="A1297" s="2">
        <v>39</v>
      </c>
      <c r="B1297" s="3">
        <v>753410</v>
      </c>
      <c r="C1297" s="1" t="s">
        <v>1070</v>
      </c>
      <c r="D1297" s="1" t="s">
        <v>11</v>
      </c>
      <c r="F1297" s="5" t="e">
        <f>IF(DataExtraction="Manual",SUMIF('[1]TrialBalance (YTD)'!$C:$C,B1297,'[1]TrialBalance (YTD)'!$E:$E),SUMIF('[1]TrialBalance (YTD)'!$G:$G,B1297,'[1]TrialBalance (YTD)'!$I:$I))</f>
        <v>#VALUE!</v>
      </c>
      <c r="G1297" s="5">
        <f>IFERROR(INDEX('[1]TrialBalance (YTD)'!$G:$S,MATCH([1]TBMapping!$C1299,'[1]TrialBalance (YTD)'!G:G,0),MATCH([1]TBMapping!H$3,'[1]TrialBalance (YTD)'!$G$7:$Z$7,0)),0)</f>
        <v>0</v>
      </c>
      <c r="H1297" s="5" t="e">
        <f>SUMIF('[1]TrialBalance (YTD)'!G:G,B1297,'[1]TrialBalance (YTD)'!H:H)</f>
        <v>#VALUE!</v>
      </c>
      <c r="I1297" s="5">
        <f>IFERROR(INDEX('[1]TrialBalance (YTD)'!$G:$S,MATCH([1]TBMapping!$C1299,'[1]TrialBalance (YTD)'!G:G,0),MATCH([1]TBMapping!J$3,'[1]TrialBalance (YTD)'!$G$7:$Z$7,0)),0)</f>
        <v>0</v>
      </c>
      <c r="K1297" s="5" t="e">
        <f>SUMIF('[1]TrialBalance (Quarter)'!$A:$A,B1297,'[1]TrialBalance (Quarter)'!$B:$B)</f>
        <v>#VALUE!</v>
      </c>
      <c r="L1297" s="5">
        <f>IFERROR(INDEX('[1]TrialBalance (Quarter)'!$A:$L,MATCH([1]TBMapping!$C1299,'[1]TrialBalance (Quarter)'!A:A,0),MATCH([1]TBMapping!M$3,'[1]TrialBalance (Quarter)'!$7:$7,0)),0)</f>
        <v>0</v>
      </c>
      <c r="M1297" s="5">
        <f>IFERROR(INDEX('[1]TrialBalance (Quarter)'!$A:$L,MATCH([1]TBMapping!$C1299,'[1]TrialBalance (Quarter)'!A:A,0),MATCH([1]TBMapping!N$3,'[1]TrialBalance (Quarter)'!$7:$7,0)),0)</f>
        <v>0</v>
      </c>
      <c r="N1297" s="5">
        <f>IFERROR(INDEX('[1]TrialBalance (Quarter)'!$A:$L,MATCH([1]TBMapping!$C1299,'[1]TrialBalance (Quarter)'!A:A,0),MATCH([1]TBMapping!O$3,'[1]TrialBalance (Quarter)'!$7:$7,0)),0)</f>
        <v>0</v>
      </c>
    </row>
    <row r="1298" spans="1:14">
      <c r="A1298" s="2">
        <v>39</v>
      </c>
      <c r="B1298" s="3">
        <v>753510</v>
      </c>
      <c r="C1298" s="1" t="s">
        <v>1071</v>
      </c>
      <c r="D1298" s="1" t="s">
        <v>16</v>
      </c>
      <c r="F1298" s="5" t="e">
        <f>IF(DataExtraction="Manual",SUMIF('[1]TrialBalance (YTD)'!$C:$C,B1298,'[1]TrialBalance (YTD)'!$E:$E),SUMIF('[1]TrialBalance (YTD)'!$G:$G,B1298,'[1]TrialBalance (YTD)'!$I:$I))</f>
        <v>#VALUE!</v>
      </c>
      <c r="G1298" s="5">
        <f>IFERROR(INDEX('[1]TrialBalance (YTD)'!$G:$S,MATCH([1]TBMapping!$C1300,'[1]TrialBalance (YTD)'!G:G,0),MATCH([1]TBMapping!H$3,'[1]TrialBalance (YTD)'!$G$7:$Z$7,0)),0)</f>
        <v>0</v>
      </c>
      <c r="H1298" s="5" t="e">
        <f>SUMIF('[1]TrialBalance (YTD)'!G:G,B1298,'[1]TrialBalance (YTD)'!H:H)</f>
        <v>#VALUE!</v>
      </c>
      <c r="I1298" s="5">
        <f>IFERROR(INDEX('[1]TrialBalance (YTD)'!$G:$S,MATCH([1]TBMapping!$C1300,'[1]TrialBalance (YTD)'!G:G,0),MATCH([1]TBMapping!J$3,'[1]TrialBalance (YTD)'!$G$7:$Z$7,0)),0)</f>
        <v>0</v>
      </c>
      <c r="K1298" s="5" t="e">
        <f>SUMIF('[1]TrialBalance (Quarter)'!$A:$A,B1298,'[1]TrialBalance (Quarter)'!$B:$B)</f>
        <v>#VALUE!</v>
      </c>
      <c r="L1298" s="5">
        <f>IFERROR(INDEX('[1]TrialBalance (Quarter)'!$A:$L,MATCH([1]TBMapping!$C1300,'[1]TrialBalance (Quarter)'!A:A,0),MATCH([1]TBMapping!M$3,'[1]TrialBalance (Quarter)'!$7:$7,0)),0)</f>
        <v>0</v>
      </c>
      <c r="M1298" s="5">
        <f>IFERROR(INDEX('[1]TrialBalance (Quarter)'!$A:$L,MATCH([1]TBMapping!$C1300,'[1]TrialBalance (Quarter)'!A:A,0),MATCH([1]TBMapping!N$3,'[1]TrialBalance (Quarter)'!$7:$7,0)),0)</f>
        <v>0</v>
      </c>
      <c r="N1298" s="5">
        <f>IFERROR(INDEX('[1]TrialBalance (Quarter)'!$A:$L,MATCH([1]TBMapping!$C1300,'[1]TrialBalance (Quarter)'!A:A,0),MATCH([1]TBMapping!O$3,'[1]TrialBalance (Quarter)'!$7:$7,0)),0)</f>
        <v>0</v>
      </c>
    </row>
    <row r="1299" spans="1:14">
      <c r="A1299" s="2">
        <v>39</v>
      </c>
      <c r="B1299" s="3">
        <v>753600</v>
      </c>
      <c r="C1299" s="1" t="s">
        <v>1071</v>
      </c>
      <c r="D1299" s="1" t="s">
        <v>16</v>
      </c>
      <c r="F1299" s="5" t="e">
        <f>IF(DataExtraction="Manual",SUMIF('[1]TrialBalance (YTD)'!$C:$C,B1299,'[1]TrialBalance (YTD)'!$E:$E),SUMIF('[1]TrialBalance (YTD)'!$G:$G,B1299,'[1]TrialBalance (YTD)'!$I:$I))</f>
        <v>#VALUE!</v>
      </c>
      <c r="G1299" s="5">
        <f>IFERROR(INDEX('[1]TrialBalance (YTD)'!$G:$S,MATCH([1]TBMapping!$C1301,'[1]TrialBalance (YTD)'!G:G,0),MATCH([1]TBMapping!H$3,'[1]TrialBalance (YTD)'!$G$7:$Z$7,0)),0)</f>
        <v>0</v>
      </c>
      <c r="H1299" s="5" t="e">
        <f>SUMIF('[1]TrialBalance (YTD)'!G:G,B1299,'[1]TrialBalance (YTD)'!H:H)</f>
        <v>#VALUE!</v>
      </c>
      <c r="I1299" s="5">
        <f>IFERROR(INDEX('[1]TrialBalance (YTD)'!$G:$S,MATCH([1]TBMapping!$C1301,'[1]TrialBalance (YTD)'!G:G,0),MATCH([1]TBMapping!J$3,'[1]TrialBalance (YTD)'!$G$7:$Z$7,0)),0)</f>
        <v>0</v>
      </c>
      <c r="K1299" s="5" t="e">
        <f>SUMIF('[1]TrialBalance (Quarter)'!$A:$A,B1299,'[1]TrialBalance (Quarter)'!$B:$B)</f>
        <v>#VALUE!</v>
      </c>
      <c r="L1299" s="5">
        <f>IFERROR(INDEX('[1]TrialBalance (Quarter)'!$A:$L,MATCH([1]TBMapping!$C1301,'[1]TrialBalance (Quarter)'!A:A,0),MATCH([1]TBMapping!M$3,'[1]TrialBalance (Quarter)'!$7:$7,0)),0)</f>
        <v>0</v>
      </c>
      <c r="M1299" s="5">
        <f>IFERROR(INDEX('[1]TrialBalance (Quarter)'!$A:$L,MATCH([1]TBMapping!$C1301,'[1]TrialBalance (Quarter)'!A:A,0),MATCH([1]TBMapping!N$3,'[1]TrialBalance (Quarter)'!$7:$7,0)),0)</f>
        <v>0</v>
      </c>
      <c r="N1299" s="5">
        <f>IFERROR(INDEX('[1]TrialBalance (Quarter)'!$A:$L,MATCH([1]TBMapping!$C1301,'[1]TrialBalance (Quarter)'!A:A,0),MATCH([1]TBMapping!O$3,'[1]TrialBalance (Quarter)'!$7:$7,0)),0)</f>
        <v>0</v>
      </c>
    </row>
    <row r="1300" spans="1:14">
      <c r="B1300" s="3">
        <v>753999</v>
      </c>
      <c r="C1300" s="1" t="s">
        <v>1072</v>
      </c>
      <c r="D1300" s="1" t="s">
        <v>5</v>
      </c>
      <c r="F1300" s="5" t="e">
        <f>IF(DataExtraction="Manual",SUMIF('[1]TrialBalance (YTD)'!$C:$C,B1300,'[1]TrialBalance (YTD)'!$E:$E),SUMIF('[1]TrialBalance (YTD)'!$G:$G,B1300,'[1]TrialBalance (YTD)'!$I:$I))</f>
        <v>#VALUE!</v>
      </c>
      <c r="G1300" s="5">
        <f>IFERROR(INDEX('[1]TrialBalance (YTD)'!$G:$S,MATCH([1]TBMapping!$C1302,'[1]TrialBalance (YTD)'!G:G,0),MATCH([1]TBMapping!H$3,'[1]TrialBalance (YTD)'!$G$7:$Z$7,0)),0)</f>
        <v>0</v>
      </c>
      <c r="H1300" s="5" t="e">
        <f>SUMIF('[1]TrialBalance (YTD)'!G:G,B1300,'[1]TrialBalance (YTD)'!H:H)</f>
        <v>#VALUE!</v>
      </c>
      <c r="I1300" s="5">
        <f>IFERROR(INDEX('[1]TrialBalance (YTD)'!$G:$S,MATCH([1]TBMapping!$C1302,'[1]TrialBalance (YTD)'!G:G,0),MATCH([1]TBMapping!J$3,'[1]TrialBalance (YTD)'!$G$7:$Z$7,0)),0)</f>
        <v>0</v>
      </c>
      <c r="K1300" s="5" t="e">
        <f>SUMIF('[1]TrialBalance (Quarter)'!$A:$A,B1300,'[1]TrialBalance (Quarter)'!$B:$B)</f>
        <v>#VALUE!</v>
      </c>
      <c r="L1300" s="5">
        <f>IFERROR(INDEX('[1]TrialBalance (Quarter)'!$A:$L,MATCH([1]TBMapping!$C1302,'[1]TrialBalance (Quarter)'!A:A,0),MATCH([1]TBMapping!M$3,'[1]TrialBalance (Quarter)'!$7:$7,0)),0)</f>
        <v>0</v>
      </c>
      <c r="M1300" s="5">
        <f>IFERROR(INDEX('[1]TrialBalance (Quarter)'!$A:$L,MATCH([1]TBMapping!$C1302,'[1]TrialBalance (Quarter)'!A:A,0),MATCH([1]TBMapping!N$3,'[1]TrialBalance (Quarter)'!$7:$7,0)),0)</f>
        <v>0</v>
      </c>
      <c r="N1300" s="5">
        <f>IFERROR(INDEX('[1]TrialBalance (Quarter)'!$A:$L,MATCH([1]TBMapping!$C1302,'[1]TrialBalance (Quarter)'!A:A,0),MATCH([1]TBMapping!O$3,'[1]TrialBalance (Quarter)'!$7:$7,0)),0)</f>
        <v>0</v>
      </c>
    </row>
    <row r="1301" spans="1:14">
      <c r="B1301" s="3">
        <v>759999</v>
      </c>
      <c r="C1301" s="1" t="s">
        <v>1073</v>
      </c>
      <c r="D1301" s="1" t="s">
        <v>11</v>
      </c>
      <c r="F1301" s="5" t="e">
        <f>IF(DataExtraction="Manual",SUMIF('[1]TrialBalance (YTD)'!$C:$C,B1301,'[1]TrialBalance (YTD)'!$E:$E),SUMIF('[1]TrialBalance (YTD)'!$G:$G,B1301,'[1]TrialBalance (YTD)'!$I:$I))</f>
        <v>#VALUE!</v>
      </c>
      <c r="G1301" s="5">
        <f>IFERROR(INDEX('[1]TrialBalance (YTD)'!$G:$S,MATCH([1]TBMapping!$C1303,'[1]TrialBalance (YTD)'!G:G,0),MATCH([1]TBMapping!H$3,'[1]TrialBalance (YTD)'!$G$7:$Z$7,0)),0)</f>
        <v>0</v>
      </c>
      <c r="H1301" s="5" t="e">
        <f>SUMIF('[1]TrialBalance (YTD)'!G:G,B1301,'[1]TrialBalance (YTD)'!H:H)</f>
        <v>#VALUE!</v>
      </c>
      <c r="I1301" s="5">
        <f>IFERROR(INDEX('[1]TrialBalance (YTD)'!$G:$S,MATCH([1]TBMapping!$C1303,'[1]TrialBalance (YTD)'!G:G,0),MATCH([1]TBMapping!J$3,'[1]TrialBalance (YTD)'!$G$7:$Z$7,0)),0)</f>
        <v>0</v>
      </c>
      <c r="K1301" s="5" t="e">
        <f>SUMIF('[1]TrialBalance (Quarter)'!$A:$A,B1301,'[1]TrialBalance (Quarter)'!$B:$B)</f>
        <v>#VALUE!</v>
      </c>
      <c r="L1301" s="5">
        <f>IFERROR(INDEX('[1]TrialBalance (Quarter)'!$A:$L,MATCH([1]TBMapping!$C1303,'[1]TrialBalance (Quarter)'!A:A,0),MATCH([1]TBMapping!M$3,'[1]TrialBalance (Quarter)'!$7:$7,0)),0)</f>
        <v>0</v>
      </c>
      <c r="M1301" s="5">
        <f>IFERROR(INDEX('[1]TrialBalance (Quarter)'!$A:$L,MATCH([1]TBMapping!$C1303,'[1]TrialBalance (Quarter)'!A:A,0),MATCH([1]TBMapping!N$3,'[1]TrialBalance (Quarter)'!$7:$7,0)),0)</f>
        <v>0</v>
      </c>
      <c r="N1301" s="5">
        <f>IFERROR(INDEX('[1]TrialBalance (Quarter)'!$A:$L,MATCH([1]TBMapping!$C1303,'[1]TrialBalance (Quarter)'!A:A,0),MATCH([1]TBMapping!O$3,'[1]TrialBalance (Quarter)'!$7:$7,0)),0)</f>
        <v>0</v>
      </c>
    </row>
    <row r="1302" spans="1:14">
      <c r="B1302" s="3">
        <v>760000</v>
      </c>
      <c r="C1302" s="1" t="s">
        <v>1074</v>
      </c>
      <c r="D1302" s="1" t="s">
        <v>11</v>
      </c>
      <c r="F1302" s="5" t="e">
        <f>IF(DataExtraction="Manual",SUMIF('[1]TrialBalance (YTD)'!$C:$C,B1302,'[1]TrialBalance (YTD)'!$E:$E),SUMIF('[1]TrialBalance (YTD)'!$G:$G,B1302,'[1]TrialBalance (YTD)'!$I:$I))</f>
        <v>#VALUE!</v>
      </c>
      <c r="G1302" s="5">
        <f>IFERROR(INDEX('[1]TrialBalance (YTD)'!$G:$S,MATCH([1]TBMapping!$C1304,'[1]TrialBalance (YTD)'!G:G,0),MATCH([1]TBMapping!H$3,'[1]TrialBalance (YTD)'!$G$7:$Z$7,0)),0)</f>
        <v>0</v>
      </c>
      <c r="H1302" s="5" t="e">
        <f>SUMIF('[1]TrialBalance (YTD)'!G:G,B1302,'[1]TrialBalance (YTD)'!H:H)</f>
        <v>#VALUE!</v>
      </c>
      <c r="I1302" s="5">
        <f>IFERROR(INDEX('[1]TrialBalance (YTD)'!$G:$S,MATCH([1]TBMapping!$C1304,'[1]TrialBalance (YTD)'!G:G,0),MATCH([1]TBMapping!J$3,'[1]TrialBalance (YTD)'!$G$7:$Z$7,0)),0)</f>
        <v>0</v>
      </c>
      <c r="K1302" s="5" t="e">
        <f>SUMIF('[1]TrialBalance (Quarter)'!$A:$A,B1302,'[1]TrialBalance (Quarter)'!$B:$B)</f>
        <v>#VALUE!</v>
      </c>
      <c r="L1302" s="5">
        <f>IFERROR(INDEX('[1]TrialBalance (Quarter)'!$A:$L,MATCH([1]TBMapping!$C1304,'[1]TrialBalance (Quarter)'!A:A,0),MATCH([1]TBMapping!M$3,'[1]TrialBalance (Quarter)'!$7:$7,0)),0)</f>
        <v>0</v>
      </c>
      <c r="M1302" s="5">
        <f>IFERROR(INDEX('[1]TrialBalance (Quarter)'!$A:$L,MATCH([1]TBMapping!$C1304,'[1]TrialBalance (Quarter)'!A:A,0),MATCH([1]TBMapping!N$3,'[1]TrialBalance (Quarter)'!$7:$7,0)),0)</f>
        <v>0</v>
      </c>
      <c r="N1302" s="5">
        <f>IFERROR(INDEX('[1]TrialBalance (Quarter)'!$A:$L,MATCH([1]TBMapping!$C1304,'[1]TrialBalance (Quarter)'!A:A,0),MATCH([1]TBMapping!O$3,'[1]TrialBalance (Quarter)'!$7:$7,0)),0)</f>
        <v>0</v>
      </c>
    </row>
    <row r="1303" spans="1:14">
      <c r="A1303" s="2">
        <v>38</v>
      </c>
      <c r="B1303" s="3">
        <v>761000</v>
      </c>
      <c r="C1303" s="1" t="s">
        <v>1075</v>
      </c>
      <c r="D1303" s="1" t="s">
        <v>11</v>
      </c>
      <c r="F1303" s="5" t="e">
        <f>IF(DataExtraction="Manual",SUMIF('[1]TrialBalance (YTD)'!$C:$C,B1303,'[1]TrialBalance (YTD)'!$E:$E),SUMIF('[1]TrialBalance (YTD)'!$G:$G,B1303,'[1]TrialBalance (YTD)'!$I:$I))</f>
        <v>#VALUE!</v>
      </c>
      <c r="G1303" s="5">
        <f>IFERROR(INDEX('[1]TrialBalance (YTD)'!$G:$S,MATCH([1]TBMapping!$C1305,'[1]TrialBalance (YTD)'!G:G,0),MATCH([1]TBMapping!H$3,'[1]TrialBalance (YTD)'!$G$7:$Z$7,0)),0)</f>
        <v>0</v>
      </c>
      <c r="H1303" s="5" t="e">
        <f>SUMIF('[1]TrialBalance (YTD)'!G:G,B1303,'[1]TrialBalance (YTD)'!H:H)</f>
        <v>#VALUE!</v>
      </c>
      <c r="I1303" s="5">
        <f>IFERROR(INDEX('[1]TrialBalance (YTD)'!$G:$S,MATCH([1]TBMapping!$C1305,'[1]TrialBalance (YTD)'!G:G,0),MATCH([1]TBMapping!J$3,'[1]TrialBalance (YTD)'!$G$7:$Z$7,0)),0)</f>
        <v>0</v>
      </c>
      <c r="K1303" s="5" t="e">
        <f>SUMIF('[1]TrialBalance (Quarter)'!$A:$A,B1303,'[1]TrialBalance (Quarter)'!$B:$B)</f>
        <v>#VALUE!</v>
      </c>
      <c r="L1303" s="5">
        <f>IFERROR(INDEX('[1]TrialBalance (Quarter)'!$A:$L,MATCH([1]TBMapping!$C1305,'[1]TrialBalance (Quarter)'!A:A,0),MATCH([1]TBMapping!M$3,'[1]TrialBalance (Quarter)'!$7:$7,0)),0)</f>
        <v>0</v>
      </c>
      <c r="M1303" s="5">
        <f>IFERROR(INDEX('[1]TrialBalance (Quarter)'!$A:$L,MATCH([1]TBMapping!$C1305,'[1]TrialBalance (Quarter)'!A:A,0),MATCH([1]TBMapping!N$3,'[1]TrialBalance (Quarter)'!$7:$7,0)),0)</f>
        <v>0</v>
      </c>
      <c r="N1303" s="5">
        <f>IFERROR(INDEX('[1]TrialBalance (Quarter)'!$A:$L,MATCH([1]TBMapping!$C1305,'[1]TrialBalance (Quarter)'!A:A,0),MATCH([1]TBMapping!O$3,'[1]TrialBalance (Quarter)'!$7:$7,0)),0)</f>
        <v>0</v>
      </c>
    </row>
    <row r="1304" spans="1:14">
      <c r="A1304" s="2">
        <v>38</v>
      </c>
      <c r="B1304" s="3">
        <v>761010</v>
      </c>
      <c r="C1304" s="1" t="s">
        <v>643</v>
      </c>
      <c r="D1304" s="1" t="s">
        <v>11</v>
      </c>
      <c r="F1304" s="5" t="e">
        <f>IF(DataExtraction="Manual",SUMIF('[1]TrialBalance (YTD)'!$C:$C,B1304,'[1]TrialBalance (YTD)'!$E:$E),SUMIF('[1]TrialBalance (YTD)'!$G:$G,B1304,'[1]TrialBalance (YTD)'!$I:$I))</f>
        <v>#VALUE!</v>
      </c>
      <c r="G1304" s="5">
        <f>IFERROR(INDEX('[1]TrialBalance (YTD)'!$G:$S,MATCH([1]TBMapping!$C1306,'[1]TrialBalance (YTD)'!G:G,0),MATCH([1]TBMapping!H$3,'[1]TrialBalance (YTD)'!$G$7:$Z$7,0)),0)</f>
        <v>0</v>
      </c>
      <c r="H1304" s="5" t="e">
        <f>SUMIF('[1]TrialBalance (YTD)'!G:G,B1304,'[1]TrialBalance (YTD)'!H:H)</f>
        <v>#VALUE!</v>
      </c>
      <c r="I1304" s="5">
        <f>IFERROR(INDEX('[1]TrialBalance (YTD)'!$G:$S,MATCH([1]TBMapping!$C1306,'[1]TrialBalance (YTD)'!G:G,0),MATCH([1]TBMapping!J$3,'[1]TrialBalance (YTD)'!$G$7:$Z$7,0)),0)</f>
        <v>0</v>
      </c>
      <c r="K1304" s="5" t="e">
        <f>SUMIF('[1]TrialBalance (Quarter)'!$A:$A,B1304,'[1]TrialBalance (Quarter)'!$B:$B)</f>
        <v>#VALUE!</v>
      </c>
      <c r="L1304" s="5">
        <f>IFERROR(INDEX('[1]TrialBalance (Quarter)'!$A:$L,MATCH([1]TBMapping!$C1306,'[1]TrialBalance (Quarter)'!A:A,0),MATCH([1]TBMapping!M$3,'[1]TrialBalance (Quarter)'!$7:$7,0)),0)</f>
        <v>0</v>
      </c>
      <c r="M1304" s="5">
        <f>IFERROR(INDEX('[1]TrialBalance (Quarter)'!$A:$L,MATCH([1]TBMapping!$C1306,'[1]TrialBalance (Quarter)'!A:A,0),MATCH([1]TBMapping!N$3,'[1]TrialBalance (Quarter)'!$7:$7,0)),0)</f>
        <v>0</v>
      </c>
      <c r="N1304" s="5">
        <f>IFERROR(INDEX('[1]TrialBalance (Quarter)'!$A:$L,MATCH([1]TBMapping!$C1306,'[1]TrialBalance (Quarter)'!A:A,0),MATCH([1]TBMapping!O$3,'[1]TrialBalance (Quarter)'!$7:$7,0)),0)</f>
        <v>0</v>
      </c>
    </row>
    <row r="1305" spans="1:14">
      <c r="A1305" s="2">
        <v>38</v>
      </c>
      <c r="B1305" s="3">
        <v>761020</v>
      </c>
      <c r="C1305" s="1" t="s">
        <v>1076</v>
      </c>
      <c r="D1305" s="1" t="s">
        <v>11</v>
      </c>
      <c r="F1305" s="5" t="e">
        <f>IF(DataExtraction="Manual",SUMIF('[1]TrialBalance (YTD)'!$C:$C,B1305,'[1]TrialBalance (YTD)'!$E:$E),SUMIF('[1]TrialBalance (YTD)'!$G:$G,B1305,'[1]TrialBalance (YTD)'!$I:$I))</f>
        <v>#VALUE!</v>
      </c>
      <c r="G1305" s="5">
        <f>IFERROR(INDEX('[1]TrialBalance (YTD)'!$G:$S,MATCH([1]TBMapping!$C1307,'[1]TrialBalance (YTD)'!G:G,0),MATCH([1]TBMapping!H$3,'[1]TrialBalance (YTD)'!$G$7:$Z$7,0)),0)</f>
        <v>0</v>
      </c>
      <c r="H1305" s="5" t="e">
        <f>SUMIF('[1]TrialBalance (YTD)'!G:G,B1305,'[1]TrialBalance (YTD)'!H:H)</f>
        <v>#VALUE!</v>
      </c>
      <c r="I1305" s="5">
        <f>IFERROR(INDEX('[1]TrialBalance (YTD)'!$G:$S,MATCH([1]TBMapping!$C1307,'[1]TrialBalance (YTD)'!G:G,0),MATCH([1]TBMapping!J$3,'[1]TrialBalance (YTD)'!$G$7:$Z$7,0)),0)</f>
        <v>0</v>
      </c>
      <c r="K1305" s="5" t="e">
        <f>SUMIF('[1]TrialBalance (Quarter)'!$A:$A,B1305,'[1]TrialBalance (Quarter)'!$B:$B)</f>
        <v>#VALUE!</v>
      </c>
      <c r="L1305" s="5">
        <f>IFERROR(INDEX('[1]TrialBalance (Quarter)'!$A:$L,MATCH([1]TBMapping!$C1307,'[1]TrialBalance (Quarter)'!A:A,0),MATCH([1]TBMapping!M$3,'[1]TrialBalance (Quarter)'!$7:$7,0)),0)</f>
        <v>0</v>
      </c>
      <c r="M1305" s="5">
        <f>IFERROR(INDEX('[1]TrialBalance (Quarter)'!$A:$L,MATCH([1]TBMapping!$C1307,'[1]TrialBalance (Quarter)'!A:A,0),MATCH([1]TBMapping!N$3,'[1]TrialBalance (Quarter)'!$7:$7,0)),0)</f>
        <v>0</v>
      </c>
      <c r="N1305" s="5">
        <f>IFERROR(INDEX('[1]TrialBalance (Quarter)'!$A:$L,MATCH([1]TBMapping!$C1307,'[1]TrialBalance (Quarter)'!A:A,0),MATCH([1]TBMapping!O$3,'[1]TrialBalance (Quarter)'!$7:$7,0)),0)</f>
        <v>0</v>
      </c>
    </row>
    <row r="1306" spans="1:14">
      <c r="A1306" s="2">
        <v>38</v>
      </c>
      <c r="B1306" s="3">
        <v>761025</v>
      </c>
      <c r="C1306" s="1" t="s">
        <v>1077</v>
      </c>
      <c r="D1306" s="1" t="s">
        <v>16</v>
      </c>
      <c r="F1306" s="5" t="e">
        <f>IF(DataExtraction="Manual",SUMIF('[1]TrialBalance (YTD)'!$C:$C,B1306,'[1]TrialBalance (YTD)'!$E:$E),SUMIF('[1]TrialBalance (YTD)'!$G:$G,B1306,'[1]TrialBalance (YTD)'!$I:$I))</f>
        <v>#VALUE!</v>
      </c>
      <c r="G1306" s="5">
        <f>IFERROR(INDEX('[1]TrialBalance (YTD)'!$G:$S,MATCH([1]TBMapping!$C1308,'[1]TrialBalance (YTD)'!G:G,0),MATCH([1]TBMapping!H$3,'[1]TrialBalance (YTD)'!$G$7:$Z$7,0)),0)</f>
        <v>0</v>
      </c>
      <c r="H1306" s="5" t="e">
        <f>SUMIF('[1]TrialBalance (YTD)'!G:G,B1306,'[1]TrialBalance (YTD)'!H:H)</f>
        <v>#VALUE!</v>
      </c>
      <c r="I1306" s="5">
        <f>IFERROR(INDEX('[1]TrialBalance (YTD)'!$G:$S,MATCH([1]TBMapping!$C1308,'[1]TrialBalance (YTD)'!G:G,0),MATCH([1]TBMapping!J$3,'[1]TrialBalance (YTD)'!$G$7:$Z$7,0)),0)</f>
        <v>0</v>
      </c>
      <c r="K1306" s="5" t="e">
        <f>SUMIF('[1]TrialBalance (Quarter)'!$A:$A,B1306,'[1]TrialBalance (Quarter)'!$B:$B)</f>
        <v>#VALUE!</v>
      </c>
      <c r="L1306" s="5">
        <f>IFERROR(INDEX('[1]TrialBalance (Quarter)'!$A:$L,MATCH([1]TBMapping!$C1308,'[1]TrialBalance (Quarter)'!A:A,0),MATCH([1]TBMapping!M$3,'[1]TrialBalance (Quarter)'!$7:$7,0)),0)</f>
        <v>0</v>
      </c>
      <c r="M1306" s="5">
        <f>IFERROR(INDEX('[1]TrialBalance (Quarter)'!$A:$L,MATCH([1]TBMapping!$C1308,'[1]TrialBalance (Quarter)'!A:A,0),MATCH([1]TBMapping!N$3,'[1]TrialBalance (Quarter)'!$7:$7,0)),0)</f>
        <v>0</v>
      </c>
      <c r="N1306" s="5">
        <f>IFERROR(INDEX('[1]TrialBalance (Quarter)'!$A:$L,MATCH([1]TBMapping!$C1308,'[1]TrialBalance (Quarter)'!A:A,0),MATCH([1]TBMapping!O$3,'[1]TrialBalance (Quarter)'!$7:$7,0)),0)</f>
        <v>0</v>
      </c>
    </row>
    <row r="1307" spans="1:14">
      <c r="A1307" s="2">
        <v>39</v>
      </c>
      <c r="B1307" s="3">
        <v>762010</v>
      </c>
      <c r="C1307" s="1" t="s">
        <v>1078</v>
      </c>
      <c r="D1307" s="1" t="s">
        <v>5</v>
      </c>
      <c r="F1307" s="5" t="e">
        <f>IF(DataExtraction="Manual",SUMIF('[1]TrialBalance (YTD)'!$C:$C,B1307,'[1]TrialBalance (YTD)'!$E:$E),SUMIF('[1]TrialBalance (YTD)'!$G:$G,B1307,'[1]TrialBalance (YTD)'!$I:$I))</f>
        <v>#VALUE!</v>
      </c>
      <c r="G1307" s="5">
        <f>IFERROR(INDEX('[1]TrialBalance (YTD)'!$G:$S,MATCH([1]TBMapping!$C1309,'[1]TrialBalance (YTD)'!G:G,0),MATCH([1]TBMapping!H$3,'[1]TrialBalance (YTD)'!$G$7:$Z$7,0)),0)</f>
        <v>0</v>
      </c>
      <c r="H1307" s="5" t="e">
        <f>SUMIF('[1]TrialBalance (YTD)'!G:G,B1307,'[1]TrialBalance (YTD)'!H:H)</f>
        <v>#VALUE!</v>
      </c>
      <c r="I1307" s="5">
        <f>IFERROR(INDEX('[1]TrialBalance (YTD)'!$G:$S,MATCH([1]TBMapping!$C1309,'[1]TrialBalance (YTD)'!G:G,0),MATCH([1]TBMapping!J$3,'[1]TrialBalance (YTD)'!$G$7:$Z$7,0)),0)</f>
        <v>0</v>
      </c>
      <c r="K1307" s="5" t="e">
        <f>SUMIF('[1]TrialBalance (Quarter)'!$A:$A,B1307,'[1]TrialBalance (Quarter)'!$B:$B)</f>
        <v>#VALUE!</v>
      </c>
      <c r="L1307" s="5">
        <f>IFERROR(INDEX('[1]TrialBalance (Quarter)'!$A:$L,MATCH([1]TBMapping!$C1309,'[1]TrialBalance (Quarter)'!A:A,0),MATCH([1]TBMapping!M$3,'[1]TrialBalance (Quarter)'!$7:$7,0)),0)</f>
        <v>0</v>
      </c>
      <c r="M1307" s="5">
        <f>IFERROR(INDEX('[1]TrialBalance (Quarter)'!$A:$L,MATCH([1]TBMapping!$C1309,'[1]TrialBalance (Quarter)'!A:A,0),MATCH([1]TBMapping!N$3,'[1]TrialBalance (Quarter)'!$7:$7,0)),0)</f>
        <v>0</v>
      </c>
      <c r="N1307" s="5">
        <f>IFERROR(INDEX('[1]TrialBalance (Quarter)'!$A:$L,MATCH([1]TBMapping!$C1309,'[1]TrialBalance (Quarter)'!A:A,0),MATCH([1]TBMapping!O$3,'[1]TrialBalance (Quarter)'!$7:$7,0)),0)</f>
        <v>0</v>
      </c>
    </row>
    <row r="1308" spans="1:14">
      <c r="B1308" s="3">
        <v>762999</v>
      </c>
      <c r="C1308" s="1" t="s">
        <v>1079</v>
      </c>
      <c r="D1308" s="1" t="s">
        <v>11</v>
      </c>
      <c r="F1308" s="5" t="e">
        <f>IF(DataExtraction="Manual",SUMIF('[1]TrialBalance (YTD)'!$C:$C,B1308,'[1]TrialBalance (YTD)'!$E:$E),SUMIF('[1]TrialBalance (YTD)'!$G:$G,B1308,'[1]TrialBalance (YTD)'!$I:$I))</f>
        <v>#VALUE!</v>
      </c>
      <c r="G1308" s="5">
        <f>IFERROR(INDEX('[1]TrialBalance (YTD)'!$G:$S,MATCH([1]TBMapping!$C1310,'[1]TrialBalance (YTD)'!G:G,0),MATCH([1]TBMapping!H$3,'[1]TrialBalance (YTD)'!$G$7:$Z$7,0)),0)</f>
        <v>0</v>
      </c>
      <c r="H1308" s="5" t="e">
        <f>SUMIF('[1]TrialBalance (YTD)'!G:G,B1308,'[1]TrialBalance (YTD)'!H:H)</f>
        <v>#VALUE!</v>
      </c>
      <c r="I1308" s="5">
        <f>IFERROR(INDEX('[1]TrialBalance (YTD)'!$G:$S,MATCH([1]TBMapping!$C1310,'[1]TrialBalance (YTD)'!G:G,0),MATCH([1]TBMapping!J$3,'[1]TrialBalance (YTD)'!$G$7:$Z$7,0)),0)</f>
        <v>0</v>
      </c>
      <c r="K1308" s="5" t="e">
        <f>SUMIF('[1]TrialBalance (Quarter)'!$A:$A,B1308,'[1]TrialBalance (Quarter)'!$B:$B)</f>
        <v>#VALUE!</v>
      </c>
      <c r="L1308" s="5">
        <f>IFERROR(INDEX('[1]TrialBalance (Quarter)'!$A:$L,MATCH([1]TBMapping!$C1310,'[1]TrialBalance (Quarter)'!A:A,0),MATCH([1]TBMapping!M$3,'[1]TrialBalance (Quarter)'!$7:$7,0)),0)</f>
        <v>0</v>
      </c>
      <c r="M1308" s="5">
        <f>IFERROR(INDEX('[1]TrialBalance (Quarter)'!$A:$L,MATCH([1]TBMapping!$C1310,'[1]TrialBalance (Quarter)'!A:A,0),MATCH([1]TBMapping!N$3,'[1]TrialBalance (Quarter)'!$7:$7,0)),0)</f>
        <v>0</v>
      </c>
      <c r="N1308" s="5">
        <f>IFERROR(INDEX('[1]TrialBalance (Quarter)'!$A:$L,MATCH([1]TBMapping!$C1310,'[1]TrialBalance (Quarter)'!A:A,0),MATCH([1]TBMapping!O$3,'[1]TrialBalance (Quarter)'!$7:$7,0)),0)</f>
        <v>0</v>
      </c>
    </row>
    <row r="1309" spans="1:14">
      <c r="B1309" s="3">
        <v>763000</v>
      </c>
      <c r="C1309" s="1" t="s">
        <v>1080</v>
      </c>
      <c r="D1309" s="1" t="s">
        <v>11</v>
      </c>
      <c r="F1309" s="5" t="e">
        <f>IF(DataExtraction="Manual",SUMIF('[1]TrialBalance (YTD)'!$C:$C,B1309,'[1]TrialBalance (YTD)'!$E:$E),SUMIF('[1]TrialBalance (YTD)'!$G:$G,B1309,'[1]TrialBalance (YTD)'!$I:$I))</f>
        <v>#VALUE!</v>
      </c>
      <c r="G1309" s="5">
        <f>IFERROR(INDEX('[1]TrialBalance (YTD)'!$G:$S,MATCH([1]TBMapping!$C1311,'[1]TrialBalance (YTD)'!G:G,0),MATCH([1]TBMapping!H$3,'[1]TrialBalance (YTD)'!$G$7:$Z$7,0)),0)</f>
        <v>0</v>
      </c>
      <c r="H1309" s="5" t="e">
        <f>SUMIF('[1]TrialBalance (YTD)'!G:G,B1309,'[1]TrialBalance (YTD)'!H:H)</f>
        <v>#VALUE!</v>
      </c>
      <c r="I1309" s="5">
        <f>IFERROR(INDEX('[1]TrialBalance (YTD)'!$G:$S,MATCH([1]TBMapping!$C1311,'[1]TrialBalance (YTD)'!G:G,0),MATCH([1]TBMapping!J$3,'[1]TrialBalance (YTD)'!$G$7:$Z$7,0)),0)</f>
        <v>0</v>
      </c>
      <c r="K1309" s="5" t="e">
        <f>SUMIF('[1]TrialBalance (Quarter)'!$A:$A,B1309,'[1]TrialBalance (Quarter)'!$B:$B)</f>
        <v>#VALUE!</v>
      </c>
      <c r="L1309" s="5">
        <f>IFERROR(INDEX('[1]TrialBalance (Quarter)'!$A:$L,MATCH([1]TBMapping!$C1311,'[1]TrialBalance (Quarter)'!A:A,0),MATCH([1]TBMapping!M$3,'[1]TrialBalance (Quarter)'!$7:$7,0)),0)</f>
        <v>0</v>
      </c>
      <c r="M1309" s="5">
        <f>IFERROR(INDEX('[1]TrialBalance (Quarter)'!$A:$L,MATCH([1]TBMapping!$C1311,'[1]TrialBalance (Quarter)'!A:A,0),MATCH([1]TBMapping!N$3,'[1]TrialBalance (Quarter)'!$7:$7,0)),0)</f>
        <v>0</v>
      </c>
      <c r="N1309" s="5">
        <f>IFERROR(INDEX('[1]TrialBalance (Quarter)'!$A:$L,MATCH([1]TBMapping!$C1311,'[1]TrialBalance (Quarter)'!A:A,0),MATCH([1]TBMapping!O$3,'[1]TrialBalance (Quarter)'!$7:$7,0)),0)</f>
        <v>0</v>
      </c>
    </row>
    <row r="1310" spans="1:14">
      <c r="A1310" s="2">
        <v>28</v>
      </c>
      <c r="B1310" s="3">
        <v>763010</v>
      </c>
      <c r="C1310" s="1" t="s">
        <v>1081</v>
      </c>
      <c r="D1310" s="1" t="s">
        <v>16</v>
      </c>
      <c r="F1310" s="5" t="e">
        <f>IF(DataExtraction="Manual",SUMIF('[1]TrialBalance (YTD)'!$C:$C,B1310,'[1]TrialBalance (YTD)'!$E:$E),SUMIF('[1]TrialBalance (YTD)'!$G:$G,B1310,'[1]TrialBalance (YTD)'!$I:$I))</f>
        <v>#VALUE!</v>
      </c>
      <c r="G1310" s="5">
        <f>IFERROR(INDEX('[1]TrialBalance (YTD)'!$G:$S,MATCH([1]TBMapping!$C1312,'[1]TrialBalance (YTD)'!G:G,0),MATCH([1]TBMapping!H$3,'[1]TrialBalance (YTD)'!$G$7:$Z$7,0)),0)</f>
        <v>0</v>
      </c>
      <c r="H1310" s="5" t="e">
        <f>SUMIF('[1]TrialBalance (YTD)'!G:G,B1310,'[1]TrialBalance (YTD)'!H:H)</f>
        <v>#VALUE!</v>
      </c>
      <c r="I1310" s="5">
        <f>IFERROR(INDEX('[1]TrialBalance (YTD)'!$G:$S,MATCH([1]TBMapping!$C1312,'[1]TrialBalance (YTD)'!G:G,0),MATCH([1]TBMapping!J$3,'[1]TrialBalance (YTD)'!$G$7:$Z$7,0)),0)</f>
        <v>0</v>
      </c>
      <c r="K1310" s="5" t="e">
        <f>SUMIF('[1]TrialBalance (Quarter)'!$A:$A,B1310,'[1]TrialBalance (Quarter)'!$B:$B)</f>
        <v>#VALUE!</v>
      </c>
      <c r="L1310" s="5">
        <f>IFERROR(INDEX('[1]TrialBalance (Quarter)'!$A:$L,MATCH([1]TBMapping!$C1312,'[1]TrialBalance (Quarter)'!A:A,0),MATCH([1]TBMapping!M$3,'[1]TrialBalance (Quarter)'!$7:$7,0)),0)</f>
        <v>0</v>
      </c>
      <c r="M1310" s="5">
        <f>IFERROR(INDEX('[1]TrialBalance (Quarter)'!$A:$L,MATCH([1]TBMapping!$C1312,'[1]TrialBalance (Quarter)'!A:A,0),MATCH([1]TBMapping!N$3,'[1]TrialBalance (Quarter)'!$7:$7,0)),0)</f>
        <v>0</v>
      </c>
      <c r="N1310" s="5">
        <f>IFERROR(INDEX('[1]TrialBalance (Quarter)'!$A:$L,MATCH([1]TBMapping!$C1312,'[1]TrialBalance (Quarter)'!A:A,0),MATCH([1]TBMapping!O$3,'[1]TrialBalance (Quarter)'!$7:$7,0)),0)</f>
        <v>0</v>
      </c>
    </row>
    <row r="1311" spans="1:14">
      <c r="A1311" s="2">
        <v>38</v>
      </c>
      <c r="B1311" s="3">
        <v>764010</v>
      </c>
      <c r="C1311" s="1" t="s">
        <v>956</v>
      </c>
      <c r="D1311" s="1" t="s">
        <v>16</v>
      </c>
      <c r="F1311" s="5" t="e">
        <f>IF(DataExtraction="Manual",SUMIF('[1]TrialBalance (YTD)'!$C:$C,B1311,'[1]TrialBalance (YTD)'!$E:$E),SUMIF('[1]TrialBalance (YTD)'!$G:$G,B1311,'[1]TrialBalance (YTD)'!$I:$I))</f>
        <v>#VALUE!</v>
      </c>
      <c r="G1311" s="5">
        <f>IFERROR(INDEX('[1]TrialBalance (YTD)'!$G:$S,MATCH([1]TBMapping!$C1313,'[1]TrialBalance (YTD)'!G:G,0),MATCH([1]TBMapping!H$3,'[1]TrialBalance (YTD)'!$G$7:$Z$7,0)),0)</f>
        <v>0</v>
      </c>
      <c r="H1311" s="5" t="e">
        <f>SUMIF('[1]TrialBalance (YTD)'!G:G,B1311,'[1]TrialBalance (YTD)'!H:H)</f>
        <v>#VALUE!</v>
      </c>
      <c r="I1311" s="5">
        <f>IFERROR(INDEX('[1]TrialBalance (YTD)'!$G:$S,MATCH([1]TBMapping!$C1313,'[1]TrialBalance (YTD)'!G:G,0),MATCH([1]TBMapping!J$3,'[1]TrialBalance (YTD)'!$G$7:$Z$7,0)),0)</f>
        <v>0</v>
      </c>
      <c r="K1311" s="5" t="e">
        <f>SUMIF('[1]TrialBalance (Quarter)'!$A:$A,B1311,'[1]TrialBalance (Quarter)'!$B:$B)</f>
        <v>#VALUE!</v>
      </c>
      <c r="L1311" s="5">
        <f>IFERROR(INDEX('[1]TrialBalance (Quarter)'!$A:$L,MATCH([1]TBMapping!$C1313,'[1]TrialBalance (Quarter)'!A:A,0),MATCH([1]TBMapping!M$3,'[1]TrialBalance (Quarter)'!$7:$7,0)),0)</f>
        <v>0</v>
      </c>
      <c r="M1311" s="5">
        <f>IFERROR(INDEX('[1]TrialBalance (Quarter)'!$A:$L,MATCH([1]TBMapping!$C1313,'[1]TrialBalance (Quarter)'!A:A,0),MATCH([1]TBMapping!N$3,'[1]TrialBalance (Quarter)'!$7:$7,0)),0)</f>
        <v>0</v>
      </c>
      <c r="N1311" s="5">
        <f>IFERROR(INDEX('[1]TrialBalance (Quarter)'!$A:$L,MATCH([1]TBMapping!$C1313,'[1]TrialBalance (Quarter)'!A:A,0),MATCH([1]TBMapping!O$3,'[1]TrialBalance (Quarter)'!$7:$7,0)),0)</f>
        <v>0</v>
      </c>
    </row>
    <row r="1312" spans="1:14">
      <c r="B1312" s="3">
        <v>769997</v>
      </c>
      <c r="C1312" s="1" t="s">
        <v>1082</v>
      </c>
      <c r="D1312" s="1" t="s">
        <v>16</v>
      </c>
      <c r="F1312" s="5" t="e">
        <f>IF(DataExtraction="Manual",SUMIF('[1]TrialBalance (YTD)'!$C:$C,B1312,'[1]TrialBalance (YTD)'!$E:$E),SUMIF('[1]TrialBalance (YTD)'!$G:$G,B1312,'[1]TrialBalance (YTD)'!$I:$I))</f>
        <v>#VALUE!</v>
      </c>
      <c r="G1312" s="5">
        <f>IFERROR(INDEX('[1]TrialBalance (YTD)'!$G:$S,MATCH([1]TBMapping!$C1314,'[1]TrialBalance (YTD)'!G:G,0),MATCH([1]TBMapping!H$3,'[1]TrialBalance (YTD)'!$G$7:$Z$7,0)),0)</f>
        <v>0</v>
      </c>
      <c r="H1312" s="5" t="e">
        <f>SUMIF('[1]TrialBalance (YTD)'!G:G,B1312,'[1]TrialBalance (YTD)'!H:H)</f>
        <v>#VALUE!</v>
      </c>
      <c r="I1312" s="5">
        <f>IFERROR(INDEX('[1]TrialBalance (YTD)'!$G:$S,MATCH([1]TBMapping!$C1314,'[1]TrialBalance (YTD)'!G:G,0),MATCH([1]TBMapping!J$3,'[1]TrialBalance (YTD)'!$G$7:$Z$7,0)),0)</f>
        <v>0</v>
      </c>
      <c r="K1312" s="5" t="e">
        <f>SUMIF('[1]TrialBalance (Quarter)'!$A:$A,B1312,'[1]TrialBalance (Quarter)'!$B:$B)</f>
        <v>#VALUE!</v>
      </c>
      <c r="L1312" s="5">
        <f>IFERROR(INDEX('[1]TrialBalance (Quarter)'!$A:$L,MATCH([1]TBMapping!$C1314,'[1]TrialBalance (Quarter)'!A:A,0),MATCH([1]TBMapping!M$3,'[1]TrialBalance (Quarter)'!$7:$7,0)),0)</f>
        <v>0</v>
      </c>
      <c r="M1312" s="5">
        <f>IFERROR(INDEX('[1]TrialBalance (Quarter)'!$A:$L,MATCH([1]TBMapping!$C1314,'[1]TrialBalance (Quarter)'!A:A,0),MATCH([1]TBMapping!N$3,'[1]TrialBalance (Quarter)'!$7:$7,0)),0)</f>
        <v>0</v>
      </c>
      <c r="N1312" s="5">
        <f>IFERROR(INDEX('[1]TrialBalance (Quarter)'!$A:$L,MATCH([1]TBMapping!$C1314,'[1]TrialBalance (Quarter)'!A:A,0),MATCH([1]TBMapping!O$3,'[1]TrialBalance (Quarter)'!$7:$7,0)),0)</f>
        <v>0</v>
      </c>
    </row>
    <row r="1313" spans="2:14">
      <c r="B1313" s="3">
        <v>769998</v>
      </c>
      <c r="C1313" s="1" t="s">
        <v>1083</v>
      </c>
      <c r="D1313" s="1" t="s">
        <v>5</v>
      </c>
      <c r="F1313" s="5" t="e">
        <f>IF(DataExtraction="Manual",SUMIF('[1]TrialBalance (YTD)'!$C:$C,B1313,'[1]TrialBalance (YTD)'!$E:$E),SUMIF('[1]TrialBalance (YTD)'!$G:$G,B1313,'[1]TrialBalance (YTD)'!$I:$I))</f>
        <v>#VALUE!</v>
      </c>
      <c r="G1313" s="5">
        <f>IFERROR(INDEX('[1]TrialBalance (YTD)'!$G:$S,MATCH([1]TBMapping!$C1315,'[1]TrialBalance (YTD)'!G:G,0),MATCH([1]TBMapping!H$3,'[1]TrialBalance (YTD)'!$G$7:$Z$7,0)),0)</f>
        <v>0</v>
      </c>
      <c r="H1313" s="5" t="e">
        <f>SUMIF('[1]TrialBalance (YTD)'!G:G,B1313,'[1]TrialBalance (YTD)'!H:H)</f>
        <v>#VALUE!</v>
      </c>
      <c r="I1313" s="5">
        <f>IFERROR(INDEX('[1]TrialBalance (YTD)'!$G:$S,MATCH([1]TBMapping!$C1315,'[1]TrialBalance (YTD)'!G:G,0),MATCH([1]TBMapping!J$3,'[1]TrialBalance (YTD)'!$G$7:$Z$7,0)),0)</f>
        <v>0</v>
      </c>
      <c r="K1313" s="5" t="e">
        <f>SUMIF('[1]TrialBalance (Quarter)'!$A:$A,B1313,'[1]TrialBalance (Quarter)'!$B:$B)</f>
        <v>#VALUE!</v>
      </c>
      <c r="L1313" s="5">
        <f>IFERROR(INDEX('[1]TrialBalance (Quarter)'!$A:$L,MATCH([1]TBMapping!$C1315,'[1]TrialBalance (Quarter)'!A:A,0),MATCH([1]TBMapping!M$3,'[1]TrialBalance (Quarter)'!$7:$7,0)),0)</f>
        <v>0</v>
      </c>
      <c r="M1313" s="5">
        <f>IFERROR(INDEX('[1]TrialBalance (Quarter)'!$A:$L,MATCH([1]TBMapping!$C1315,'[1]TrialBalance (Quarter)'!A:A,0),MATCH([1]TBMapping!N$3,'[1]TrialBalance (Quarter)'!$7:$7,0)),0)</f>
        <v>0</v>
      </c>
      <c r="N1313" s="5">
        <f>IFERROR(INDEX('[1]TrialBalance (Quarter)'!$A:$L,MATCH([1]TBMapping!$C1315,'[1]TrialBalance (Quarter)'!A:A,0),MATCH([1]TBMapping!O$3,'[1]TrialBalance (Quarter)'!$7:$7,0)),0)</f>
        <v>0</v>
      </c>
    </row>
    <row r="1314" spans="2:14">
      <c r="B1314" s="3">
        <v>799999</v>
      </c>
    </row>
    <row r="1315" spans="2:14">
      <c r="B1315" s="3">
        <v>9999999</v>
      </c>
    </row>
  </sheetData>
  <autoFilter ref="A1:Q1313" xr:uid="{1653F52D-5FBF-4254-A6BF-E43E6B75F367}"/>
  <conditionalFormatting sqref="A1316:A1048576 A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A13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tabSelected="1" workbookViewId="0">
      <selection activeCell="A2" sqref="A2:C46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2" t="s">
        <v>1085</v>
      </c>
      <c r="B1" s="12" t="s">
        <v>1084</v>
      </c>
      <c r="C1" s="12" t="s">
        <v>1098</v>
      </c>
    </row>
    <row r="2" spans="1:3">
      <c r="A2">
        <v>101</v>
      </c>
      <c r="B2" t="s">
        <v>1086</v>
      </c>
      <c r="C2" t="s">
        <v>1088</v>
      </c>
    </row>
    <row r="3" spans="1:3">
      <c r="A3">
        <v>104</v>
      </c>
      <c r="B3" t="s">
        <v>1087</v>
      </c>
      <c r="C3" t="s">
        <v>1088</v>
      </c>
    </row>
    <row r="4" spans="1:3">
      <c r="A4">
        <v>105</v>
      </c>
      <c r="B4" t="s">
        <v>1089</v>
      </c>
      <c r="C4" t="s">
        <v>1092</v>
      </c>
    </row>
    <row r="5" spans="1:3">
      <c r="A5">
        <v>106</v>
      </c>
      <c r="B5" t="s">
        <v>1090</v>
      </c>
      <c r="C5" t="s">
        <v>1092</v>
      </c>
    </row>
    <row r="6" spans="1:3">
      <c r="A6">
        <v>107</v>
      </c>
      <c r="B6" t="s">
        <v>1091</v>
      </c>
      <c r="C6" t="s">
        <v>1092</v>
      </c>
    </row>
    <row r="7" spans="1:3">
      <c r="A7">
        <v>108</v>
      </c>
      <c r="B7" t="s">
        <v>1097</v>
      </c>
      <c r="C7" t="s">
        <v>1099</v>
      </c>
    </row>
    <row r="8" spans="1:3">
      <c r="A8">
        <v>102</v>
      </c>
      <c r="B8" t="s">
        <v>1139</v>
      </c>
      <c r="C8" t="s">
        <v>1105</v>
      </c>
    </row>
    <row r="9" spans="1:3">
      <c r="A9">
        <v>103</v>
      </c>
      <c r="B9" t="s">
        <v>1140</v>
      </c>
      <c r="C9" t="s">
        <v>1105</v>
      </c>
    </row>
    <row r="10" spans="1:3">
      <c r="A10">
        <v>109</v>
      </c>
      <c r="B10" t="s">
        <v>1093</v>
      </c>
      <c r="C10" t="s">
        <v>1095</v>
      </c>
    </row>
    <row r="11" spans="1:3">
      <c r="A11">
        <v>110</v>
      </c>
      <c r="B11" t="s">
        <v>1094</v>
      </c>
      <c r="C11" t="s">
        <v>1095</v>
      </c>
    </row>
    <row r="12" spans="1:3">
      <c r="A12">
        <v>111</v>
      </c>
      <c r="B12" t="s">
        <v>1116</v>
      </c>
      <c r="C12" t="s">
        <v>1115</v>
      </c>
    </row>
    <row r="13" spans="1:3">
      <c r="A13">
        <v>1</v>
      </c>
      <c r="B13" t="s">
        <v>374</v>
      </c>
      <c r="C13" t="s">
        <v>374</v>
      </c>
    </row>
    <row r="14" spans="1:3">
      <c r="A14">
        <v>13</v>
      </c>
      <c r="B14" t="s">
        <v>1100</v>
      </c>
      <c r="C14" t="s">
        <v>1101</v>
      </c>
    </row>
    <row r="15" spans="1:3">
      <c r="A15">
        <v>2</v>
      </c>
      <c r="B15" t="s">
        <v>1096</v>
      </c>
      <c r="C15" t="s">
        <v>1099</v>
      </c>
    </row>
    <row r="16" spans="1:3">
      <c r="A16">
        <v>3</v>
      </c>
      <c r="B16" s="13" t="s">
        <v>1141</v>
      </c>
      <c r="C16" t="s">
        <v>1142</v>
      </c>
    </row>
    <row r="17" spans="1:3">
      <c r="A17">
        <v>5</v>
      </c>
      <c r="B17" t="s">
        <v>1103</v>
      </c>
      <c r="C17" t="s">
        <v>1105</v>
      </c>
    </row>
    <row r="18" spans="1:3">
      <c r="A18">
        <v>4</v>
      </c>
      <c r="B18" t="s">
        <v>1102</v>
      </c>
      <c r="C18" t="s">
        <v>1105</v>
      </c>
    </row>
    <row r="19" spans="1:3">
      <c r="A19">
        <v>6</v>
      </c>
      <c r="B19" t="s">
        <v>1104</v>
      </c>
      <c r="C19" t="s">
        <v>1105</v>
      </c>
    </row>
    <row r="20" spans="1:3">
      <c r="A20">
        <v>8</v>
      </c>
      <c r="B20" t="s">
        <v>1106</v>
      </c>
      <c r="C20" t="s">
        <v>1108</v>
      </c>
    </row>
    <row r="21" spans="1:3">
      <c r="A21">
        <v>11</v>
      </c>
      <c r="B21" t="s">
        <v>1113</v>
      </c>
      <c r="C21" t="s">
        <v>1114</v>
      </c>
    </row>
    <row r="22" spans="1:3">
      <c r="A22">
        <v>9</v>
      </c>
      <c r="B22" t="s">
        <v>1109</v>
      </c>
      <c r="C22" t="s">
        <v>1111</v>
      </c>
    </row>
    <row r="23" spans="1:3">
      <c r="A23">
        <v>10</v>
      </c>
      <c r="B23" t="s">
        <v>954</v>
      </c>
      <c r="C23" t="s">
        <v>1143</v>
      </c>
    </row>
    <row r="24" spans="1:3">
      <c r="A24">
        <v>15</v>
      </c>
      <c r="B24" t="s">
        <v>1110</v>
      </c>
      <c r="C24" t="s">
        <v>1111</v>
      </c>
    </row>
    <row r="25" spans="1:3">
      <c r="A25">
        <v>14</v>
      </c>
      <c r="B25" t="s">
        <v>637</v>
      </c>
      <c r="C25" t="s">
        <v>1143</v>
      </c>
    </row>
    <row r="26" spans="1:3">
      <c r="A26">
        <v>12</v>
      </c>
      <c r="B26" t="s">
        <v>1117</v>
      </c>
      <c r="C26" t="s">
        <v>1115</v>
      </c>
    </row>
    <row r="27" spans="1:3">
      <c r="A27">
        <v>16</v>
      </c>
      <c r="B27" t="s">
        <v>1112</v>
      </c>
      <c r="C27" t="s">
        <v>1114</v>
      </c>
    </row>
    <row r="28" spans="1:3">
      <c r="A28">
        <v>17</v>
      </c>
      <c r="B28" t="s">
        <v>1120</v>
      </c>
      <c r="C28" t="s">
        <v>1121</v>
      </c>
    </row>
    <row r="29" spans="1:3">
      <c r="A29">
        <v>19</v>
      </c>
      <c r="B29" t="s">
        <v>1122</v>
      </c>
      <c r="C29" t="s">
        <v>1123</v>
      </c>
    </row>
    <row r="30" spans="1:3">
      <c r="A30">
        <v>20</v>
      </c>
      <c r="B30" t="s">
        <v>1124</v>
      </c>
      <c r="C30" t="s">
        <v>1128</v>
      </c>
    </row>
    <row r="31" spans="1:3">
      <c r="A31">
        <v>21</v>
      </c>
      <c r="B31" t="s">
        <v>1125</v>
      </c>
      <c r="C31" t="s">
        <v>1128</v>
      </c>
    </row>
    <row r="32" spans="1:3">
      <c r="A32">
        <v>22</v>
      </c>
      <c r="B32" t="s">
        <v>1126</v>
      </c>
      <c r="C32" t="s">
        <v>1128</v>
      </c>
    </row>
    <row r="33" spans="1:3">
      <c r="A33">
        <v>23</v>
      </c>
      <c r="B33" t="s">
        <v>1127</v>
      </c>
      <c r="C33" t="s">
        <v>1128</v>
      </c>
    </row>
    <row r="34" spans="1:3">
      <c r="A34">
        <v>28</v>
      </c>
      <c r="B34" t="s">
        <v>1129</v>
      </c>
      <c r="C34" t="s">
        <v>1131</v>
      </c>
    </row>
    <row r="35" spans="1:3">
      <c r="A35">
        <v>30</v>
      </c>
      <c r="B35" t="s">
        <v>1118</v>
      </c>
      <c r="C35" t="s">
        <v>1115</v>
      </c>
    </row>
    <row r="36" spans="1:3">
      <c r="A36">
        <v>37</v>
      </c>
      <c r="B36" t="s">
        <v>1130</v>
      </c>
      <c r="C36" t="s">
        <v>1131</v>
      </c>
    </row>
    <row r="37" spans="1:3">
      <c r="A37">
        <v>24</v>
      </c>
      <c r="B37" t="s">
        <v>1144</v>
      </c>
      <c r="C37" t="s">
        <v>1144</v>
      </c>
    </row>
    <row r="38" spans="1:3">
      <c r="A38">
        <v>25</v>
      </c>
      <c r="B38" t="s">
        <v>1132</v>
      </c>
      <c r="C38" t="s">
        <v>1134</v>
      </c>
    </row>
    <row r="39" spans="1:3">
      <c r="A39">
        <v>39</v>
      </c>
      <c r="B39" t="s">
        <v>1137</v>
      </c>
      <c r="C39" t="s">
        <v>1138</v>
      </c>
    </row>
    <row r="40" spans="1:3">
      <c r="A40">
        <v>31</v>
      </c>
      <c r="B40" t="s">
        <v>1133</v>
      </c>
      <c r="C40" t="s">
        <v>1134</v>
      </c>
    </row>
    <row r="41" spans="1:3">
      <c r="A41">
        <v>35</v>
      </c>
      <c r="B41" t="s">
        <v>1107</v>
      </c>
      <c r="C41" t="s">
        <v>1108</v>
      </c>
    </row>
    <row r="42" spans="1:3">
      <c r="A42">
        <v>29</v>
      </c>
      <c r="B42" t="s">
        <v>954</v>
      </c>
      <c r="C42" t="s">
        <v>1143</v>
      </c>
    </row>
    <row r="43" spans="1:3">
      <c r="A43">
        <v>33</v>
      </c>
      <c r="B43" t="s">
        <v>1135</v>
      </c>
      <c r="C43" t="s">
        <v>1136</v>
      </c>
    </row>
    <row r="44" spans="1:3">
      <c r="A44">
        <v>36</v>
      </c>
      <c r="B44" t="s">
        <v>1119</v>
      </c>
      <c r="C44" t="s">
        <v>1115</v>
      </c>
    </row>
    <row r="45" spans="1:3">
      <c r="A45">
        <v>34</v>
      </c>
      <c r="B45" t="s">
        <v>637</v>
      </c>
      <c r="C45" t="s">
        <v>1143</v>
      </c>
    </row>
    <row r="46" spans="1:3">
      <c r="A46">
        <v>38</v>
      </c>
      <c r="B46" t="s">
        <v>1135</v>
      </c>
      <c r="C46" t="s">
        <v>1145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Lund Nielsen</dc:creator>
  <cp:lastModifiedBy>Rasmus Lund Nielsen</cp:lastModifiedBy>
  <dcterms:created xsi:type="dcterms:W3CDTF">2025-11-06T08:24:23Z</dcterms:created>
  <dcterms:modified xsi:type="dcterms:W3CDTF">2025-11-19T14:30:28Z</dcterms:modified>
</cp:coreProperties>
</file>